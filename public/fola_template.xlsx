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a Ponce\AppData\Local\Microsoft\Windows\INetCache\Content.Outlook\YYUNA8SX\"/>
    </mc:Choice>
  </mc:AlternateContent>
  <xr:revisionPtr revIDLastSave="0" documentId="11_3B5C1C046251A90397EF7A63ED9C9815B0145734" xr6:coauthVersionLast="47" xr6:coauthVersionMax="47" xr10:uidLastSave="{00000000-0000-0000-0000-000000000000}"/>
  <bookViews>
    <workbookView xWindow="-23148" yWindow="-804" windowWidth="23256" windowHeight="12456" activeTab="1" xr2:uid="{00000000-000D-0000-FFFF-FFFF00000000}"/>
  </bookViews>
  <sheets>
    <sheet name="Inicio" sheetId="1" r:id="rId1"/>
    <sheet name="inclusión" sheetId="2" r:id="rId2"/>
    <sheet name="reglas" sheetId="3" state="hidden" r:id="rId3"/>
  </sheets>
  <definedNames>
    <definedName name="ASUNTO">#REF!</definedName>
    <definedName name="ASUNTO2">inclusión!$S$3</definedName>
    <definedName name="ASUNTO3">#REF!</definedName>
    <definedName name="ASUNTO8">#REF!</definedName>
    <definedName name="asuntoo">#REF!</definedName>
    <definedName name="COPIA">inclusión!$I$4</definedName>
    <definedName name="CUERPO">#REF!</definedName>
    <definedName name="cUERPO1">inclusión!$S$6</definedName>
    <definedName name="Cuerpo4">#REF!</definedName>
    <definedName name="DATOS">#REF!</definedName>
    <definedName name="DATOS2">inclusión!$S$4</definedName>
    <definedName name="Google_Sheet_Link_1177194641" hidden="1">LINK2</definedName>
    <definedName name="Google_Sheet_Link_1746205136" hidden="1">ASUNTO2</definedName>
    <definedName name="Google_Sheet_Link_1904906119" hidden="1">DATOS2</definedName>
    <definedName name="Google_Sheet_Link_416229402" hidden="1">COPIA</definedName>
    <definedName name="Google_Sheet_Link_755700411" hidden="1">cUERPO1</definedName>
    <definedName name="LINK">#REF!</definedName>
    <definedName name="LINK2">inclusión!$V$2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s9/MLk/of2C7cCf4Mg7lIpYhJdBXyBY4CYIwI+e5EmQ="/>
    </ext>
  </extLst>
</workbook>
</file>

<file path=xl/calcChain.xml><?xml version="1.0" encoding="utf-8"?>
<calcChain xmlns="http://schemas.openxmlformats.org/spreadsheetml/2006/main">
  <c r="N18" i="3" l="1"/>
  <c r="A9" i="3"/>
  <c r="A10" i="3" s="1"/>
  <c r="A11" i="3" s="1"/>
  <c r="A12" i="3" s="1"/>
  <c r="A13" i="3" s="1"/>
  <c r="A14" i="3" s="1"/>
  <c r="A15" i="3" s="1"/>
  <c r="A16" i="3" s="1"/>
  <c r="A17" i="3" s="1"/>
  <c r="A18" i="3" s="1"/>
  <c r="A19" i="3" s="1"/>
  <c r="A20" i="3" s="1"/>
  <c r="A8" i="3"/>
  <c r="A7" i="3"/>
  <c r="A6" i="3"/>
  <c r="W468" i="2"/>
  <c r="S468" i="2"/>
  <c r="O468" i="2"/>
  <c r="W467" i="2"/>
  <c r="S467" i="2"/>
  <c r="O467" i="2"/>
  <c r="S466" i="2"/>
  <c r="W466" i="2" s="1"/>
  <c r="O466" i="2"/>
  <c r="S465" i="2"/>
  <c r="W465" i="2" s="1"/>
  <c r="O465" i="2"/>
  <c r="W464" i="2"/>
  <c r="S464" i="2"/>
  <c r="O464" i="2"/>
  <c r="S463" i="2"/>
  <c r="W463" i="2" s="1"/>
  <c r="O463" i="2"/>
  <c r="S462" i="2"/>
  <c r="W462" i="2" s="1"/>
  <c r="O462" i="2"/>
  <c r="W461" i="2"/>
  <c r="S461" i="2"/>
  <c r="O461" i="2"/>
  <c r="W460" i="2"/>
  <c r="S460" i="2"/>
  <c r="O460" i="2"/>
  <c r="S459" i="2"/>
  <c r="W459" i="2" s="1"/>
  <c r="O459" i="2"/>
  <c r="W458" i="2"/>
  <c r="S458" i="2"/>
  <c r="O458" i="2"/>
  <c r="W457" i="2"/>
  <c r="S457" i="2"/>
  <c r="O457" i="2"/>
  <c r="S456" i="2"/>
  <c r="W456" i="2" s="1"/>
  <c r="O456" i="2"/>
  <c r="W455" i="2"/>
  <c r="S455" i="2"/>
  <c r="O455" i="2"/>
  <c r="S454" i="2"/>
  <c r="W454" i="2" s="1"/>
  <c r="O454" i="2"/>
  <c r="W453" i="2"/>
  <c r="S453" i="2"/>
  <c r="O453" i="2"/>
  <c r="W452" i="2"/>
  <c r="S452" i="2"/>
  <c r="O452" i="2"/>
  <c r="W451" i="2"/>
  <c r="S451" i="2"/>
  <c r="O451" i="2"/>
  <c r="S450" i="2"/>
  <c r="W450" i="2" s="1"/>
  <c r="O450" i="2"/>
  <c r="S449" i="2"/>
  <c r="W449" i="2" s="1"/>
  <c r="O449" i="2"/>
  <c r="W448" i="2"/>
  <c r="S448" i="2"/>
  <c r="O448" i="2"/>
  <c r="S447" i="2"/>
  <c r="W447" i="2" s="1"/>
  <c r="O447" i="2"/>
  <c r="S446" i="2"/>
  <c r="W446" i="2" s="1"/>
  <c r="O446" i="2"/>
  <c r="S445" i="2"/>
  <c r="W445" i="2" s="1"/>
  <c r="O445" i="2"/>
  <c r="W444" i="2"/>
  <c r="S444" i="2"/>
  <c r="O444" i="2"/>
  <c r="S443" i="2"/>
  <c r="W443" i="2" s="1"/>
  <c r="O443" i="2"/>
  <c r="S442" i="2"/>
  <c r="W442" i="2" s="1"/>
  <c r="O442" i="2"/>
  <c r="W441" i="2"/>
  <c r="S441" i="2"/>
  <c r="O441" i="2"/>
  <c r="S440" i="2"/>
  <c r="W440" i="2" s="1"/>
  <c r="O440" i="2"/>
  <c r="W439" i="2"/>
  <c r="S439" i="2"/>
  <c r="O439" i="2"/>
  <c r="S438" i="2"/>
  <c r="W438" i="2" s="1"/>
  <c r="O438" i="2"/>
  <c r="W437" i="2"/>
  <c r="S437" i="2"/>
  <c r="O437" i="2"/>
  <c r="W436" i="2"/>
  <c r="S436" i="2"/>
  <c r="O436" i="2"/>
  <c r="W435" i="2"/>
  <c r="S435" i="2"/>
  <c r="O435" i="2"/>
  <c r="S434" i="2"/>
  <c r="W434" i="2" s="1"/>
  <c r="O434" i="2"/>
  <c r="S433" i="2"/>
  <c r="W433" i="2" s="1"/>
  <c r="O433" i="2"/>
  <c r="W432" i="2"/>
  <c r="S432" i="2"/>
  <c r="O432" i="2"/>
  <c r="S431" i="2"/>
  <c r="W431" i="2" s="1"/>
  <c r="O431" i="2"/>
  <c r="S430" i="2"/>
  <c r="W430" i="2" s="1"/>
  <c r="O430" i="2"/>
  <c r="S429" i="2"/>
  <c r="W429" i="2" s="1"/>
  <c r="O429" i="2"/>
  <c r="W428" i="2"/>
  <c r="S428" i="2"/>
  <c r="O428" i="2"/>
  <c r="S427" i="2"/>
  <c r="W427" i="2" s="1"/>
  <c r="O427" i="2"/>
  <c r="S426" i="2"/>
  <c r="W426" i="2" s="1"/>
  <c r="O426" i="2"/>
  <c r="W425" i="2"/>
  <c r="S425" i="2"/>
  <c r="O425" i="2"/>
  <c r="S424" i="2"/>
  <c r="W424" i="2" s="1"/>
  <c r="O424" i="2"/>
  <c r="W423" i="2"/>
  <c r="S423" i="2"/>
  <c r="O423" i="2"/>
  <c r="S422" i="2"/>
  <c r="W422" i="2" s="1"/>
  <c r="O422" i="2"/>
  <c r="W421" i="2"/>
  <c r="S421" i="2"/>
  <c r="O421" i="2"/>
  <c r="W420" i="2"/>
  <c r="S420" i="2"/>
  <c r="O420" i="2"/>
  <c r="W419" i="2"/>
  <c r="S419" i="2"/>
  <c r="O419" i="2"/>
  <c r="S418" i="2"/>
  <c r="W418" i="2" s="1"/>
  <c r="O418" i="2"/>
  <c r="S417" i="2"/>
  <c r="W417" i="2" s="1"/>
  <c r="O417" i="2"/>
  <c r="W416" i="2"/>
  <c r="S416" i="2"/>
  <c r="O416" i="2"/>
  <c r="S415" i="2"/>
  <c r="W415" i="2" s="1"/>
  <c r="O415" i="2"/>
  <c r="S414" i="2"/>
  <c r="W414" i="2" s="1"/>
  <c r="O414" i="2"/>
  <c r="S413" i="2"/>
  <c r="W413" i="2" s="1"/>
  <c r="O413" i="2"/>
  <c r="W412" i="2"/>
  <c r="S412" i="2"/>
  <c r="O412" i="2"/>
  <c r="S411" i="2"/>
  <c r="W411" i="2" s="1"/>
  <c r="O411" i="2"/>
  <c r="S410" i="2"/>
  <c r="W410" i="2" s="1"/>
  <c r="O410" i="2"/>
  <c r="W409" i="2"/>
  <c r="S409" i="2"/>
  <c r="O409" i="2"/>
  <c r="S408" i="2"/>
  <c r="W408" i="2" s="1"/>
  <c r="O408" i="2"/>
  <c r="W407" i="2"/>
  <c r="S407" i="2"/>
  <c r="O407" i="2"/>
  <c r="S406" i="2"/>
  <c r="W406" i="2" s="1"/>
  <c r="O406" i="2"/>
  <c r="W405" i="2"/>
  <c r="S405" i="2"/>
  <c r="O405" i="2"/>
  <c r="W404" i="2"/>
  <c r="S404" i="2"/>
  <c r="O404" i="2"/>
  <c r="W403" i="2"/>
  <c r="S403" i="2"/>
  <c r="O403" i="2"/>
  <c r="S402" i="2"/>
  <c r="W402" i="2" s="1"/>
  <c r="O402" i="2"/>
  <c r="S401" i="2"/>
  <c r="W401" i="2" s="1"/>
  <c r="O401" i="2"/>
  <c r="W400" i="2"/>
  <c r="S400" i="2"/>
  <c r="O400" i="2"/>
  <c r="S399" i="2"/>
  <c r="W399" i="2" s="1"/>
  <c r="O399" i="2"/>
  <c r="S398" i="2"/>
  <c r="W398" i="2" s="1"/>
  <c r="O398" i="2"/>
  <c r="S397" i="2"/>
  <c r="W397" i="2" s="1"/>
  <c r="O397" i="2"/>
  <c r="W396" i="2"/>
  <c r="S396" i="2"/>
  <c r="O396" i="2"/>
  <c r="S395" i="2"/>
  <c r="W395" i="2" s="1"/>
  <c r="O395" i="2"/>
  <c r="S394" i="2"/>
  <c r="W394" i="2" s="1"/>
  <c r="O394" i="2"/>
  <c r="W393" i="2"/>
  <c r="S393" i="2"/>
  <c r="O393" i="2"/>
  <c r="S392" i="2"/>
  <c r="W392" i="2" s="1"/>
  <c r="O392" i="2"/>
  <c r="W391" i="2"/>
  <c r="S391" i="2"/>
  <c r="O391" i="2"/>
  <c r="S390" i="2"/>
  <c r="W390" i="2" s="1"/>
  <c r="O390" i="2"/>
  <c r="W389" i="2"/>
  <c r="S389" i="2"/>
  <c r="O389" i="2"/>
  <c r="W388" i="2"/>
  <c r="S388" i="2"/>
  <c r="O388" i="2"/>
  <c r="W387" i="2"/>
  <c r="S387" i="2"/>
  <c r="O387" i="2"/>
  <c r="S386" i="2"/>
  <c r="W386" i="2" s="1"/>
  <c r="O386" i="2"/>
  <c r="S385" i="2"/>
  <c r="W385" i="2" s="1"/>
  <c r="O385" i="2"/>
  <c r="W384" i="2"/>
  <c r="S384" i="2"/>
  <c r="O384" i="2"/>
  <c r="S383" i="2"/>
  <c r="W383" i="2" s="1"/>
  <c r="O383" i="2"/>
  <c r="S382" i="2"/>
  <c r="W382" i="2" s="1"/>
  <c r="O382" i="2"/>
  <c r="S381" i="2"/>
  <c r="W381" i="2" s="1"/>
  <c r="O381" i="2"/>
  <c r="W380" i="2"/>
  <c r="S380" i="2"/>
  <c r="O380" i="2"/>
  <c r="S379" i="2"/>
  <c r="W379" i="2" s="1"/>
  <c r="O379" i="2"/>
  <c r="S378" i="2"/>
  <c r="W378" i="2" s="1"/>
  <c r="O378" i="2"/>
  <c r="W377" i="2"/>
  <c r="S377" i="2"/>
  <c r="O377" i="2"/>
  <c r="S376" i="2"/>
  <c r="W376" i="2" s="1"/>
  <c r="O376" i="2"/>
  <c r="W375" i="2"/>
  <c r="S375" i="2"/>
  <c r="O375" i="2"/>
  <c r="S374" i="2"/>
  <c r="W374" i="2" s="1"/>
  <c r="O374" i="2"/>
  <c r="W373" i="2"/>
  <c r="S373" i="2"/>
  <c r="O373" i="2"/>
  <c r="W372" i="2"/>
  <c r="S372" i="2"/>
  <c r="O372" i="2"/>
  <c r="W371" i="2"/>
  <c r="S371" i="2"/>
  <c r="O371" i="2"/>
  <c r="S370" i="2"/>
  <c r="W370" i="2" s="1"/>
  <c r="O370" i="2"/>
  <c r="S369" i="2"/>
  <c r="W369" i="2" s="1"/>
  <c r="O369" i="2"/>
  <c r="W368" i="2"/>
  <c r="S368" i="2"/>
  <c r="O368" i="2"/>
  <c r="S367" i="2"/>
  <c r="W367" i="2" s="1"/>
  <c r="O367" i="2"/>
  <c r="S366" i="2"/>
  <c r="W366" i="2" s="1"/>
  <c r="O366" i="2"/>
  <c r="S365" i="2"/>
  <c r="W365" i="2" s="1"/>
  <c r="O365" i="2"/>
  <c r="W364" i="2"/>
  <c r="S364" i="2"/>
  <c r="O364" i="2"/>
  <c r="S363" i="2"/>
  <c r="W363" i="2" s="1"/>
  <c r="O363" i="2"/>
  <c r="S362" i="2"/>
  <c r="W362" i="2" s="1"/>
  <c r="O362" i="2"/>
  <c r="W361" i="2"/>
  <c r="S361" i="2"/>
  <c r="O361" i="2"/>
  <c r="S360" i="2"/>
  <c r="W360" i="2" s="1"/>
  <c r="O360" i="2"/>
  <c r="W359" i="2"/>
  <c r="S359" i="2"/>
  <c r="O359" i="2"/>
  <c r="S358" i="2"/>
  <c r="W358" i="2" s="1"/>
  <c r="O358" i="2"/>
  <c r="W357" i="2"/>
  <c r="S357" i="2"/>
  <c r="O357" i="2"/>
  <c r="W356" i="2"/>
  <c r="S356" i="2"/>
  <c r="O356" i="2"/>
  <c r="W355" i="2"/>
  <c r="S355" i="2"/>
  <c r="O355" i="2"/>
  <c r="S354" i="2"/>
  <c r="W354" i="2" s="1"/>
  <c r="O354" i="2"/>
  <c r="S353" i="2"/>
  <c r="W353" i="2" s="1"/>
  <c r="O353" i="2"/>
  <c r="W352" i="2"/>
  <c r="S352" i="2"/>
  <c r="O352" i="2"/>
  <c r="S351" i="2"/>
  <c r="W351" i="2" s="1"/>
  <c r="O351" i="2"/>
  <c r="S350" i="2"/>
  <c r="W350" i="2" s="1"/>
  <c r="O350" i="2"/>
  <c r="S349" i="2"/>
  <c r="W349" i="2" s="1"/>
  <c r="O349" i="2"/>
  <c r="W348" i="2"/>
  <c r="S348" i="2"/>
  <c r="O348" i="2"/>
  <c r="S347" i="2"/>
  <c r="W347" i="2" s="1"/>
  <c r="O347" i="2"/>
  <c r="S346" i="2"/>
  <c r="W346" i="2" s="1"/>
  <c r="O346" i="2"/>
  <c r="W345" i="2"/>
  <c r="S345" i="2"/>
  <c r="O345" i="2"/>
  <c r="S344" i="2"/>
  <c r="W344" i="2" s="1"/>
  <c r="O344" i="2"/>
  <c r="W343" i="2"/>
  <c r="S343" i="2"/>
  <c r="O343" i="2"/>
  <c r="S342" i="2"/>
  <c r="W342" i="2" s="1"/>
  <c r="O342" i="2"/>
  <c r="W341" i="2"/>
  <c r="S341" i="2"/>
  <c r="O341" i="2"/>
  <c r="W340" i="2"/>
  <c r="S340" i="2"/>
  <c r="O340" i="2"/>
  <c r="W339" i="2"/>
  <c r="S339" i="2"/>
  <c r="O339" i="2"/>
  <c r="S338" i="2"/>
  <c r="W338" i="2" s="1"/>
  <c r="O338" i="2"/>
  <c r="S337" i="2"/>
  <c r="W337" i="2" s="1"/>
  <c r="O337" i="2"/>
  <c r="W336" i="2"/>
  <c r="S336" i="2"/>
  <c r="O336" i="2"/>
  <c r="S335" i="2"/>
  <c r="W335" i="2" s="1"/>
  <c r="O335" i="2"/>
  <c r="S334" i="2"/>
  <c r="W334" i="2" s="1"/>
  <c r="O334" i="2"/>
  <c r="S333" i="2"/>
  <c r="W333" i="2" s="1"/>
  <c r="O333" i="2"/>
  <c r="W332" i="2"/>
  <c r="S332" i="2"/>
  <c r="O332" i="2"/>
  <c r="S331" i="2"/>
  <c r="W331" i="2" s="1"/>
  <c r="O331" i="2"/>
  <c r="S330" i="2"/>
  <c r="W330" i="2" s="1"/>
  <c r="O330" i="2"/>
  <c r="W329" i="2"/>
  <c r="S329" i="2"/>
  <c r="O329" i="2"/>
  <c r="S328" i="2"/>
  <c r="W328" i="2" s="1"/>
  <c r="O328" i="2"/>
  <c r="W327" i="2"/>
  <c r="S327" i="2"/>
  <c r="O327" i="2"/>
  <c r="S326" i="2"/>
  <c r="W326" i="2" s="1"/>
  <c r="O326" i="2"/>
  <c r="W325" i="2"/>
  <c r="S325" i="2"/>
  <c r="O325" i="2"/>
  <c r="W324" i="2"/>
  <c r="S324" i="2"/>
  <c r="O324" i="2"/>
  <c r="W323" i="2"/>
  <c r="S323" i="2"/>
  <c r="O323" i="2"/>
  <c r="S322" i="2"/>
  <c r="W322" i="2" s="1"/>
  <c r="O322" i="2"/>
  <c r="S321" i="2"/>
  <c r="W321" i="2" s="1"/>
  <c r="O321" i="2"/>
  <c r="W320" i="2"/>
  <c r="S320" i="2"/>
  <c r="O320" i="2"/>
  <c r="S319" i="2"/>
  <c r="W319" i="2" s="1"/>
  <c r="O319" i="2"/>
  <c r="S318" i="2"/>
  <c r="W318" i="2" s="1"/>
  <c r="O318" i="2"/>
  <c r="S317" i="2"/>
  <c r="W317" i="2" s="1"/>
  <c r="O317" i="2"/>
  <c r="W316" i="2"/>
  <c r="S316" i="2"/>
  <c r="O316" i="2"/>
  <c r="S315" i="2"/>
  <c r="W315" i="2" s="1"/>
  <c r="O315" i="2"/>
  <c r="S314" i="2"/>
  <c r="W314" i="2" s="1"/>
  <c r="O314" i="2"/>
  <c r="W313" i="2"/>
  <c r="S313" i="2"/>
  <c r="O313" i="2"/>
  <c r="S312" i="2"/>
  <c r="W312" i="2" s="1"/>
  <c r="O312" i="2"/>
  <c r="W311" i="2"/>
  <c r="S311" i="2"/>
  <c r="O311" i="2"/>
  <c r="S310" i="2"/>
  <c r="W310" i="2" s="1"/>
  <c r="O310" i="2"/>
  <c r="W309" i="2"/>
  <c r="S309" i="2"/>
  <c r="O309" i="2"/>
  <c r="W308" i="2"/>
  <c r="S308" i="2"/>
  <c r="O308" i="2"/>
  <c r="W307" i="2"/>
  <c r="S307" i="2"/>
  <c r="O307" i="2"/>
  <c r="S306" i="2"/>
  <c r="W306" i="2" s="1"/>
  <c r="O306" i="2"/>
  <c r="S305" i="2"/>
  <c r="W305" i="2" s="1"/>
  <c r="O305" i="2"/>
  <c r="W304" i="2"/>
  <c r="S304" i="2"/>
  <c r="O304" i="2"/>
  <c r="S303" i="2"/>
  <c r="W303" i="2" s="1"/>
  <c r="O303" i="2"/>
  <c r="S302" i="2"/>
  <c r="W302" i="2" s="1"/>
  <c r="O302" i="2"/>
  <c r="S301" i="2"/>
  <c r="W301" i="2" s="1"/>
  <c r="O301" i="2"/>
  <c r="W300" i="2"/>
  <c r="S300" i="2"/>
  <c r="O300" i="2"/>
  <c r="S299" i="2"/>
  <c r="W299" i="2" s="1"/>
  <c r="O299" i="2"/>
  <c r="S298" i="2"/>
  <c r="W298" i="2" s="1"/>
  <c r="O298" i="2"/>
  <c r="W297" i="2"/>
  <c r="S297" i="2"/>
  <c r="O297" i="2"/>
  <c r="S296" i="2"/>
  <c r="W296" i="2" s="1"/>
  <c r="O296" i="2"/>
  <c r="W295" i="2"/>
  <c r="S295" i="2"/>
  <c r="O295" i="2"/>
  <c r="S294" i="2"/>
  <c r="W294" i="2" s="1"/>
  <c r="O294" i="2"/>
  <c r="W293" i="2"/>
  <c r="S293" i="2"/>
  <c r="O293" i="2"/>
  <c r="W292" i="2"/>
  <c r="S292" i="2"/>
  <c r="O292" i="2"/>
  <c r="W291" i="2"/>
  <c r="S291" i="2"/>
  <c r="O291" i="2"/>
  <c r="S290" i="2"/>
  <c r="W290" i="2" s="1"/>
  <c r="O290" i="2"/>
  <c r="S289" i="2"/>
  <c r="W289" i="2" s="1"/>
  <c r="O289" i="2"/>
  <c r="W288" i="2"/>
  <c r="S288" i="2"/>
  <c r="O288" i="2"/>
  <c r="S287" i="2"/>
  <c r="W287" i="2" s="1"/>
  <c r="O287" i="2"/>
  <c r="S286" i="2"/>
  <c r="W286" i="2" s="1"/>
  <c r="O286" i="2"/>
  <c r="S285" i="2"/>
  <c r="W285" i="2" s="1"/>
  <c r="O285" i="2"/>
  <c r="W284" i="2"/>
  <c r="S284" i="2"/>
  <c r="O284" i="2"/>
  <c r="S283" i="2"/>
  <c r="W283" i="2" s="1"/>
  <c r="O283" i="2"/>
  <c r="S282" i="2"/>
  <c r="W282" i="2" s="1"/>
  <c r="O282" i="2"/>
  <c r="W281" i="2"/>
  <c r="S281" i="2"/>
  <c r="O281" i="2"/>
  <c r="S280" i="2"/>
  <c r="W280" i="2" s="1"/>
  <c r="O280" i="2"/>
  <c r="W279" i="2"/>
  <c r="S279" i="2"/>
  <c r="O279" i="2"/>
  <c r="S278" i="2"/>
  <c r="W278" i="2" s="1"/>
  <c r="O278" i="2"/>
  <c r="W277" i="2"/>
  <c r="S277" i="2"/>
  <c r="O277" i="2"/>
  <c r="W276" i="2"/>
  <c r="S276" i="2"/>
  <c r="O276" i="2"/>
  <c r="W275" i="2"/>
  <c r="S275" i="2"/>
  <c r="O275" i="2"/>
  <c r="S274" i="2"/>
  <c r="W274" i="2" s="1"/>
  <c r="O274" i="2"/>
  <c r="S273" i="2"/>
  <c r="W273" i="2" s="1"/>
  <c r="O273" i="2"/>
  <c r="W272" i="2"/>
  <c r="S272" i="2"/>
  <c r="O272" i="2"/>
  <c r="S271" i="2"/>
  <c r="W271" i="2" s="1"/>
  <c r="O271" i="2"/>
  <c r="S270" i="2"/>
  <c r="W270" i="2" s="1"/>
  <c r="O270" i="2"/>
  <c r="S269" i="2"/>
  <c r="W269" i="2" s="1"/>
  <c r="O269" i="2"/>
  <c r="W268" i="2"/>
  <c r="S268" i="2"/>
  <c r="O268" i="2"/>
  <c r="S267" i="2"/>
  <c r="W267" i="2" s="1"/>
  <c r="O267" i="2"/>
  <c r="S266" i="2"/>
  <c r="W266" i="2" s="1"/>
  <c r="O266" i="2"/>
  <c r="W265" i="2"/>
  <c r="S265" i="2"/>
  <c r="O265" i="2"/>
  <c r="S264" i="2"/>
  <c r="W264" i="2" s="1"/>
  <c r="O264" i="2"/>
  <c r="W263" i="2"/>
  <c r="S263" i="2"/>
  <c r="O263" i="2"/>
  <c r="S262" i="2"/>
  <c r="W262" i="2" s="1"/>
  <c r="O262" i="2"/>
  <c r="W261" i="2"/>
  <c r="S261" i="2"/>
  <c r="O261" i="2"/>
  <c r="W260" i="2"/>
  <c r="S260" i="2"/>
  <c r="O260" i="2"/>
  <c r="W259" i="2"/>
  <c r="S259" i="2"/>
  <c r="O259" i="2"/>
  <c r="S258" i="2"/>
  <c r="W258" i="2" s="1"/>
  <c r="O258" i="2"/>
  <c r="S257" i="2"/>
  <c r="W257" i="2" s="1"/>
  <c r="O257" i="2"/>
  <c r="W256" i="2"/>
  <c r="S256" i="2"/>
  <c r="O256" i="2"/>
  <c r="S255" i="2"/>
  <c r="W255" i="2" s="1"/>
  <c r="O255" i="2"/>
  <c r="S254" i="2"/>
  <c r="W254" i="2" s="1"/>
  <c r="O254" i="2"/>
  <c r="S253" i="2"/>
  <c r="W253" i="2" s="1"/>
  <c r="O253" i="2"/>
  <c r="W252" i="2"/>
  <c r="S252" i="2"/>
  <c r="O252" i="2"/>
  <c r="S251" i="2"/>
  <c r="W251" i="2" s="1"/>
  <c r="O251" i="2"/>
  <c r="S250" i="2"/>
  <c r="W250" i="2" s="1"/>
  <c r="O250" i="2"/>
  <c r="W249" i="2"/>
  <c r="S249" i="2"/>
  <c r="O249" i="2"/>
  <c r="S248" i="2"/>
  <c r="W248" i="2" s="1"/>
  <c r="O248" i="2"/>
  <c r="W247" i="2"/>
  <c r="S247" i="2"/>
  <c r="O247" i="2"/>
  <c r="S246" i="2"/>
  <c r="W246" i="2" s="1"/>
  <c r="O246" i="2"/>
  <c r="W245" i="2"/>
  <c r="S245" i="2"/>
  <c r="O245" i="2"/>
  <c r="W244" i="2"/>
  <c r="S244" i="2"/>
  <c r="O244" i="2"/>
  <c r="W243" i="2"/>
  <c r="S243" i="2"/>
  <c r="O243" i="2"/>
  <c r="S242" i="2"/>
  <c r="W242" i="2" s="1"/>
  <c r="O242" i="2"/>
  <c r="S241" i="2"/>
  <c r="W241" i="2" s="1"/>
  <c r="O241" i="2"/>
  <c r="S240" i="2"/>
  <c r="W240" i="2" s="1"/>
  <c r="O240" i="2"/>
  <c r="S239" i="2"/>
  <c r="W239" i="2" s="1"/>
  <c r="O239" i="2"/>
  <c r="S238" i="2"/>
  <c r="W238" i="2" s="1"/>
  <c r="O238" i="2"/>
  <c r="S237" i="2"/>
  <c r="W237" i="2" s="1"/>
  <c r="O237" i="2"/>
  <c r="W236" i="2"/>
  <c r="S236" i="2"/>
  <c r="O236" i="2"/>
  <c r="S235" i="2"/>
  <c r="W235" i="2" s="1"/>
  <c r="O235" i="2"/>
  <c r="S234" i="2"/>
  <c r="W234" i="2" s="1"/>
  <c r="O234" i="2"/>
  <c r="W233" i="2"/>
  <c r="S233" i="2"/>
  <c r="O233" i="2"/>
  <c r="S232" i="2"/>
  <c r="W232" i="2" s="1"/>
  <c r="O232" i="2"/>
  <c r="W231" i="2"/>
  <c r="S231" i="2"/>
  <c r="O231" i="2"/>
  <c r="S230" i="2"/>
  <c r="W230" i="2" s="1"/>
  <c r="O230" i="2"/>
  <c r="W229" i="2"/>
  <c r="S229" i="2"/>
  <c r="O229" i="2"/>
  <c r="W228" i="2"/>
  <c r="S228" i="2"/>
  <c r="O228" i="2"/>
  <c r="W227" i="2"/>
  <c r="S227" i="2"/>
  <c r="O227" i="2"/>
  <c r="S226" i="2"/>
  <c r="W226" i="2" s="1"/>
  <c r="O226" i="2"/>
  <c r="S225" i="2"/>
  <c r="W225" i="2" s="1"/>
  <c r="O225" i="2"/>
  <c r="S224" i="2"/>
  <c r="W224" i="2" s="1"/>
  <c r="O224" i="2"/>
  <c r="S223" i="2"/>
  <c r="W223" i="2" s="1"/>
  <c r="O223" i="2"/>
  <c r="S222" i="2"/>
  <c r="W222" i="2" s="1"/>
  <c r="O222" i="2"/>
  <c r="S221" i="2"/>
  <c r="W221" i="2" s="1"/>
  <c r="O221" i="2"/>
  <c r="W220" i="2"/>
  <c r="S220" i="2"/>
  <c r="O220" i="2"/>
  <c r="S219" i="2"/>
  <c r="W219" i="2" s="1"/>
  <c r="O219" i="2"/>
  <c r="S218" i="2"/>
  <c r="W218" i="2" s="1"/>
  <c r="O218" i="2"/>
  <c r="W217" i="2"/>
  <c r="S217" i="2"/>
  <c r="O217" i="2"/>
  <c r="S216" i="2"/>
  <c r="W216" i="2" s="1"/>
  <c r="O216" i="2"/>
  <c r="W215" i="2"/>
  <c r="S215" i="2"/>
  <c r="O215" i="2"/>
  <c r="S214" i="2"/>
  <c r="W214" i="2" s="1"/>
  <c r="O214" i="2"/>
  <c r="W213" i="2"/>
  <c r="S213" i="2"/>
  <c r="O213" i="2"/>
  <c r="W212" i="2"/>
  <c r="S212" i="2"/>
  <c r="O212" i="2"/>
  <c r="W211" i="2"/>
  <c r="S211" i="2"/>
  <c r="O211" i="2"/>
  <c r="S210" i="2"/>
  <c r="W210" i="2" s="1"/>
  <c r="O210" i="2"/>
  <c r="S209" i="2"/>
  <c r="W209" i="2" s="1"/>
  <c r="O209" i="2"/>
  <c r="S208" i="2"/>
  <c r="W208" i="2" s="1"/>
  <c r="O208" i="2"/>
  <c r="S207" i="2"/>
  <c r="W207" i="2" s="1"/>
  <c r="O207" i="2"/>
  <c r="S206" i="2"/>
  <c r="W206" i="2" s="1"/>
  <c r="O206" i="2"/>
  <c r="S205" i="2"/>
  <c r="W205" i="2" s="1"/>
  <c r="O205" i="2"/>
  <c r="W204" i="2"/>
  <c r="S204" i="2"/>
  <c r="O204" i="2"/>
  <c r="S203" i="2"/>
  <c r="W203" i="2" s="1"/>
  <c r="O203" i="2"/>
  <c r="S202" i="2"/>
  <c r="W202" i="2" s="1"/>
  <c r="O202" i="2"/>
  <c r="W201" i="2"/>
  <c r="S201" i="2"/>
  <c r="O201" i="2"/>
  <c r="S200" i="2"/>
  <c r="W200" i="2" s="1"/>
  <c r="O200" i="2"/>
  <c r="W199" i="2"/>
  <c r="S199" i="2"/>
  <c r="O199" i="2"/>
  <c r="S198" i="2"/>
  <c r="W198" i="2" s="1"/>
  <c r="O198" i="2"/>
  <c r="W197" i="2"/>
  <c r="S197" i="2"/>
  <c r="O197" i="2"/>
  <c r="W196" i="2"/>
  <c r="S196" i="2"/>
  <c r="O196" i="2"/>
  <c r="W195" i="2"/>
  <c r="S195" i="2"/>
  <c r="O195" i="2"/>
  <c r="S194" i="2"/>
  <c r="W194" i="2" s="1"/>
  <c r="O194" i="2"/>
  <c r="S193" i="2"/>
  <c r="W193" i="2" s="1"/>
  <c r="O193" i="2"/>
  <c r="S192" i="2"/>
  <c r="W192" i="2" s="1"/>
  <c r="O192" i="2"/>
  <c r="S191" i="2"/>
  <c r="W191" i="2" s="1"/>
  <c r="O191" i="2"/>
  <c r="S190" i="2"/>
  <c r="W190" i="2" s="1"/>
  <c r="O190" i="2"/>
  <c r="S189" i="2"/>
  <c r="W189" i="2" s="1"/>
  <c r="O189" i="2"/>
  <c r="W188" i="2"/>
  <c r="S188" i="2"/>
  <c r="O188" i="2"/>
  <c r="S187" i="2"/>
  <c r="W187" i="2" s="1"/>
  <c r="O187" i="2"/>
  <c r="S186" i="2"/>
  <c r="W186" i="2" s="1"/>
  <c r="O186" i="2"/>
  <c r="W185" i="2"/>
  <c r="S185" i="2"/>
  <c r="O185" i="2"/>
  <c r="S184" i="2"/>
  <c r="W184" i="2" s="1"/>
  <c r="O184" i="2"/>
  <c r="W183" i="2"/>
  <c r="S183" i="2"/>
  <c r="O183" i="2"/>
  <c r="S182" i="2"/>
  <c r="W182" i="2" s="1"/>
  <c r="O182" i="2"/>
  <c r="W181" i="2"/>
  <c r="S181" i="2"/>
  <c r="O181" i="2"/>
  <c r="W180" i="2"/>
  <c r="S180" i="2"/>
  <c r="O180" i="2"/>
  <c r="W179" i="2"/>
  <c r="S179" i="2"/>
  <c r="O179" i="2"/>
  <c r="S178" i="2"/>
  <c r="W178" i="2" s="1"/>
  <c r="O178" i="2"/>
  <c r="S177" i="2"/>
  <c r="W177" i="2" s="1"/>
  <c r="O177" i="2"/>
  <c r="S176" i="2"/>
  <c r="W176" i="2" s="1"/>
  <c r="O176" i="2"/>
  <c r="S175" i="2"/>
  <c r="W175" i="2" s="1"/>
  <c r="O175" i="2"/>
  <c r="S174" i="2"/>
  <c r="W174" i="2" s="1"/>
  <c r="O174" i="2"/>
  <c r="S173" i="2"/>
  <c r="W173" i="2" s="1"/>
  <c r="O173" i="2"/>
  <c r="W172" i="2"/>
  <c r="S172" i="2"/>
  <c r="O172" i="2"/>
  <c r="S171" i="2"/>
  <c r="W171" i="2" s="1"/>
  <c r="O171" i="2"/>
  <c r="S170" i="2"/>
  <c r="W170" i="2" s="1"/>
  <c r="O170" i="2"/>
  <c r="W169" i="2"/>
  <c r="S169" i="2"/>
  <c r="O169" i="2"/>
  <c r="S168" i="2"/>
  <c r="W168" i="2" s="1"/>
  <c r="O168" i="2"/>
  <c r="W167" i="2"/>
  <c r="S167" i="2"/>
  <c r="O167" i="2"/>
  <c r="S166" i="2"/>
  <c r="W166" i="2" s="1"/>
  <c r="O166" i="2"/>
  <c r="W165" i="2"/>
  <c r="S165" i="2"/>
  <c r="O165" i="2"/>
  <c r="W164" i="2"/>
  <c r="S164" i="2"/>
  <c r="O164" i="2"/>
  <c r="W163" i="2"/>
  <c r="S163" i="2"/>
  <c r="O163" i="2"/>
  <c r="S162" i="2"/>
  <c r="W162" i="2" s="1"/>
  <c r="O162" i="2"/>
  <c r="S161" i="2"/>
  <c r="W161" i="2" s="1"/>
  <c r="O161" i="2"/>
  <c r="S160" i="2"/>
  <c r="W160" i="2" s="1"/>
  <c r="O160" i="2"/>
  <c r="S159" i="2"/>
  <c r="W159" i="2" s="1"/>
  <c r="O159" i="2"/>
  <c r="S158" i="2"/>
  <c r="W158" i="2" s="1"/>
  <c r="O158" i="2"/>
  <c r="S157" i="2"/>
  <c r="W157" i="2" s="1"/>
  <c r="O157" i="2"/>
  <c r="W156" i="2"/>
  <c r="S156" i="2"/>
  <c r="O156" i="2"/>
  <c r="S155" i="2"/>
  <c r="W155" i="2" s="1"/>
  <c r="O155" i="2"/>
  <c r="S154" i="2"/>
  <c r="W154" i="2" s="1"/>
  <c r="O154" i="2"/>
  <c r="W153" i="2"/>
  <c r="S153" i="2"/>
  <c r="O153" i="2"/>
  <c r="S152" i="2"/>
  <c r="W152" i="2" s="1"/>
  <c r="O152" i="2"/>
  <c r="W151" i="2"/>
  <c r="S151" i="2"/>
  <c r="O151" i="2"/>
  <c r="S150" i="2"/>
  <c r="W150" i="2" s="1"/>
  <c r="O150" i="2"/>
  <c r="W149" i="2"/>
  <c r="S149" i="2"/>
  <c r="O149" i="2"/>
  <c r="W148" i="2"/>
  <c r="S148" i="2"/>
  <c r="O148" i="2"/>
  <c r="W147" i="2"/>
  <c r="S147" i="2"/>
  <c r="O147" i="2"/>
  <c r="S146" i="2"/>
  <c r="W146" i="2" s="1"/>
  <c r="O146" i="2"/>
  <c r="S145" i="2"/>
  <c r="W145" i="2" s="1"/>
  <c r="O145" i="2"/>
  <c r="S144" i="2"/>
  <c r="W144" i="2" s="1"/>
  <c r="O144" i="2"/>
  <c r="S143" i="2"/>
  <c r="W143" i="2" s="1"/>
  <c r="O143" i="2"/>
  <c r="S142" i="2"/>
  <c r="W142" i="2" s="1"/>
  <c r="O142" i="2"/>
  <c r="S141" i="2"/>
  <c r="W141" i="2" s="1"/>
  <c r="O141" i="2"/>
  <c r="W140" i="2"/>
  <c r="S140" i="2"/>
  <c r="O140" i="2"/>
  <c r="S139" i="2"/>
  <c r="W139" i="2" s="1"/>
  <c r="O139" i="2"/>
  <c r="S138" i="2"/>
  <c r="W138" i="2" s="1"/>
  <c r="O138" i="2"/>
  <c r="W137" i="2"/>
  <c r="S137" i="2"/>
  <c r="O137" i="2"/>
  <c r="S136" i="2"/>
  <c r="W136" i="2" s="1"/>
  <c r="O136" i="2"/>
  <c r="W135" i="2"/>
  <c r="S135" i="2"/>
  <c r="O135" i="2"/>
  <c r="S134" i="2"/>
  <c r="W134" i="2" s="1"/>
  <c r="O134" i="2"/>
  <c r="W133" i="2"/>
  <c r="S133" i="2"/>
  <c r="O133" i="2"/>
  <c r="W132" i="2"/>
  <c r="S132" i="2"/>
  <c r="O132" i="2"/>
  <c r="W131" i="2"/>
  <c r="S131" i="2"/>
  <c r="O131" i="2"/>
  <c r="S130" i="2"/>
  <c r="W130" i="2" s="1"/>
  <c r="O130" i="2"/>
  <c r="S129" i="2"/>
  <c r="W129" i="2" s="1"/>
  <c r="O129" i="2"/>
  <c r="S128" i="2"/>
  <c r="W128" i="2" s="1"/>
  <c r="O128" i="2"/>
  <c r="S127" i="2"/>
  <c r="W127" i="2" s="1"/>
  <c r="O127" i="2"/>
  <c r="S126" i="2"/>
  <c r="W126" i="2" s="1"/>
  <c r="O126" i="2"/>
  <c r="S125" i="2"/>
  <c r="W125" i="2" s="1"/>
  <c r="O125" i="2"/>
  <c r="W124" i="2"/>
  <c r="S124" i="2"/>
  <c r="O124" i="2"/>
  <c r="S123" i="2"/>
  <c r="W123" i="2" s="1"/>
  <c r="O123" i="2"/>
  <c r="S122" i="2"/>
  <c r="W122" i="2" s="1"/>
  <c r="O122" i="2"/>
  <c r="W121" i="2"/>
  <c r="S121" i="2"/>
  <c r="O121" i="2"/>
  <c r="S120" i="2"/>
  <c r="W120" i="2" s="1"/>
  <c r="O120" i="2"/>
  <c r="W119" i="2"/>
  <c r="S119" i="2"/>
  <c r="O119" i="2"/>
  <c r="S118" i="2"/>
  <c r="W118" i="2" s="1"/>
  <c r="O118" i="2"/>
  <c r="W117" i="2"/>
  <c r="S117" i="2"/>
  <c r="O117" i="2"/>
  <c r="W116" i="2"/>
  <c r="S116" i="2"/>
  <c r="O116" i="2"/>
  <c r="W115" i="2"/>
  <c r="S115" i="2"/>
  <c r="O115" i="2"/>
  <c r="S114" i="2"/>
  <c r="W114" i="2" s="1"/>
  <c r="O114" i="2"/>
  <c r="S113" i="2"/>
  <c r="O113" i="2"/>
  <c r="S112" i="2"/>
  <c r="O112" i="2"/>
  <c r="S111" i="2"/>
  <c r="O111" i="2"/>
  <c r="S110" i="2"/>
  <c r="W110" i="2" s="1"/>
  <c r="O110" i="2"/>
  <c r="S109" i="2"/>
  <c r="W109" i="2" s="1"/>
  <c r="O109" i="2"/>
  <c r="S108" i="2"/>
  <c r="W108" i="2" s="1"/>
  <c r="O108" i="2"/>
  <c r="W107" i="2"/>
  <c r="S107" i="2"/>
  <c r="O107" i="2"/>
  <c r="S106" i="2"/>
  <c r="W106" i="2" s="1"/>
  <c r="O106" i="2"/>
  <c r="S105" i="2"/>
  <c r="W105" i="2" s="1"/>
  <c r="O105" i="2"/>
  <c r="W104" i="2"/>
  <c r="S104" i="2"/>
  <c r="O104" i="2"/>
  <c r="S103" i="2"/>
  <c r="W103" i="2" s="1"/>
  <c r="O103" i="2"/>
  <c r="A80" i="2"/>
  <c r="A75" i="2"/>
  <c r="AA73" i="2"/>
  <c r="A70" i="2"/>
  <c r="AA54" i="2"/>
  <c r="M26" i="2"/>
  <c r="J24" i="2"/>
  <c r="O18" i="2"/>
  <c r="J17" i="2" s="1"/>
  <c r="U14" i="2"/>
  <c r="S3" i="2" s="1"/>
  <c r="I4" i="2"/>
  <c r="V19" i="2" l="1"/>
  <c r="U19" i="2" s="1"/>
</calcChain>
</file>

<file path=xl/sharedStrings.xml><?xml version="1.0" encoding="utf-8"?>
<sst xmlns="http://schemas.openxmlformats.org/spreadsheetml/2006/main" count="3956" uniqueCount="158">
  <si>
    <t>USO DE TRATAMIENTO DE DATOS PERSONALES</t>
  </si>
  <si>
    <t xml:space="preserve">Conforme a lo establecido en la Ley N° 29733 - Ley de Protección de Datos Personales (la “Ley”) y en el Decreto Supremo 003-2013/JUS - Reglamento de la Ley (el “Reglamento”), doy mi consentimiento libre, previo, informado, expreso e inequívoco, para que Rimac Seguros y Reaseguros (en adelante, RIMAC) realice el tratamiento de los datos personales que le proporcione de forma física o digital (los “Datos Personales”), con la finalidad de ejecutar cualquier relación contractual que mantengo y/o mantendré con la misma, así como para fines estadísticos y/o analíticos, y/o de comportamiento del cliente y/o para que evalúen la calidad del producto o servicio brindado. Declaro conocer mi derecho a revocar este consentimiento en cualquier momento.
Autorizo para los fines señalados, que RIMAC pueda realizar un tratamiento por encargo a terceros de mis Datos Personales, pudiendo transferirlos a nivel nacional y/o internacional a las empresas subsidiarias, filiales, asociadas, afiliadas o miembros del Grupo Económico al cual pertenece RIMAC, además de otras empresas cuyo listado completo se encuentra en la página web www.rimac.com.pe, sujetándose a las mismas obligaciones y medidas de seguridad, técnicas y legales. 
Declaro haber sido informado que conforme a la Ley y el Reglamento, mientras dure mi relación contractual con RIMAC y hasta por 10 años de culminada la misma, mis Datos Personales se almacenarán en el banco de datos de Clientes de titularidad de RIMAC, con domicilio en Av. Paseo de la República 3505 Piso 11 – San Isidro, Lima, estando además inscritos en el Registro Nacional de Protección de Datos Personales con la denominación “Clientes” con código RNPDP-PJP N° 1637. 
Declaro conocer mi derecho a solicitar el acceso a mis Datos Personales y conocer su tratamiento, así como a solicitar su actualización, inclusión, rectificación, cancelación y supresión, pudiendo oponerme a su uso o divulgación, a través de cualquiera de las Plataformas de Atención de RIMAC. Teniendo a salvo además el ejercicio de la tutela de mis derechos ante la Autoridad Nacional de Protección de Datos Personales en vía de reclamación o al Poder Judicial para la acción de hábeas data.
</t>
  </si>
  <si>
    <t xml:space="preserve"> / Inclusión /  4002 -  / Corredor : </t>
  </si>
  <si>
    <t>*</t>
  </si>
  <si>
    <t>recepcion@rimac.com.pe</t>
  </si>
  <si>
    <t>Por favor considerar el asunto y correo electrónico que se muestra en el formato</t>
  </si>
  <si>
    <t xml:space="preserve"> Solicitud de Endosos - Inclusiones</t>
  </si>
  <si>
    <t xml:space="preserve">Estimados Señores, 
Se adjunta solicitud 
Saludos, </t>
  </si>
  <si>
    <t>Corredor:</t>
  </si>
  <si>
    <t xml:space="preserve">FBA Corredores de Seguros </t>
  </si>
  <si>
    <t>Nro de Póliza</t>
  </si>
  <si>
    <t>Nro de personas a incluir</t>
  </si>
  <si>
    <t>Producto :</t>
  </si>
  <si>
    <t>-</t>
  </si>
  <si>
    <t>AMI- Formación laboral</t>
  </si>
  <si>
    <t>Inclusión</t>
  </si>
  <si>
    <t>Inclusión masiva</t>
  </si>
  <si>
    <t>Contratante</t>
  </si>
  <si>
    <t xml:space="preserve">Las inclusiones se realizan al 1 de cada mes </t>
  </si>
  <si>
    <t>Nombres y Apellidos o Razon social</t>
  </si>
  <si>
    <t>Tipo de Dcto</t>
  </si>
  <si>
    <t>Nro de Dcto</t>
  </si>
  <si>
    <t>Correo electrónico (Obligatorio)</t>
  </si>
  <si>
    <t>Neo Consulting S.AC.</t>
  </si>
  <si>
    <t>R.U.C.</t>
  </si>
  <si>
    <t>manuel.falcon@neoconsulting.ai</t>
  </si>
  <si>
    <t>Endoso de Prórroga</t>
  </si>
  <si>
    <t>Inicio de Prórroga :</t>
  </si>
  <si>
    <t>Fin de Prórroga :</t>
  </si>
  <si>
    <t>Prorrogas mayores a 90 días pasaran por un flujo de autorización, si cuenta con el VB adjuntar al correo</t>
  </si>
  <si>
    <t>Observación :</t>
  </si>
  <si>
    <t>Endoso de Cesión de derecho</t>
  </si>
  <si>
    <t>Tipo de solicitud :</t>
  </si>
  <si>
    <t>Seleccione</t>
  </si>
  <si>
    <t>Endosatario :</t>
  </si>
  <si>
    <t>Rehabilitación</t>
  </si>
  <si>
    <t>Fecha de rehabilitación :</t>
  </si>
  <si>
    <t>Recuerde que esta operación pasará por un flujo de autorización, adjuntar carta de no siniestralidad</t>
  </si>
  <si>
    <t>Endoso de Inclusión / Por persona</t>
  </si>
  <si>
    <t>Endoso de Datos de la Unidad</t>
  </si>
  <si>
    <t>Complete los campos que desee modificar</t>
  </si>
  <si>
    <t>Clase de Vehículo :</t>
  </si>
  <si>
    <t>Placa/Rodaje :</t>
  </si>
  <si>
    <t>Si lo solicitado altera la prima neta pasará por un flujo de autorización</t>
  </si>
  <si>
    <t>Tipo de Vehículo :</t>
  </si>
  <si>
    <t xml:space="preserve">Motor : </t>
  </si>
  <si>
    <t>Marca:</t>
  </si>
  <si>
    <t>Serie :</t>
  </si>
  <si>
    <t>Modelo :</t>
  </si>
  <si>
    <t>Año de fabricación :</t>
  </si>
  <si>
    <t>Uso de vehículo :</t>
  </si>
  <si>
    <t>Nro de ocupantes :</t>
  </si>
  <si>
    <t xml:space="preserve">Vehículo a gas : </t>
  </si>
  <si>
    <t>Suma Asegurada :</t>
  </si>
  <si>
    <t>Actualización de datos del cliente</t>
  </si>
  <si>
    <t>Correo electronico</t>
  </si>
  <si>
    <t>Dirección(Opcional)</t>
  </si>
  <si>
    <t>Para esta operación copiar al correo: verificaciondedatos@rimac.com.pe</t>
  </si>
  <si>
    <t>Cambio de Contratante/ Asegurado/ Responsable de Pago</t>
  </si>
  <si>
    <t>AUTOGESTIONABLE</t>
  </si>
  <si>
    <t>¿Qué desea modificar ?</t>
  </si>
  <si>
    <t>Observación</t>
  </si>
  <si>
    <t>Anulación /Exclusión</t>
  </si>
  <si>
    <t>Tipo de solicitud</t>
  </si>
  <si>
    <t>Exclusión</t>
  </si>
  <si>
    <t>*Fecha:</t>
  </si>
  <si>
    <t>*Si desea anular/excluir desde inicio de vigencia indicarlo en fecha</t>
  </si>
  <si>
    <t>La puedes realizar siempre y cuando la póliza no tenga siniestro, no este endosada y no sea retroactiva a 60 días.</t>
  </si>
  <si>
    <t>Motivo :</t>
  </si>
  <si>
    <t>Rehacer</t>
  </si>
  <si>
    <t>Dice :</t>
  </si>
  <si>
    <t>Datos del Asegurado</t>
  </si>
  <si>
    <t>Plan</t>
  </si>
  <si>
    <t>Apellido Paterno</t>
  </si>
  <si>
    <t>Apellido Materno</t>
  </si>
  <si>
    <t>Nombres</t>
  </si>
  <si>
    <t>Nro. de Dcto</t>
  </si>
  <si>
    <t>Fec. Nacimiento</t>
  </si>
  <si>
    <t>Sexo</t>
  </si>
  <si>
    <t>Remuneracion total o bruta</t>
  </si>
  <si>
    <t>Tipo de actividad</t>
  </si>
  <si>
    <t>Inicio de Vigencia</t>
  </si>
  <si>
    <t>Administrativo</t>
  </si>
  <si>
    <t>Chumacero</t>
  </si>
  <si>
    <t>Bustamante</t>
  </si>
  <si>
    <t>Miguel Angel</t>
  </si>
  <si>
    <t>D.N.I.</t>
  </si>
  <si>
    <t>miguel.chumacero.b@gmail.com</t>
  </si>
  <si>
    <t>Masculino</t>
  </si>
  <si>
    <t>Manual técnico</t>
  </si>
  <si>
    <t>Alto riesgo</t>
  </si>
  <si>
    <t>PLAN 1  (Hasta S./ 1,130)</t>
  </si>
  <si>
    <t>PLAN 2  (Hasta S./ 1,800)</t>
  </si>
  <si>
    <t>PLAN 3  (Hasta S./ 3,000)</t>
  </si>
  <si>
    <t>PLAN</t>
  </si>
  <si>
    <t>PLAN A  (Hasta S./ 1,130)</t>
  </si>
  <si>
    <t>Producto</t>
  </si>
  <si>
    <t xml:space="preserve"> </t>
  </si>
  <si>
    <t>Multirriesgo</t>
  </si>
  <si>
    <t>Modular</t>
  </si>
  <si>
    <t>3D</t>
  </si>
  <si>
    <t>Corporativa</t>
  </si>
  <si>
    <t>Deshonestidad</t>
  </si>
  <si>
    <t>C.E.</t>
  </si>
  <si>
    <t>Colectiva</t>
  </si>
  <si>
    <t>Robo</t>
  </si>
  <si>
    <t>PASAPORTE</t>
  </si>
  <si>
    <t>Responsabilidad Civil</t>
  </si>
  <si>
    <t>Domiciliario</t>
  </si>
  <si>
    <t>Seguro Bancario</t>
  </si>
  <si>
    <t>Desde inicio de vigencia</t>
  </si>
  <si>
    <t>Si</t>
  </si>
  <si>
    <t>Transportes Anual</t>
  </si>
  <si>
    <t>Otros :</t>
  </si>
  <si>
    <t>No</t>
  </si>
  <si>
    <t>Transportes Flotante</t>
  </si>
  <si>
    <t>Transporte Individual</t>
  </si>
  <si>
    <t>Cambio de Compañía</t>
  </si>
  <si>
    <t>TREC</t>
  </si>
  <si>
    <t>No puede pagar la póliza</t>
  </si>
  <si>
    <t>CAR - Construcción</t>
  </si>
  <si>
    <t>No desea póliza</t>
  </si>
  <si>
    <t>EAR - Montaje</t>
  </si>
  <si>
    <t>Otro( Especifique) :</t>
  </si>
  <si>
    <t>Modificación</t>
  </si>
  <si>
    <t>Equip. Electrónico</t>
  </si>
  <si>
    <t>Rotura de Maquinaria</t>
  </si>
  <si>
    <t>OCT -Obras Civiles Terminadas</t>
  </si>
  <si>
    <t>Asegurado</t>
  </si>
  <si>
    <t>Anulación</t>
  </si>
  <si>
    <t>Negocio Seguro</t>
  </si>
  <si>
    <t>Responsable de Pago</t>
  </si>
  <si>
    <t>Cláusula</t>
  </si>
  <si>
    <t>Póliza</t>
  </si>
  <si>
    <t>Incluir</t>
  </si>
  <si>
    <t>Cobertura</t>
  </si>
  <si>
    <t>Certificado</t>
  </si>
  <si>
    <t>Excluir</t>
  </si>
  <si>
    <t>Deducible</t>
  </si>
  <si>
    <t>Modificar</t>
  </si>
  <si>
    <t>Condición especial (Especifíque)</t>
  </si>
  <si>
    <t>Varios (especificar en observación)</t>
  </si>
  <si>
    <t>Nueva póliza</t>
  </si>
  <si>
    <t xml:space="preserve">  </t>
  </si>
  <si>
    <t>Daño Propio</t>
  </si>
  <si>
    <t>2101 -</t>
  </si>
  <si>
    <t>nueva poliza</t>
  </si>
  <si>
    <t>Brevete</t>
  </si>
  <si>
    <t>2010 -</t>
  </si>
  <si>
    <t>Póliza Nueva</t>
  </si>
  <si>
    <t xml:space="preserve">inclusion </t>
  </si>
  <si>
    <t>Responsabilidad Civil - TPU</t>
  </si>
  <si>
    <t>2016 -</t>
  </si>
  <si>
    <t>exclusion</t>
  </si>
  <si>
    <t>Traslados</t>
  </si>
  <si>
    <t>2014 -</t>
  </si>
  <si>
    <t>Exhibición de Placas</t>
  </si>
  <si>
    <t>2015 -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</si>
</sst>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_ &quot;S/.&quot;\ * #,##0.00_ ;_ &quot;S/.&quot;\ * \-#,##0.00_ ;_ &quot;S/.&quot;\ * &quot;-&quot;??_ ;_ @_ "/>
    <numFmt numFmtId="166" formatCode="_(* #,##0.00_);_(* \(#,##0.00\);_(* &quot;-&quot;??_);_(@_)"/>
  </numFmts>
  <fonts count="31" x14ac:knownFonts="1">
    <font>
      <sz val="11"/>
      <color theme="1"/>
      <name val="Calibri"/>
      <scheme val="minor"/>
    </font>
    <font>
      <b/>
      <sz val="10"/>
      <color theme="1"/>
      <name val="Arial"/>
    </font>
    <font>
      <sz val="11"/>
      <name val="Calibri"/>
    </font>
    <font>
      <sz val="10"/>
      <color theme="1"/>
      <name val="Arial"/>
    </font>
    <font>
      <sz val="11"/>
      <color theme="1"/>
      <name val="Calibri"/>
    </font>
    <font>
      <sz val="11"/>
      <color rgb="FFFF0000"/>
      <name val="Calibri"/>
    </font>
    <font>
      <b/>
      <sz val="11"/>
      <color theme="1"/>
      <name val="Calibri"/>
    </font>
    <font>
      <sz val="12"/>
      <color rgb="FF222222"/>
      <name val="Arial"/>
    </font>
    <font>
      <b/>
      <sz val="11"/>
      <color rgb="FFFF0000"/>
      <name val="Calibri"/>
    </font>
    <font>
      <sz val="14"/>
      <color rgb="FF5C5C5C"/>
      <name val="Arial"/>
    </font>
    <font>
      <b/>
      <sz val="10"/>
      <color theme="1"/>
      <name val="Calibri"/>
    </font>
    <font>
      <b/>
      <sz val="9"/>
      <color theme="1"/>
      <name val="Calibri"/>
    </font>
    <font>
      <b/>
      <sz val="9"/>
      <color theme="0"/>
      <name val="Arial"/>
    </font>
    <font>
      <b/>
      <sz val="9"/>
      <color rgb="FF3F3F3F"/>
      <name val="Calibri"/>
    </font>
    <font>
      <u/>
      <sz val="11"/>
      <color theme="10"/>
      <name val="Calibri"/>
    </font>
    <font>
      <b/>
      <sz val="10"/>
      <color rgb="FFFF0000"/>
      <name val="Calibri"/>
    </font>
    <font>
      <b/>
      <sz val="12"/>
      <color rgb="FF7F7F7F"/>
      <name val="Arial"/>
    </font>
    <font>
      <b/>
      <sz val="11"/>
      <color rgb="FF3A3838"/>
      <name val="Calibri"/>
    </font>
    <font>
      <sz val="11"/>
      <color theme="0"/>
      <name val="Calibri"/>
    </font>
    <font>
      <sz val="9"/>
      <color theme="1"/>
      <name val="Calibri"/>
    </font>
    <font>
      <b/>
      <sz val="9"/>
      <color rgb="FFFF0000"/>
      <name val="Calibri"/>
    </font>
    <font>
      <b/>
      <sz val="11"/>
      <color rgb="FF3F3F3F"/>
      <name val="Calibri"/>
    </font>
    <font>
      <sz val="8"/>
      <color theme="1"/>
      <name val="Calibri"/>
    </font>
    <font>
      <b/>
      <sz val="11"/>
      <color theme="0"/>
      <name val="Arial"/>
    </font>
    <font>
      <b/>
      <sz val="11"/>
      <color theme="0"/>
      <name val="Calibri"/>
    </font>
    <font>
      <b/>
      <sz val="11"/>
      <color theme="1"/>
      <name val="Calibri"/>
    </font>
    <font>
      <sz val="11"/>
      <color rgb="FF0563C1"/>
      <name val="Calibri"/>
    </font>
    <font>
      <sz val="11"/>
      <color theme="10"/>
      <name val="Calibri"/>
    </font>
    <font>
      <sz val="10"/>
      <color rgb="FFFF0000"/>
      <name val="Arial"/>
    </font>
    <font>
      <sz val="8"/>
      <color rgb="FF5C5C5C"/>
      <name val="Arial"/>
    </font>
    <font>
      <u/>
      <sz val="11"/>
      <color theme="10"/>
      <name val="Calibri"/>
    </font>
  </fonts>
  <fills count="14">
    <fill>
      <patternFill patternType="none"/>
    </fill>
    <fill>
      <patternFill patternType="gray125"/>
    </fill>
    <fill>
      <patternFill patternType="solid">
        <fgColor rgb="FFC0C0C0"/>
        <bgColor rgb="FFC0C0C0"/>
      </patternFill>
    </fill>
    <fill>
      <patternFill patternType="solid">
        <fgColor theme="0"/>
        <bgColor theme="0"/>
      </patternFill>
    </fill>
    <fill>
      <patternFill patternType="solid">
        <fgColor rgb="FFBDD6EE"/>
        <bgColor rgb="FFBDD6EE"/>
      </patternFill>
    </fill>
    <fill>
      <patternFill patternType="solid">
        <fgColor rgb="FFE7E6E6"/>
        <bgColor rgb="FFE7E6E6"/>
      </patternFill>
    </fill>
    <fill>
      <patternFill patternType="solid">
        <fgColor rgb="FFFBE4D5"/>
        <bgColor rgb="FFFBE4D5"/>
      </patternFill>
    </fill>
    <fill>
      <patternFill patternType="solid">
        <fgColor rgb="FFFF0000"/>
        <bgColor rgb="FFFF0000"/>
      </patternFill>
    </fill>
    <fill>
      <patternFill patternType="solid">
        <fgColor rgb="FFA8D08D"/>
        <bgColor rgb="FFA8D08D"/>
      </patternFill>
    </fill>
    <fill>
      <patternFill patternType="solid">
        <fgColor rgb="FFFFD965"/>
        <bgColor rgb="FFFFD965"/>
      </patternFill>
    </fill>
    <fill>
      <patternFill patternType="solid">
        <fgColor rgb="FFD8D8D8"/>
        <bgColor rgb="FFD8D8D8"/>
      </patternFill>
    </fill>
    <fill>
      <patternFill patternType="solid">
        <fgColor rgb="FF00B050"/>
        <bgColor rgb="FF00B050"/>
      </patternFill>
    </fill>
    <fill>
      <patternFill patternType="solid">
        <fgColor rgb="FFFFFF00"/>
        <bgColor rgb="FFFFFF00"/>
      </patternFill>
    </fill>
    <fill>
      <patternFill patternType="solid">
        <fgColor rgb="FFECF0F8"/>
        <bgColor rgb="FFECF0F8"/>
      </patternFill>
    </fill>
  </fills>
  <borders count="33">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1">
    <xf numFmtId="0" fontId="0" fillId="0" borderId="0"/>
  </cellStyleXfs>
  <cellXfs count="116">
    <xf numFmtId="0" fontId="0" fillId="0" borderId="0" xfId="0"/>
    <xf numFmtId="0" fontId="4" fillId="0" borderId="0" xfId="0" applyFont="1"/>
    <xf numFmtId="0" fontId="5" fillId="3" borderId="10" xfId="0" applyFont="1" applyFill="1" applyBorder="1"/>
    <xf numFmtId="0" fontId="5" fillId="0" borderId="0" xfId="0" applyFont="1"/>
    <xf numFmtId="0" fontId="6" fillId="0" borderId="0" xfId="0" applyFont="1"/>
    <xf numFmtId="0" fontId="6" fillId="0" borderId="0" xfId="0" applyFont="1" applyAlignment="1">
      <alignment vertical="center"/>
    </xf>
    <xf numFmtId="0" fontId="7" fillId="0" borderId="0" xfId="0" applyFont="1"/>
    <xf numFmtId="0" fontId="8" fillId="0" borderId="0" xfId="0" applyFont="1" applyAlignment="1">
      <alignment vertical="center"/>
    </xf>
    <xf numFmtId="0" fontId="9" fillId="4" borderId="10" xfId="0" applyFont="1" applyFill="1" applyBorder="1" applyAlignment="1">
      <alignment vertical="center" wrapText="1"/>
    </xf>
    <xf numFmtId="0" fontId="4" fillId="4" borderId="10" xfId="0" applyFont="1" applyFill="1" applyBorder="1"/>
    <xf numFmtId="0" fontId="5" fillId="3" borderId="10" xfId="0" applyFont="1" applyFill="1" applyBorder="1" applyAlignment="1">
      <alignment wrapText="1"/>
    </xf>
    <xf numFmtId="0" fontId="8" fillId="0" borderId="0" xfId="0" applyFont="1" applyAlignment="1">
      <alignment horizontal="center"/>
    </xf>
    <xf numFmtId="0" fontId="10" fillId="5" borderId="18" xfId="0" applyFont="1" applyFill="1" applyBorder="1" applyAlignment="1">
      <alignment horizontal="center" vertical="center"/>
    </xf>
    <xf numFmtId="0" fontId="11" fillId="0" borderId="0" xfId="0" applyFont="1" applyAlignment="1">
      <alignment horizontal="center"/>
    </xf>
    <xf numFmtId="0" fontId="10" fillId="5" borderId="21" xfId="0" applyFont="1" applyFill="1" applyBorder="1" applyAlignment="1">
      <alignment horizontal="center" vertical="center"/>
    </xf>
    <xf numFmtId="0" fontId="10" fillId="5" borderId="21" xfId="0" applyFont="1" applyFill="1" applyBorder="1" applyAlignment="1">
      <alignment horizontal="center" vertical="center" wrapText="1"/>
    </xf>
    <xf numFmtId="0" fontId="10" fillId="6" borderId="21" xfId="0" applyFont="1" applyFill="1" applyBorder="1" applyAlignment="1">
      <alignment horizontal="center" vertical="center"/>
    </xf>
    <xf numFmtId="0" fontId="8" fillId="0" borderId="0" xfId="0" applyFont="1"/>
    <xf numFmtId="0" fontId="12" fillId="3" borderId="10" xfId="0" applyFont="1" applyFill="1" applyBorder="1"/>
    <xf numFmtId="0" fontId="4" fillId="3" borderId="10" xfId="0" applyFont="1" applyFill="1" applyBorder="1"/>
    <xf numFmtId="0" fontId="13" fillId="0" borderId="0" xfId="0" applyFont="1" applyAlignment="1">
      <alignment vertical="center" wrapText="1"/>
    </xf>
    <xf numFmtId="0" fontId="15" fillId="3" borderId="10" xfId="0" applyFont="1" applyFill="1" applyBorder="1" applyAlignment="1">
      <alignment vertical="center"/>
    </xf>
    <xf numFmtId="0" fontId="5" fillId="4" borderId="10" xfId="0" applyFont="1" applyFill="1" applyBorder="1"/>
    <xf numFmtId="164" fontId="18" fillId="0" borderId="0" xfId="0" applyNumberFormat="1" applyFont="1"/>
    <xf numFmtId="0" fontId="13" fillId="0" borderId="21" xfId="0" applyFont="1" applyBorder="1" applyAlignment="1">
      <alignment horizontal="left" vertical="center"/>
    </xf>
    <xf numFmtId="0" fontId="20" fillId="0" borderId="0" xfId="0" applyFont="1" applyAlignment="1">
      <alignment horizontal="left" vertical="center"/>
    </xf>
    <xf numFmtId="0" fontId="13" fillId="0" borderId="0" xfId="0" applyFont="1" applyAlignment="1">
      <alignment horizontal="left" vertical="center" wrapText="1"/>
    </xf>
    <xf numFmtId="0" fontId="20" fillId="0" borderId="0" xfId="0" applyFont="1" applyAlignment="1">
      <alignment horizontal="left" vertical="center" wrapText="1"/>
    </xf>
    <xf numFmtId="0" fontId="13" fillId="0" borderId="0" xfId="0" applyFont="1" applyAlignment="1">
      <alignment horizontal="right" vertical="center"/>
    </xf>
    <xf numFmtId="0" fontId="4" fillId="3" borderId="10" xfId="0" applyFont="1" applyFill="1" applyBorder="1" applyAlignment="1">
      <alignment vertical="center" wrapText="1"/>
    </xf>
    <xf numFmtId="0" fontId="21" fillId="0" borderId="0" xfId="0" applyFont="1" applyAlignment="1">
      <alignment vertical="center"/>
    </xf>
    <xf numFmtId="0" fontId="13" fillId="0" borderId="18" xfId="0" applyFont="1" applyBorder="1" applyAlignment="1">
      <alignment vertical="center"/>
    </xf>
    <xf numFmtId="0" fontId="13" fillId="0" borderId="0" xfId="0" applyFont="1" applyAlignment="1">
      <alignment vertical="center"/>
    </xf>
    <xf numFmtId="0" fontId="18" fillId="0" borderId="0" xfId="0" applyFont="1"/>
    <xf numFmtId="0" fontId="4" fillId="0" borderId="0" xfId="0" applyFont="1" applyAlignment="1">
      <alignment horizontal="right"/>
    </xf>
    <xf numFmtId="0" fontId="20" fillId="0" borderId="24" xfId="0" applyFont="1" applyBorder="1" applyAlignment="1">
      <alignment vertical="center"/>
    </xf>
    <xf numFmtId="0" fontId="13" fillId="0" borderId="24" xfId="0" applyFont="1" applyBorder="1" applyAlignment="1">
      <alignment vertical="center"/>
    </xf>
    <xf numFmtId="0" fontId="22" fillId="0" borderId="0" xfId="0" applyFont="1"/>
    <xf numFmtId="0" fontId="4" fillId="7" borderId="10" xfId="0" applyFont="1" applyFill="1" applyBorder="1"/>
    <xf numFmtId="0" fontId="13" fillId="0" borderId="18" xfId="0" applyFont="1" applyBorder="1" applyAlignment="1">
      <alignment vertic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4" fillId="0" borderId="21" xfId="0" applyFont="1" applyBorder="1"/>
    <xf numFmtId="164" fontId="4" fillId="0" borderId="21" xfId="0" applyNumberFormat="1" applyFont="1" applyBorder="1" applyAlignment="1">
      <alignment horizontal="center"/>
    </xf>
    <xf numFmtId="0" fontId="25" fillId="5" borderId="32" xfId="0" applyFont="1" applyFill="1" applyBorder="1" applyAlignment="1">
      <alignment horizontal="center"/>
    </xf>
    <xf numFmtId="164" fontId="25" fillId="5" borderId="21" xfId="0" applyNumberFormat="1" applyFont="1" applyFill="1" applyBorder="1" applyAlignment="1">
      <alignment horizontal="right"/>
    </xf>
    <xf numFmtId="164" fontId="10" fillId="5" borderId="21" xfId="0" applyNumberFormat="1" applyFont="1" applyFill="1" applyBorder="1" applyAlignment="1">
      <alignment vertical="center"/>
    </xf>
    <xf numFmtId="14" fontId="4" fillId="0" borderId="21" xfId="0" applyNumberFormat="1" applyFont="1" applyBorder="1"/>
    <xf numFmtId="0" fontId="28" fillId="0" borderId="0" xfId="0" applyFont="1" applyAlignment="1">
      <alignment vertical="center"/>
    </xf>
    <xf numFmtId="0" fontId="10" fillId="5" borderId="32" xfId="0" applyFont="1" applyFill="1" applyBorder="1" applyAlignment="1">
      <alignment horizontal="center" vertical="center"/>
    </xf>
    <xf numFmtId="0" fontId="4" fillId="12" borderId="10" xfId="0" applyFont="1" applyFill="1" applyBorder="1"/>
    <xf numFmtId="0" fontId="29" fillId="13" borderId="10" xfId="0" applyFont="1" applyFill="1" applyBorder="1" applyAlignment="1">
      <alignment horizontal="left" vertical="center" wrapText="1"/>
    </xf>
    <xf numFmtId="166" fontId="4" fillId="0" borderId="0" xfId="0" applyNumberFormat="1" applyFont="1"/>
    <xf numFmtId="0" fontId="4" fillId="0" borderId="0" xfId="0" applyFont="1" applyAlignment="1">
      <alignment vertical="center" wrapText="1"/>
    </xf>
    <xf numFmtId="0" fontId="30" fillId="0" borderId="0" xfId="0" applyFont="1" applyAlignment="1">
      <alignment vertical="center" wrapText="1"/>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3" fillId="0" borderId="4" xfId="0" applyFont="1" applyBorder="1" applyAlignment="1">
      <alignment horizontal="center" vertical="top" wrapText="1"/>
    </xf>
    <xf numFmtId="0" fontId="2" fillId="0" borderId="5" xfId="0" applyFont="1" applyBorder="1"/>
    <xf numFmtId="0" fontId="2" fillId="0" borderId="6" xfId="0" applyFont="1" applyBorder="1"/>
    <xf numFmtId="0" fontId="10" fillId="5" borderId="18" xfId="0" applyFont="1" applyFill="1" applyBorder="1" applyAlignment="1">
      <alignment horizontal="center" vertical="center"/>
    </xf>
    <xf numFmtId="0" fontId="2" fillId="0" borderId="20" xfId="0" applyFont="1" applyBorder="1"/>
    <xf numFmtId="165" fontId="4" fillId="0" borderId="19" xfId="0" applyNumberFormat="1" applyFont="1" applyBorder="1" applyAlignment="1">
      <alignment horizontal="center"/>
    </xf>
    <xf numFmtId="0" fontId="2" fillId="0" borderId="19" xfId="0" applyFont="1" applyBorder="1"/>
    <xf numFmtId="0" fontId="25" fillId="5" borderId="18" xfId="0" applyFont="1" applyFill="1" applyBorder="1" applyAlignment="1">
      <alignment horizontal="center"/>
    </xf>
    <xf numFmtId="0" fontId="13" fillId="0" borderId="24" xfId="0" applyFont="1" applyBorder="1" applyAlignment="1">
      <alignment horizontal="center" vertical="center" wrapText="1"/>
    </xf>
    <xf numFmtId="0" fontId="2" fillId="0" borderId="25" xfId="0" applyFont="1" applyBorder="1"/>
    <xf numFmtId="0" fontId="13" fillId="0" borderId="26" xfId="0" applyFont="1" applyBorder="1" applyAlignment="1">
      <alignment horizontal="center" vertical="center" wrapText="1"/>
    </xf>
    <xf numFmtId="0" fontId="13" fillId="0" borderId="18" xfId="0" applyFont="1" applyBorder="1" applyAlignment="1">
      <alignment horizontal="left" vertical="center"/>
    </xf>
    <xf numFmtId="164" fontId="4" fillId="10" borderId="18" xfId="0" applyNumberFormat="1" applyFont="1" applyFill="1" applyBorder="1" applyAlignment="1">
      <alignment horizontal="center"/>
    </xf>
    <xf numFmtId="0" fontId="4" fillId="3" borderId="7" xfId="0" applyFont="1" applyFill="1" applyBorder="1" applyAlignment="1">
      <alignment horizontal="center"/>
    </xf>
    <xf numFmtId="0" fontId="2" fillId="0" borderId="8" xfId="0" applyFont="1" applyBorder="1"/>
    <xf numFmtId="0" fontId="2" fillId="0" borderId="9" xfId="0" applyFont="1" applyBorder="1"/>
    <xf numFmtId="0" fontId="2" fillId="0" borderId="11" xfId="0" applyFont="1" applyBorder="1"/>
    <xf numFmtId="0" fontId="0" fillId="0" borderId="0" xfId="0"/>
    <xf numFmtId="0" fontId="2" fillId="0" borderId="12" xfId="0" applyFont="1" applyBorder="1"/>
    <xf numFmtId="0" fontId="2" fillId="0" borderId="15" xfId="0" applyFont="1" applyBorder="1"/>
    <xf numFmtId="0" fontId="2" fillId="0" borderId="16" xfId="0" applyFont="1" applyBorder="1"/>
    <xf numFmtId="0" fontId="2" fillId="0" borderId="17" xfId="0" applyFont="1" applyBorder="1"/>
    <xf numFmtId="0" fontId="6" fillId="3" borderId="13" xfId="0" applyFont="1" applyFill="1" applyBorder="1" applyAlignment="1">
      <alignment horizontal="center"/>
    </xf>
    <xf numFmtId="0" fontId="2" fillId="0" borderId="14" xfId="0" applyFont="1" applyBorder="1"/>
    <xf numFmtId="0" fontId="9" fillId="4" borderId="7" xfId="0" applyFont="1" applyFill="1" applyBorder="1" applyAlignment="1">
      <alignment horizontal="left" vertical="center" wrapText="1"/>
    </xf>
    <xf numFmtId="0" fontId="12" fillId="7" borderId="22" xfId="0" applyFont="1" applyFill="1" applyBorder="1" applyAlignment="1">
      <alignment horizontal="center"/>
    </xf>
    <xf numFmtId="0" fontId="2" fillId="0" borderId="23" xfId="0" applyFont="1" applyBorder="1"/>
    <xf numFmtId="0" fontId="6" fillId="8" borderId="7" xfId="0" applyFont="1" applyFill="1" applyBorder="1" applyAlignment="1">
      <alignment horizontal="center" vertical="center" wrapText="1"/>
    </xf>
    <xf numFmtId="0" fontId="14" fillId="5" borderId="18" xfId="0" applyFont="1" applyFill="1" applyBorder="1" applyAlignment="1">
      <alignment horizontal="center" vertical="center"/>
    </xf>
    <xf numFmtId="0" fontId="16" fillId="4" borderId="13" xfId="0" applyFont="1" applyFill="1" applyBorder="1" applyAlignment="1">
      <alignment horizontal="center" vertical="center"/>
    </xf>
    <xf numFmtId="0" fontId="17" fillId="9" borderId="13" xfId="0" applyFont="1" applyFill="1" applyBorder="1" applyAlignment="1">
      <alignment horizontal="center"/>
    </xf>
    <xf numFmtId="0" fontId="10" fillId="10" borderId="18" xfId="0" applyFont="1" applyFill="1" applyBorder="1" applyAlignment="1">
      <alignment horizontal="center" vertical="center"/>
    </xf>
    <xf numFmtId="0" fontId="19" fillId="8" borderId="7" xfId="0" applyFont="1" applyFill="1" applyBorder="1" applyAlignment="1">
      <alignment horizontal="center" vertical="center" wrapText="1"/>
    </xf>
    <xf numFmtId="0" fontId="13" fillId="0" borderId="0" xfId="0" applyFont="1" applyAlignment="1">
      <alignment horizontal="right" vertical="center"/>
    </xf>
    <xf numFmtId="0" fontId="4" fillId="10" borderId="27" xfId="0" applyFont="1" applyFill="1" applyBorder="1" applyAlignment="1">
      <alignment horizontal="center"/>
    </xf>
    <xf numFmtId="0" fontId="2" fillId="0" borderId="28" xfId="0" applyFont="1" applyBorder="1"/>
    <xf numFmtId="0" fontId="2" fillId="0" borderId="29" xfId="0" applyFont="1" applyBorder="1"/>
    <xf numFmtId="0" fontId="2" fillId="0" borderId="26" xfId="0" applyFont="1" applyBorder="1"/>
    <xf numFmtId="0" fontId="2" fillId="0" borderId="24" xfId="0" applyFont="1" applyBorder="1"/>
    <xf numFmtId="0" fontId="13" fillId="10" borderId="18" xfId="0" applyFont="1" applyFill="1" applyBorder="1" applyAlignment="1">
      <alignment horizontal="center" vertical="center"/>
    </xf>
    <xf numFmtId="0" fontId="13" fillId="0" borderId="18" xfId="0" applyFont="1" applyBorder="1" applyAlignment="1">
      <alignment horizontal="right" vertical="center"/>
    </xf>
    <xf numFmtId="164" fontId="13" fillId="10" borderId="18" xfId="0" applyNumberFormat="1" applyFont="1" applyFill="1" applyBorder="1" applyAlignment="1">
      <alignment horizontal="center" vertical="center"/>
    </xf>
    <xf numFmtId="0" fontId="19" fillId="10" borderId="27" xfId="0" applyFont="1" applyFill="1" applyBorder="1" applyAlignment="1">
      <alignment horizontal="center" vertical="center"/>
    </xf>
    <xf numFmtId="0" fontId="13" fillId="0" borderId="18" xfId="0" applyFont="1" applyBorder="1" applyAlignment="1">
      <alignment horizontal="center" vertical="center" wrapText="1"/>
    </xf>
    <xf numFmtId="0" fontId="4" fillId="10" borderId="18" xfId="0" applyFont="1" applyFill="1" applyBorder="1" applyAlignment="1">
      <alignment horizontal="center" wrapText="1"/>
    </xf>
    <xf numFmtId="0" fontId="19" fillId="10" borderId="27" xfId="0" applyFont="1" applyFill="1" applyBorder="1" applyAlignment="1">
      <alignment horizontal="center" vertical="center" wrapText="1"/>
    </xf>
    <xf numFmtId="0" fontId="13" fillId="0" borderId="30" xfId="0" applyFont="1" applyBorder="1" applyAlignment="1">
      <alignment horizontal="right" vertical="center" wrapText="1"/>
    </xf>
    <xf numFmtId="0" fontId="2" fillId="0" borderId="30" xfId="0" applyFont="1" applyBorder="1"/>
    <xf numFmtId="0" fontId="13" fillId="0" borderId="0" xfId="0" applyFont="1" applyAlignment="1">
      <alignment horizontal="right" vertical="center" wrapText="1"/>
    </xf>
    <xf numFmtId="0" fontId="2" fillId="0" borderId="31" xfId="0" applyFont="1" applyBorder="1"/>
    <xf numFmtId="0" fontId="4" fillId="3" borderId="7" xfId="0" applyFont="1" applyFill="1" applyBorder="1" applyAlignment="1">
      <alignment horizontal="center" vertical="center" wrapText="1"/>
    </xf>
    <xf numFmtId="0" fontId="23" fillId="7" borderId="22" xfId="0" applyFont="1" applyFill="1" applyBorder="1" applyAlignment="1">
      <alignment horizontal="center"/>
    </xf>
    <xf numFmtId="0" fontId="24" fillId="11" borderId="13" xfId="0" applyFont="1" applyFill="1" applyBorder="1" applyAlignment="1">
      <alignment horizontal="center"/>
    </xf>
    <xf numFmtId="0" fontId="13" fillId="0" borderId="31" xfId="0" applyFont="1" applyBorder="1" applyAlignment="1">
      <alignment horizontal="center" vertical="center" wrapText="1"/>
    </xf>
    <xf numFmtId="0" fontId="13" fillId="0" borderId="0" xfId="0" applyFont="1" applyAlignment="1">
      <alignment horizontal="center" vertical="center" wrapText="1"/>
    </xf>
    <xf numFmtId="0" fontId="26" fillId="5" borderId="18" xfId="0" applyFont="1" applyFill="1" applyBorder="1" applyAlignment="1">
      <alignment horizontal="left" vertical="center"/>
    </xf>
    <xf numFmtId="0" fontId="26" fillId="5" borderId="18" xfId="0" applyFont="1" applyFill="1" applyBorder="1"/>
    <xf numFmtId="0" fontId="27" fillId="5" borderId="18" xfId="0" applyFont="1" applyFill="1" applyBorder="1" applyAlignment="1">
      <alignment horizontal="left" vertical="center"/>
    </xf>
  </cellXfs>
  <cellStyles count="1">
    <cellStyle name="Normal" xfId="0" builtinId="0"/>
  </cellStyles>
  <dxfs count="2">
    <dxf>
      <font>
        <color theme="0"/>
      </font>
      <fill>
        <patternFill patternType="none"/>
      </fill>
    </dxf>
    <dxf>
      <font>
        <color theme="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38100</xdr:colOff>
      <xdr:row>7</xdr:row>
      <xdr:rowOff>76200</xdr:rowOff>
    </xdr:from>
    <xdr:ext cx="4257675" cy="11906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221925" y="3189450"/>
          <a:ext cx="4248150" cy="1181100"/>
        </a:xfrm>
        <a:prstGeom prst="rect">
          <a:avLst/>
        </a:prstGeom>
        <a:noFill/>
        <a:ln>
          <a:noFill/>
        </a:ln>
      </xdr:spPr>
      <xdr:txBody>
        <a:bodyPr spcFirstLastPara="1" wrap="square" lIns="91425" tIns="45700" rIns="91425" bIns="45700" anchor="t" anchorCtr="0">
          <a:spAutoFit/>
        </a:bodyPr>
        <a:lstStyle/>
        <a:p>
          <a:pPr marL="0" lvl="0" indent="0" algn="ctr" rtl="0">
            <a:spcBef>
              <a:spcPts val="0"/>
            </a:spcBef>
            <a:spcAft>
              <a:spcPts val="0"/>
            </a:spcAft>
            <a:buClr>
              <a:srgbClr val="7F7F7F"/>
            </a:buClr>
            <a:buSzPts val="2400"/>
            <a:buFont typeface="Arial"/>
            <a:buNone/>
          </a:pPr>
          <a:r>
            <a:rPr lang="en-US" sz="2400">
              <a:solidFill>
                <a:srgbClr val="7F7F7F"/>
              </a:solidFill>
            </a:rPr>
            <a:t>Para poder interactuar con nuestro formato dale click en </a:t>
          </a:r>
          <a:r>
            <a:rPr lang="en-US" sz="2400">
              <a:solidFill>
                <a:srgbClr val="EF3B56"/>
              </a:solidFill>
            </a:rPr>
            <a:t>Habilitar Edición / Contenido </a:t>
          </a:r>
          <a:endParaRPr sz="1400"/>
        </a:p>
      </xdr:txBody>
    </xdr:sp>
    <xdr:clientData fLocksWithSheet="0"/>
  </xdr:oneCellAnchor>
  <xdr:oneCellAnchor>
    <xdr:from>
      <xdr:col>0</xdr:col>
      <xdr:colOff>352425</xdr:colOff>
      <xdr:row>11</xdr:row>
      <xdr:rowOff>114300</xdr:rowOff>
    </xdr:from>
    <xdr:ext cx="5553075" cy="1876425"/>
    <xdr:pic>
      <xdr:nvPicPr>
        <xdr:cNvPr id="2" name="image5.png" descr="Resultado de imagen para habilitar macr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333375</xdr:colOff>
      <xdr:row>6</xdr:row>
      <xdr:rowOff>76200</xdr:rowOff>
    </xdr:from>
    <xdr:ext cx="5629275" cy="619125"/>
    <xdr:pic>
      <xdr:nvPicPr>
        <xdr:cNvPr id="4" name="image1.png" descr="Resultado de imagen para habilitar edicion excel">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123825</xdr:colOff>
      <xdr:row>1</xdr:row>
      <xdr:rowOff>123825</xdr:rowOff>
    </xdr:from>
    <xdr:ext cx="457200" cy="504825"/>
    <xdr:pic>
      <xdr:nvPicPr>
        <xdr:cNvPr id="5" name="image4.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95250</xdr:rowOff>
    </xdr:from>
    <xdr:ext cx="1552575" cy="5905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1190625</xdr:colOff>
      <xdr:row>5</xdr:row>
      <xdr:rowOff>0</xdr:rowOff>
    </xdr:from>
    <xdr:ext cx="1162050" cy="428625"/>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manuel.falcon@neoconsulting.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topLeftCell="A3" workbookViewId="0"/>
  </sheetViews>
  <sheetFormatPr baseColWidth="10" defaultColWidth="14.44140625" defaultRowHeight="15" customHeight="1" x14ac:dyDescent="0.3"/>
  <cols>
    <col min="1" max="1" width="11.44140625" customWidth="1"/>
    <col min="2" max="2" width="15" customWidth="1"/>
    <col min="3" max="3" width="11.44140625" customWidth="1"/>
    <col min="4" max="4" width="16.44140625" customWidth="1"/>
    <col min="5" max="5" width="15.6640625" customWidth="1"/>
    <col min="6" max="6" width="27.33203125" customWidth="1"/>
    <col min="7" max="26" width="11.44140625" customWidth="1"/>
  </cols>
  <sheetData>
    <row r="1" ht="14.25" hidden="1" customHeight="1" x14ac:dyDescent="0.3"/>
    <row r="2" ht="14.25" hidden="1" customHeight="1" x14ac:dyDescent="0.3"/>
    <row r="3" ht="14.25" customHeight="1" x14ac:dyDescent="0.3"/>
    <row r="4" ht="14.25" customHeight="1" x14ac:dyDescent="0.3"/>
    <row r="5" ht="14.25" customHeight="1" x14ac:dyDescent="0.3"/>
    <row r="6" ht="14.25" hidden="1"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spans="1:6" ht="14.25" customHeight="1" x14ac:dyDescent="0.3"/>
    <row r="18" spans="1:6" ht="14.25" customHeight="1" x14ac:dyDescent="0.3"/>
    <row r="19" spans="1:6" ht="14.25" customHeight="1" x14ac:dyDescent="0.3"/>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c r="A25" s="55" t="s">
        <v>0</v>
      </c>
      <c r="B25" s="56"/>
      <c r="C25" s="56"/>
      <c r="D25" s="56"/>
      <c r="E25" s="56"/>
      <c r="F25" s="57"/>
    </row>
    <row r="26" spans="1:6" ht="230.25" customHeight="1" x14ac:dyDescent="0.3">
      <c r="A26" s="58" t="s">
        <v>1</v>
      </c>
      <c r="B26" s="59"/>
      <c r="C26" s="59"/>
      <c r="D26" s="59"/>
      <c r="E26" s="59"/>
      <c r="F26" s="60"/>
    </row>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A25:F25"/>
    <mergeCell ref="A26:F2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U3114"/>
  <sheetViews>
    <sheetView showGridLines="0" tabSelected="1" topLeftCell="C1" workbookViewId="0">
      <selection activeCell="R103" sqref="R103"/>
    </sheetView>
  </sheetViews>
  <sheetFormatPr baseColWidth="10" defaultColWidth="14.44140625" defaultRowHeight="15" customHeight="1" x14ac:dyDescent="0.3"/>
  <cols>
    <col min="1" max="1" width="20.44140625" customWidth="1"/>
    <col min="2" max="2" width="17" customWidth="1"/>
    <col min="4" max="4" width="1.6640625" customWidth="1"/>
    <col min="5" max="5" width="16.44140625" customWidth="1"/>
    <col min="6" max="6" width="1.6640625" customWidth="1"/>
    <col min="7" max="7" width="13.33203125" customWidth="1"/>
    <col min="8" max="8" width="1.6640625" customWidth="1"/>
    <col min="9" max="9" width="31" customWidth="1"/>
    <col min="10" max="10" width="15.6640625" customWidth="1"/>
    <col min="11" max="11" width="18.44140625" customWidth="1"/>
    <col min="12" max="12" width="4.88671875" customWidth="1"/>
    <col min="13" max="14" width="6.33203125" customWidth="1"/>
    <col min="15" max="15" width="22.109375" customWidth="1"/>
    <col min="16" max="16" width="11.44140625" customWidth="1"/>
    <col min="17" max="17" width="8.6640625" customWidth="1"/>
    <col min="18" max="18" width="14" customWidth="1"/>
    <col min="19" max="19" width="17.88671875" hidden="1" customWidth="1"/>
    <col min="20" max="47" width="11.44140625" hidden="1" customWidth="1"/>
  </cols>
  <sheetData>
    <row r="1" spans="1:47" ht="14.25" customHeight="1" x14ac:dyDescent="0.3">
      <c r="A1" s="71"/>
      <c r="B1" s="72"/>
      <c r="C1" s="72"/>
      <c r="D1" s="72"/>
      <c r="E1" s="72"/>
      <c r="F1" s="73"/>
      <c r="Q1" s="1"/>
      <c r="R1" s="1"/>
      <c r="S1" s="2"/>
      <c r="T1" s="2"/>
      <c r="U1" s="2"/>
      <c r="V1" s="2"/>
      <c r="W1" s="2"/>
      <c r="X1" s="2"/>
      <c r="Y1" s="3"/>
      <c r="Z1" s="3"/>
      <c r="AA1" s="3"/>
      <c r="AB1" s="3"/>
      <c r="AC1" s="3"/>
      <c r="AD1" s="3"/>
      <c r="AE1" s="3"/>
      <c r="AF1" s="3"/>
      <c r="AG1" s="3"/>
      <c r="AH1" s="3"/>
      <c r="AI1" s="3"/>
      <c r="AJ1" s="3"/>
      <c r="AK1" s="3"/>
      <c r="AL1" s="3"/>
      <c r="AM1" s="3"/>
      <c r="AN1" s="3"/>
      <c r="AO1" s="3"/>
      <c r="AP1" s="3"/>
      <c r="AQ1" s="3"/>
      <c r="AR1" s="3"/>
      <c r="AS1" s="3"/>
      <c r="AT1" s="3"/>
      <c r="AU1" s="3"/>
    </row>
    <row r="2" spans="1:47" ht="14.25" customHeight="1" x14ac:dyDescent="0.3">
      <c r="A2" s="74"/>
      <c r="B2" s="75"/>
      <c r="C2" s="75"/>
      <c r="D2" s="75"/>
      <c r="E2" s="75"/>
      <c r="F2" s="76"/>
      <c r="G2" s="80"/>
      <c r="H2" s="81"/>
      <c r="I2" s="4" t="s">
        <v>2</v>
      </c>
      <c r="M2" s="1" t="s">
        <v>3</v>
      </c>
      <c r="Q2" s="1"/>
      <c r="R2" s="1"/>
      <c r="S2" s="2"/>
      <c r="T2" s="2"/>
      <c r="U2" s="2"/>
      <c r="V2" s="2" t="s">
        <v>4</v>
      </c>
      <c r="W2" s="2"/>
      <c r="X2" s="2"/>
      <c r="Y2" s="3"/>
      <c r="Z2" s="3"/>
      <c r="AA2" s="3"/>
      <c r="AB2" s="3"/>
      <c r="AC2" s="3"/>
      <c r="AD2" s="3"/>
      <c r="AE2" s="3"/>
      <c r="AF2" s="3"/>
      <c r="AG2" s="3"/>
      <c r="AH2" s="3"/>
      <c r="AI2" s="3"/>
      <c r="AJ2" s="3"/>
      <c r="AK2" s="3"/>
      <c r="AL2" s="3"/>
      <c r="AM2" s="3"/>
      <c r="AN2" s="3"/>
      <c r="AO2" s="3"/>
      <c r="AP2" s="3"/>
      <c r="AQ2" s="3"/>
      <c r="AR2" s="3"/>
      <c r="AS2" s="3"/>
      <c r="AT2" s="3"/>
      <c r="AU2" s="3"/>
    </row>
    <row r="3" spans="1:47" ht="14.25" customHeight="1" x14ac:dyDescent="0.3">
      <c r="A3" s="74"/>
      <c r="B3" s="75"/>
      <c r="C3" s="75"/>
      <c r="D3" s="75"/>
      <c r="E3" s="75"/>
      <c r="F3" s="76"/>
      <c r="G3" s="80"/>
      <c r="H3" s="81"/>
      <c r="I3" s="5" t="s">
        <v>4</v>
      </c>
      <c r="J3" s="1"/>
      <c r="M3" s="6"/>
      <c r="Q3" s="1"/>
      <c r="R3" s="1"/>
      <c r="S3" s="2" t="str">
        <f>B15&amp;" / "&amp;U14&amp;" /  "&amp;C11&amp;" - "&amp;G11&amp;" / Corredor : "&amp;C9</f>
        <v xml:space="preserve">Neo Consulting S.AC. / Inclusión /  4002 - 6459 / Corredor : FBA Corredores de Seguros </v>
      </c>
      <c r="T3" s="2"/>
      <c r="U3" s="2"/>
      <c r="V3" s="2"/>
      <c r="W3" s="2"/>
      <c r="X3" s="2"/>
      <c r="Y3" s="3"/>
      <c r="Z3" s="3"/>
      <c r="AA3" s="3"/>
      <c r="AB3" s="3"/>
      <c r="AC3" s="3"/>
      <c r="AD3" s="3"/>
      <c r="AE3" s="3"/>
      <c r="AF3" s="3"/>
      <c r="AG3" s="3"/>
      <c r="AH3" s="3"/>
      <c r="AI3" s="3"/>
      <c r="AJ3" s="3"/>
      <c r="AK3" s="3"/>
      <c r="AL3" s="3"/>
      <c r="AM3" s="3"/>
      <c r="AN3" s="3"/>
      <c r="AO3" s="3"/>
      <c r="AP3" s="3"/>
      <c r="AQ3" s="3"/>
      <c r="AR3" s="3"/>
      <c r="AS3" s="3"/>
      <c r="AT3" s="3"/>
      <c r="AU3" s="3"/>
    </row>
    <row r="4" spans="1:47" ht="14.25" customHeight="1" x14ac:dyDescent="0.3">
      <c r="A4" s="74"/>
      <c r="B4" s="75"/>
      <c r="C4" s="75"/>
      <c r="D4" s="75"/>
      <c r="E4" s="75"/>
      <c r="F4" s="76"/>
      <c r="I4" s="7" t="str">
        <f>IF(U14="Inclusión","","verificaciondedatos@rimac.com.pe")</f>
        <v/>
      </c>
      <c r="Q4" s="1"/>
      <c r="R4" s="1"/>
      <c r="S4" s="2" t="s">
        <v>5</v>
      </c>
      <c r="T4" s="2"/>
      <c r="U4" s="2"/>
      <c r="V4" s="2"/>
      <c r="W4" s="2"/>
      <c r="X4" s="2"/>
      <c r="Y4" s="3"/>
      <c r="Z4" s="3"/>
      <c r="AA4" s="3"/>
      <c r="AB4" s="3"/>
      <c r="AC4" s="3"/>
      <c r="AD4" s="3"/>
      <c r="AE4" s="3"/>
      <c r="AF4" s="3"/>
      <c r="AG4" s="3"/>
      <c r="AH4" s="3"/>
      <c r="AI4" s="3"/>
      <c r="AJ4" s="3"/>
      <c r="AK4" s="3"/>
      <c r="AL4" s="3"/>
      <c r="AM4" s="3"/>
      <c r="AN4" s="3"/>
      <c r="AO4" s="3"/>
      <c r="AP4" s="3"/>
      <c r="AQ4" s="3"/>
      <c r="AR4" s="3"/>
      <c r="AS4" s="3"/>
      <c r="AT4" s="3"/>
      <c r="AU4" s="3"/>
    </row>
    <row r="5" spans="1:47" ht="14.25" customHeight="1" x14ac:dyDescent="0.3">
      <c r="A5" s="77"/>
      <c r="B5" s="78"/>
      <c r="C5" s="78"/>
      <c r="D5" s="78"/>
      <c r="E5" s="78"/>
      <c r="F5" s="79"/>
      <c r="Q5" s="1"/>
      <c r="R5" s="1"/>
      <c r="S5" s="2"/>
      <c r="T5" s="2"/>
      <c r="U5" s="2"/>
      <c r="V5" s="2"/>
      <c r="W5" s="2"/>
      <c r="X5" s="2"/>
      <c r="Y5" s="3"/>
      <c r="Z5" s="3"/>
      <c r="AA5" s="3"/>
      <c r="AB5" s="3"/>
      <c r="AC5" s="3"/>
      <c r="AD5" s="3"/>
      <c r="AE5" s="3"/>
      <c r="AF5" s="3"/>
      <c r="AG5" s="3"/>
      <c r="AH5" s="3"/>
      <c r="AI5" s="3"/>
      <c r="AJ5" s="3"/>
      <c r="AK5" s="3"/>
      <c r="AL5" s="3"/>
      <c r="AM5" s="3"/>
      <c r="AN5" s="3"/>
      <c r="AO5" s="3"/>
      <c r="AP5" s="3"/>
      <c r="AQ5" s="3"/>
      <c r="AR5" s="3"/>
      <c r="AS5" s="3"/>
      <c r="AT5" s="3"/>
      <c r="AU5" s="3"/>
    </row>
    <row r="6" spans="1:47" ht="15" customHeight="1" x14ac:dyDescent="0.3">
      <c r="A6" s="8"/>
      <c r="B6" s="82" t="s">
        <v>6</v>
      </c>
      <c r="C6" s="72"/>
      <c r="D6" s="72"/>
      <c r="E6" s="72"/>
      <c r="F6" s="73"/>
      <c r="G6" s="8"/>
      <c r="H6" s="8"/>
      <c r="I6" s="8"/>
      <c r="J6" s="8"/>
      <c r="K6" s="8"/>
      <c r="L6" s="9"/>
      <c r="M6" s="9"/>
      <c r="N6" s="9"/>
      <c r="O6" s="9"/>
      <c r="Q6" s="1"/>
      <c r="R6" s="1"/>
      <c r="S6" s="10" t="s">
        <v>7</v>
      </c>
      <c r="T6" s="2"/>
      <c r="U6" s="2"/>
      <c r="V6" s="2"/>
      <c r="W6" s="2"/>
      <c r="X6" s="2"/>
      <c r="Y6" s="3"/>
      <c r="Z6" s="3"/>
      <c r="AA6" s="3"/>
      <c r="AB6" s="3"/>
      <c r="AC6" s="3"/>
      <c r="AD6" s="3"/>
      <c r="AE6" s="3"/>
      <c r="AF6" s="3"/>
      <c r="AG6" s="3"/>
      <c r="AH6" s="3"/>
      <c r="AI6" s="3"/>
      <c r="AJ6" s="3"/>
      <c r="AK6" s="3"/>
      <c r="AL6" s="3"/>
      <c r="AM6" s="3"/>
      <c r="AN6" s="3"/>
      <c r="AO6" s="3"/>
      <c r="AP6" s="3"/>
      <c r="AQ6" s="3"/>
      <c r="AR6" s="3"/>
      <c r="AS6" s="3"/>
      <c r="AT6" s="3"/>
      <c r="AU6" s="3"/>
    </row>
    <row r="7" spans="1:47" ht="15" customHeight="1" x14ac:dyDescent="0.3">
      <c r="A7" s="8"/>
      <c r="B7" s="77"/>
      <c r="C7" s="78"/>
      <c r="D7" s="78"/>
      <c r="E7" s="78"/>
      <c r="F7" s="79"/>
      <c r="G7" s="8"/>
      <c r="H7" s="8"/>
      <c r="I7" s="8"/>
      <c r="J7" s="8"/>
      <c r="K7" s="8"/>
      <c r="L7" s="9"/>
      <c r="M7" s="9"/>
      <c r="N7" s="9"/>
      <c r="O7" s="9"/>
      <c r="Q7" s="1"/>
      <c r="R7" s="1"/>
      <c r="S7" s="2"/>
      <c r="T7" s="2"/>
      <c r="U7" s="2"/>
      <c r="V7" s="2"/>
      <c r="W7" s="2"/>
      <c r="X7" s="2"/>
      <c r="Y7" s="3"/>
      <c r="Z7" s="3"/>
      <c r="AA7" s="3"/>
      <c r="AB7" s="3"/>
      <c r="AC7" s="3"/>
      <c r="AD7" s="3"/>
      <c r="AE7" s="3"/>
      <c r="AF7" s="3"/>
      <c r="AG7" s="3"/>
      <c r="AH7" s="3"/>
      <c r="AI7" s="3"/>
      <c r="AJ7" s="3"/>
      <c r="AK7" s="3"/>
      <c r="AL7" s="3"/>
      <c r="AM7" s="3"/>
      <c r="AN7" s="3"/>
      <c r="AO7" s="3"/>
      <c r="AP7" s="3"/>
      <c r="AQ7" s="3"/>
      <c r="AR7" s="3"/>
      <c r="AS7" s="3"/>
      <c r="AT7" s="3"/>
      <c r="AU7" s="3"/>
    </row>
    <row r="8" spans="1:47" ht="11.25" customHeight="1" x14ac:dyDescent="0.3">
      <c r="Q8" s="1"/>
      <c r="R8" s="1"/>
      <c r="S8" s="2"/>
      <c r="T8" s="2"/>
      <c r="U8" s="2"/>
      <c r="V8" s="2"/>
      <c r="W8" s="2"/>
      <c r="X8" s="2"/>
      <c r="Y8" s="3"/>
      <c r="Z8" s="3"/>
      <c r="AA8" s="3"/>
      <c r="AB8" s="3"/>
      <c r="AC8" s="3"/>
      <c r="AD8" s="3"/>
      <c r="AE8" s="3"/>
      <c r="AF8" s="3"/>
      <c r="AG8" s="3"/>
      <c r="AH8" s="3"/>
      <c r="AI8" s="3"/>
      <c r="AJ8" s="3"/>
      <c r="AK8" s="3"/>
      <c r="AL8" s="3"/>
      <c r="AM8" s="3"/>
      <c r="AN8" s="3"/>
      <c r="AO8" s="3"/>
      <c r="AP8" s="3"/>
      <c r="AQ8" s="3"/>
      <c r="AR8" s="3"/>
      <c r="AS8" s="3"/>
      <c r="AT8" s="3"/>
      <c r="AU8" s="3"/>
    </row>
    <row r="9" spans="1:47" ht="14.25" customHeight="1" x14ac:dyDescent="0.3">
      <c r="B9" s="11" t="s">
        <v>8</v>
      </c>
      <c r="C9" s="61" t="s">
        <v>9</v>
      </c>
      <c r="D9" s="64"/>
      <c r="E9" s="62"/>
      <c r="Q9" s="1"/>
      <c r="R9" s="1"/>
      <c r="S9" s="2"/>
      <c r="T9" s="2"/>
      <c r="U9" s="2"/>
      <c r="V9" s="2"/>
      <c r="W9" s="2"/>
      <c r="X9" s="2"/>
      <c r="Y9" s="3"/>
      <c r="Z9" s="3"/>
      <c r="AA9" s="3"/>
      <c r="AB9" s="3"/>
      <c r="AC9" s="3"/>
      <c r="AD9" s="3"/>
      <c r="AE9" s="3"/>
      <c r="AF9" s="3"/>
      <c r="AG9" s="3"/>
      <c r="AH9" s="3"/>
      <c r="AI9" s="3"/>
      <c r="AJ9" s="3"/>
      <c r="AK9" s="3"/>
      <c r="AL9" s="3"/>
      <c r="AM9" s="3"/>
      <c r="AN9" s="3"/>
      <c r="AO9" s="3"/>
      <c r="AP9" s="3"/>
      <c r="AQ9" s="3"/>
      <c r="AR9" s="3"/>
      <c r="AS9" s="3"/>
      <c r="AT9" s="3"/>
      <c r="AU9" s="3"/>
    </row>
    <row r="10" spans="1:47" ht="14.25" customHeight="1" x14ac:dyDescent="0.3">
      <c r="G10" s="13" t="s">
        <v>10</v>
      </c>
      <c r="H10" s="13"/>
      <c r="I10" s="13" t="s">
        <v>11</v>
      </c>
      <c r="Q10" s="1"/>
      <c r="R10" s="1"/>
      <c r="S10" s="2"/>
      <c r="T10" s="2"/>
      <c r="U10" s="2"/>
      <c r="V10" s="2"/>
      <c r="W10" s="2"/>
      <c r="X10" s="2"/>
      <c r="Y10" s="3"/>
      <c r="Z10" s="3"/>
      <c r="AA10" s="3"/>
      <c r="AB10" s="3"/>
      <c r="AC10" s="3"/>
      <c r="AD10" s="3"/>
      <c r="AE10" s="3"/>
      <c r="AF10" s="3"/>
      <c r="AG10" s="3"/>
      <c r="AH10" s="3"/>
      <c r="AI10" s="3"/>
      <c r="AJ10" s="3"/>
      <c r="AK10" s="3"/>
      <c r="AL10" s="3"/>
      <c r="AM10" s="3"/>
      <c r="AN10" s="3"/>
      <c r="AO10" s="3"/>
      <c r="AP10" s="3"/>
      <c r="AQ10" s="3"/>
      <c r="AR10" s="3"/>
      <c r="AS10" s="3"/>
      <c r="AT10" s="3"/>
      <c r="AU10" s="3"/>
    </row>
    <row r="11" spans="1:47" ht="18.75" customHeight="1" x14ac:dyDescent="0.3">
      <c r="B11" s="11" t="s">
        <v>12</v>
      </c>
      <c r="C11" s="14">
        <v>4002</v>
      </c>
      <c r="D11" s="1" t="s">
        <v>13</v>
      </c>
      <c r="E11" s="15" t="s">
        <v>14</v>
      </c>
      <c r="F11" s="1" t="s">
        <v>13</v>
      </c>
      <c r="G11" s="14">
        <v>6459</v>
      </c>
      <c r="H11" s="1" t="s">
        <v>13</v>
      </c>
      <c r="I11" s="16">
        <v>1</v>
      </c>
      <c r="L11" s="4"/>
      <c r="M11" s="4"/>
      <c r="Q11" s="1"/>
      <c r="R11" s="1"/>
      <c r="S11" s="2"/>
      <c r="T11" s="2"/>
      <c r="U11" s="10"/>
      <c r="V11" s="2"/>
      <c r="W11" s="17">
        <v>10</v>
      </c>
      <c r="X11" s="17" t="s">
        <v>15</v>
      </c>
      <c r="Y11" s="3"/>
      <c r="Z11" s="3"/>
      <c r="AA11" s="3"/>
      <c r="AB11" s="3"/>
      <c r="AC11" s="3"/>
      <c r="AD11" s="3"/>
      <c r="AE11" s="3"/>
      <c r="AF11" s="3"/>
      <c r="AG11" s="3"/>
      <c r="AH11" s="3"/>
      <c r="AI11" s="3"/>
      <c r="AJ11" s="3"/>
      <c r="AK11" s="3"/>
      <c r="AL11" s="3"/>
      <c r="AM11" s="3"/>
      <c r="AN11" s="3"/>
      <c r="AO11" s="3"/>
      <c r="AP11" s="3"/>
      <c r="AQ11" s="3"/>
      <c r="AR11" s="3"/>
      <c r="AS11" s="3"/>
      <c r="AT11" s="3"/>
      <c r="AU11" s="3"/>
    </row>
    <row r="12" spans="1:47" ht="14.25" customHeight="1" x14ac:dyDescent="0.3">
      <c r="B12" s="3"/>
      <c r="L12" s="4"/>
      <c r="M12" s="4"/>
      <c r="Q12" s="1"/>
      <c r="R12" s="1"/>
      <c r="S12" s="2"/>
      <c r="T12" s="2"/>
      <c r="U12" s="2"/>
      <c r="V12" s="2"/>
      <c r="W12" s="17">
        <v>11</v>
      </c>
      <c r="X12" s="17" t="s">
        <v>16</v>
      </c>
      <c r="Y12" s="3"/>
      <c r="Z12" s="3"/>
      <c r="AA12" s="3"/>
      <c r="AB12" s="3"/>
      <c r="AC12" s="3"/>
      <c r="AD12" s="3"/>
      <c r="AE12" s="3"/>
      <c r="AF12" s="3"/>
      <c r="AG12" s="3"/>
      <c r="AH12" s="3"/>
      <c r="AI12" s="3"/>
      <c r="AJ12" s="3"/>
      <c r="AK12" s="3"/>
      <c r="AL12" s="3"/>
      <c r="AM12" s="3"/>
      <c r="AN12" s="3"/>
      <c r="AO12" s="3"/>
      <c r="AP12" s="3"/>
      <c r="AQ12" s="3"/>
      <c r="AR12" s="3"/>
      <c r="AS12" s="3"/>
      <c r="AT12" s="3"/>
      <c r="AU12" s="3"/>
    </row>
    <row r="13" spans="1:47" ht="15" customHeight="1" x14ac:dyDescent="0.3">
      <c r="B13" s="83" t="s">
        <v>17</v>
      </c>
      <c r="C13" s="84"/>
      <c r="D13" s="84"/>
      <c r="E13" s="84"/>
      <c r="F13" s="84"/>
      <c r="G13" s="84"/>
      <c r="H13" s="84"/>
      <c r="I13" s="81"/>
      <c r="J13" s="18"/>
      <c r="K13" s="85" t="s">
        <v>18</v>
      </c>
      <c r="L13" s="72"/>
      <c r="M13" s="72"/>
      <c r="N13" s="72"/>
      <c r="O13" s="73"/>
      <c r="P13" s="19"/>
      <c r="Q13" s="1"/>
      <c r="R13" s="1"/>
      <c r="S13" s="2"/>
      <c r="T13" s="2"/>
      <c r="U13" s="2"/>
      <c r="V13" s="2"/>
      <c r="W13" s="2"/>
      <c r="X13" s="2"/>
      <c r="Y13" s="3"/>
      <c r="Z13" s="3"/>
      <c r="AA13" s="3"/>
      <c r="AB13" s="3"/>
      <c r="AC13" s="3"/>
      <c r="AD13" s="3"/>
      <c r="AE13" s="3"/>
      <c r="AF13" s="3"/>
      <c r="AG13" s="3"/>
      <c r="AH13" s="3"/>
      <c r="AI13" s="3"/>
      <c r="AJ13" s="3"/>
      <c r="AK13" s="3"/>
      <c r="AL13" s="3"/>
      <c r="AM13" s="3"/>
      <c r="AN13" s="3"/>
      <c r="AO13" s="3"/>
      <c r="AP13" s="3"/>
      <c r="AQ13" s="3"/>
      <c r="AR13" s="3"/>
      <c r="AS13" s="3"/>
      <c r="AT13" s="3"/>
      <c r="AU13" s="3"/>
    </row>
    <row r="14" spans="1:47" ht="26.25" customHeight="1" x14ac:dyDescent="0.3">
      <c r="B14" s="66" t="s">
        <v>19</v>
      </c>
      <c r="C14" s="67"/>
      <c r="D14" s="68" t="s">
        <v>20</v>
      </c>
      <c r="E14" s="67"/>
      <c r="F14" s="68" t="s">
        <v>21</v>
      </c>
      <c r="G14" s="67"/>
      <c r="H14" s="68" t="s">
        <v>22</v>
      </c>
      <c r="I14" s="67"/>
      <c r="J14" s="20"/>
      <c r="K14" s="74"/>
      <c r="L14" s="75"/>
      <c r="M14" s="75"/>
      <c r="N14" s="75"/>
      <c r="O14" s="76"/>
      <c r="P14" s="19"/>
      <c r="Q14" s="1"/>
      <c r="R14" s="1"/>
      <c r="S14" s="2"/>
      <c r="T14" s="2"/>
      <c r="U14" s="2" t="str">
        <f>IF(I11&gt;10,X12,X11)</f>
        <v>Inclusión</v>
      </c>
      <c r="V14" s="2"/>
      <c r="W14" s="2"/>
      <c r="X14" s="2"/>
      <c r="Y14" s="3"/>
      <c r="Z14" s="3"/>
      <c r="AA14" s="3"/>
      <c r="AB14" s="3"/>
      <c r="AC14" s="3"/>
      <c r="AD14" s="3"/>
      <c r="AE14" s="3"/>
      <c r="AF14" s="3"/>
      <c r="AG14" s="3"/>
      <c r="AH14" s="3"/>
      <c r="AI14" s="3"/>
      <c r="AJ14" s="3"/>
      <c r="AK14" s="3"/>
      <c r="AL14" s="3"/>
      <c r="AM14" s="3"/>
      <c r="AN14" s="3"/>
      <c r="AO14" s="3"/>
      <c r="AP14" s="3"/>
      <c r="AQ14" s="3"/>
      <c r="AR14" s="3"/>
      <c r="AS14" s="3"/>
      <c r="AT14" s="3"/>
      <c r="AU14" s="3"/>
    </row>
    <row r="15" spans="1:47" ht="14.25" customHeight="1" x14ac:dyDescent="0.3">
      <c r="B15" s="61" t="s">
        <v>23</v>
      </c>
      <c r="C15" s="62"/>
      <c r="D15" s="61" t="s">
        <v>24</v>
      </c>
      <c r="E15" s="62"/>
      <c r="F15" s="61">
        <v>20502482751</v>
      </c>
      <c r="G15" s="62"/>
      <c r="H15" s="86" t="s">
        <v>25</v>
      </c>
      <c r="I15" s="62"/>
      <c r="J15" s="21"/>
      <c r="K15" s="77"/>
      <c r="L15" s="78"/>
      <c r="M15" s="78"/>
      <c r="N15" s="78"/>
      <c r="O15" s="79"/>
      <c r="P15" s="19"/>
      <c r="Q15" s="1"/>
      <c r="R15" s="1"/>
      <c r="S15" s="2"/>
      <c r="T15" s="2"/>
      <c r="U15" s="2"/>
      <c r="V15" s="2"/>
      <c r="W15" s="2"/>
      <c r="X15" s="2"/>
      <c r="Y15" s="3"/>
      <c r="Z15" s="3"/>
      <c r="AA15" s="3"/>
      <c r="AB15" s="3"/>
      <c r="AC15" s="3"/>
      <c r="AD15" s="3"/>
      <c r="AE15" s="3"/>
      <c r="AF15" s="3"/>
      <c r="AG15" s="3"/>
      <c r="AH15" s="3"/>
      <c r="AI15" s="3"/>
      <c r="AJ15" s="3"/>
      <c r="AK15" s="3"/>
      <c r="AL15" s="3"/>
      <c r="AM15" s="3"/>
      <c r="AN15" s="3"/>
      <c r="AO15" s="3"/>
      <c r="AP15" s="3"/>
      <c r="AQ15" s="3"/>
      <c r="AR15" s="3"/>
      <c r="AS15" s="3"/>
      <c r="AT15" s="3"/>
      <c r="AU15" s="3"/>
    </row>
    <row r="16" spans="1:47" ht="14.25" customHeight="1" x14ac:dyDescent="0.3">
      <c r="B16" s="3"/>
      <c r="Q16" s="1"/>
      <c r="R16" s="1"/>
      <c r="S16" s="2"/>
      <c r="T16" s="2"/>
      <c r="U16" s="2"/>
      <c r="V16" s="2"/>
      <c r="W16" s="2"/>
      <c r="X16" s="2"/>
      <c r="Y16" s="3"/>
      <c r="Z16" s="3"/>
      <c r="AA16" s="3"/>
      <c r="AB16" s="3"/>
      <c r="AC16" s="3"/>
      <c r="AD16" s="3"/>
      <c r="AE16" s="3"/>
      <c r="AF16" s="3"/>
      <c r="AG16" s="3"/>
      <c r="AH16" s="3"/>
      <c r="AI16" s="3"/>
      <c r="AJ16" s="3"/>
      <c r="AK16" s="3"/>
      <c r="AL16" s="3"/>
      <c r="AM16" s="3"/>
      <c r="AN16" s="3"/>
      <c r="AO16" s="3"/>
      <c r="AP16" s="3"/>
      <c r="AQ16" s="3"/>
      <c r="AR16" s="3"/>
      <c r="AS16" s="3"/>
      <c r="AT16" s="3"/>
      <c r="AU16" s="3"/>
    </row>
    <row r="17" spans="1:47" ht="14.25" hidden="1" customHeight="1" x14ac:dyDescent="0.3">
      <c r="A17" s="9"/>
      <c r="B17" s="87" t="s">
        <v>26</v>
      </c>
      <c r="C17" s="84"/>
      <c r="D17" s="84"/>
      <c r="E17" s="84"/>
      <c r="F17" s="84"/>
      <c r="G17" s="84"/>
      <c r="H17" s="84"/>
      <c r="I17" s="81"/>
      <c r="J17" s="88" t="str">
        <f>IF(O18&gt;"90"," ","AUTOGESTIONABLE")</f>
        <v>AUTOGESTIONABLE</v>
      </c>
      <c r="K17" s="81"/>
      <c r="L17" s="9"/>
      <c r="M17" s="9"/>
      <c r="N17" s="9"/>
      <c r="O17" s="9"/>
      <c r="P17" s="9"/>
      <c r="Q17" s="9"/>
      <c r="R17" s="9"/>
      <c r="S17" s="2"/>
      <c r="T17" s="2"/>
      <c r="U17" s="2"/>
      <c r="V17" s="2"/>
      <c r="W17" s="2"/>
      <c r="X17" s="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ht="14.25" hidden="1" customHeight="1" x14ac:dyDescent="0.3">
      <c r="B18" s="3"/>
      <c r="O18" s="23">
        <f>J19-D19</f>
        <v>0</v>
      </c>
      <c r="Q18" s="1"/>
      <c r="R18" s="1"/>
      <c r="S18" s="2"/>
      <c r="T18" s="2"/>
      <c r="U18" s="2"/>
      <c r="V18" s="2"/>
      <c r="W18" s="2"/>
      <c r="X18" s="2"/>
      <c r="Y18" s="3"/>
      <c r="Z18" s="3"/>
      <c r="AA18" s="3"/>
      <c r="AB18" s="3"/>
      <c r="AC18" s="3"/>
      <c r="AD18" s="3"/>
      <c r="AE18" s="3"/>
      <c r="AF18" s="3"/>
      <c r="AG18" s="3"/>
      <c r="AH18" s="3"/>
      <c r="AI18" s="3"/>
      <c r="AJ18" s="3"/>
      <c r="AK18" s="3"/>
      <c r="AL18" s="3"/>
      <c r="AM18" s="3"/>
      <c r="AN18" s="3"/>
      <c r="AO18" s="3"/>
      <c r="AP18" s="3"/>
      <c r="AQ18" s="3"/>
      <c r="AR18" s="3"/>
      <c r="AS18" s="3"/>
      <c r="AT18" s="3"/>
      <c r="AU18" s="3"/>
    </row>
    <row r="19" spans="1:47" ht="14.25" hidden="1" customHeight="1" x14ac:dyDescent="0.3">
      <c r="B19" s="69" t="s">
        <v>27</v>
      </c>
      <c r="C19" s="62"/>
      <c r="D19" s="70"/>
      <c r="E19" s="64"/>
      <c r="F19" s="64"/>
      <c r="G19" s="62"/>
      <c r="I19" s="24" t="s">
        <v>28</v>
      </c>
      <c r="J19" s="89"/>
      <c r="K19" s="62"/>
      <c r="M19" s="90" t="s">
        <v>29</v>
      </c>
      <c r="N19" s="73"/>
      <c r="Q19" s="1"/>
      <c r="R19" s="1"/>
      <c r="S19" s="2"/>
      <c r="T19" s="2"/>
      <c r="U19" s="2" t="str">
        <f>IF(COUNTBLANK(U11:U18)&lt;6,"Endosos Varios",V19)</f>
        <v>Inclusión</v>
      </c>
      <c r="V19" s="2" t="str">
        <f>U12&amp;U13&amp;U14&amp;U15&amp;U16&amp;U17&amp;U18&amp;U11&amp;U10</f>
        <v>Inclusión</v>
      </c>
      <c r="W19" s="2"/>
      <c r="X19" s="2"/>
      <c r="Y19" s="3"/>
      <c r="Z19" s="3"/>
      <c r="AA19" s="3"/>
      <c r="AB19" s="3"/>
      <c r="AC19" s="3"/>
      <c r="AD19" s="3"/>
      <c r="AE19" s="3"/>
      <c r="AF19" s="3"/>
      <c r="AG19" s="3"/>
      <c r="AH19" s="3"/>
      <c r="AI19" s="3"/>
      <c r="AJ19" s="3"/>
      <c r="AK19" s="3"/>
      <c r="AL19" s="3"/>
      <c r="AM19" s="3"/>
      <c r="AN19" s="3"/>
      <c r="AO19" s="3"/>
      <c r="AP19" s="3"/>
      <c r="AQ19" s="3"/>
      <c r="AR19" s="3"/>
      <c r="AS19" s="3"/>
      <c r="AT19" s="3"/>
      <c r="AU19" s="3"/>
    </row>
    <row r="20" spans="1:47" ht="14.25" hidden="1" customHeight="1" x14ac:dyDescent="0.3">
      <c r="B20" s="25"/>
      <c r="C20" s="26"/>
      <c r="M20" s="74"/>
      <c r="N20" s="76"/>
      <c r="Q20" s="1"/>
      <c r="R20" s="1"/>
      <c r="S20" s="2"/>
      <c r="T20" s="2"/>
      <c r="U20" s="2"/>
      <c r="V20" s="2"/>
      <c r="W20" s="2"/>
      <c r="X20" s="2"/>
      <c r="Y20" s="3"/>
      <c r="Z20" s="3"/>
      <c r="AA20" s="3"/>
      <c r="AB20" s="3"/>
      <c r="AC20" s="3"/>
      <c r="AD20" s="3"/>
      <c r="AE20" s="3"/>
      <c r="AF20" s="3"/>
      <c r="AG20" s="3"/>
      <c r="AH20" s="3"/>
      <c r="AI20" s="3"/>
      <c r="AJ20" s="3"/>
      <c r="AK20" s="3"/>
      <c r="AL20" s="3"/>
      <c r="AM20" s="3"/>
      <c r="AN20" s="3"/>
      <c r="AO20" s="3"/>
      <c r="AP20" s="3"/>
      <c r="AQ20" s="3"/>
      <c r="AR20" s="3"/>
      <c r="AS20" s="3"/>
      <c r="AT20" s="3"/>
      <c r="AU20" s="3"/>
    </row>
    <row r="21" spans="1:47" ht="14.25" hidden="1" customHeight="1" x14ac:dyDescent="0.3">
      <c r="B21" s="27"/>
      <c r="C21" s="91" t="s">
        <v>30</v>
      </c>
      <c r="D21" s="75"/>
      <c r="E21" s="92"/>
      <c r="F21" s="93"/>
      <c r="G21" s="93"/>
      <c r="H21" s="93"/>
      <c r="I21" s="93"/>
      <c r="J21" s="93"/>
      <c r="K21" s="94"/>
      <c r="M21" s="74"/>
      <c r="N21" s="76"/>
      <c r="Q21" s="1"/>
      <c r="R21" s="1"/>
      <c r="S21" s="2"/>
      <c r="T21" s="2"/>
      <c r="U21" s="2"/>
      <c r="V21" s="2"/>
      <c r="W21" s="2"/>
      <c r="X21" s="2"/>
      <c r="Y21" s="3"/>
      <c r="Z21" s="3"/>
      <c r="AA21" s="3"/>
      <c r="AB21" s="3"/>
      <c r="AC21" s="3"/>
      <c r="AD21" s="3"/>
      <c r="AE21" s="3"/>
      <c r="AF21" s="3"/>
      <c r="AG21" s="3"/>
      <c r="AH21" s="3"/>
      <c r="AI21" s="3"/>
      <c r="AJ21" s="3"/>
      <c r="AK21" s="3"/>
      <c r="AL21" s="3"/>
      <c r="AM21" s="3"/>
      <c r="AN21" s="3"/>
      <c r="AO21" s="3"/>
      <c r="AP21" s="3"/>
      <c r="AQ21" s="3"/>
      <c r="AR21" s="3"/>
      <c r="AS21" s="3"/>
      <c r="AT21" s="3"/>
      <c r="AU21" s="3"/>
    </row>
    <row r="22" spans="1:47" ht="14.25" hidden="1" customHeight="1" x14ac:dyDescent="0.3">
      <c r="B22" s="27"/>
      <c r="C22" s="26"/>
      <c r="E22" s="95"/>
      <c r="F22" s="96"/>
      <c r="G22" s="96"/>
      <c r="H22" s="96"/>
      <c r="I22" s="96"/>
      <c r="J22" s="96"/>
      <c r="K22" s="67"/>
      <c r="M22" s="77"/>
      <c r="N22" s="79"/>
      <c r="Q22" s="1"/>
      <c r="R22" s="1"/>
      <c r="S22" s="2"/>
      <c r="T22" s="2"/>
      <c r="U22" s="2"/>
      <c r="V22" s="2"/>
      <c r="W22" s="2"/>
      <c r="X22" s="2"/>
      <c r="Y22" s="3"/>
      <c r="Z22" s="3"/>
      <c r="AA22" s="3"/>
      <c r="AB22" s="3"/>
      <c r="AC22" s="3"/>
      <c r="AD22" s="3"/>
      <c r="AE22" s="3"/>
      <c r="AF22" s="3"/>
      <c r="AG22" s="3"/>
      <c r="AH22" s="3"/>
      <c r="AI22" s="3"/>
      <c r="AJ22" s="3"/>
      <c r="AK22" s="3"/>
      <c r="AL22" s="3"/>
      <c r="AM22" s="3"/>
      <c r="AN22" s="3"/>
      <c r="AO22" s="3"/>
      <c r="AP22" s="3"/>
      <c r="AQ22" s="3"/>
      <c r="AR22" s="3"/>
      <c r="AS22" s="3"/>
      <c r="AT22" s="3"/>
      <c r="AU22" s="3"/>
    </row>
    <row r="23" spans="1:47" ht="14.25" hidden="1" customHeight="1" x14ac:dyDescent="0.3">
      <c r="B23" s="27"/>
      <c r="C23" s="26"/>
      <c r="Q23" s="1"/>
      <c r="R23" s="1"/>
      <c r="S23" s="2"/>
      <c r="T23" s="2"/>
      <c r="U23" s="2"/>
      <c r="V23" s="2"/>
      <c r="W23" s="2"/>
      <c r="X23" s="2"/>
      <c r="Y23" s="3"/>
      <c r="Z23" s="3"/>
      <c r="AA23" s="3"/>
      <c r="AB23" s="3"/>
      <c r="AC23" s="3"/>
      <c r="AD23" s="3"/>
      <c r="AE23" s="3"/>
      <c r="AF23" s="3"/>
      <c r="AG23" s="3"/>
      <c r="AH23" s="3"/>
      <c r="AI23" s="3"/>
      <c r="AJ23" s="3"/>
      <c r="AK23" s="3"/>
      <c r="AL23" s="3"/>
      <c r="AM23" s="3"/>
      <c r="AN23" s="3"/>
      <c r="AO23" s="3"/>
      <c r="AP23" s="3"/>
      <c r="AQ23" s="3"/>
      <c r="AR23" s="3"/>
      <c r="AS23" s="3"/>
      <c r="AT23" s="3"/>
      <c r="AU23" s="3"/>
    </row>
    <row r="24" spans="1:47" ht="14.25" hidden="1" customHeight="1" x14ac:dyDescent="0.3">
      <c r="A24" s="9"/>
      <c r="B24" s="87" t="s">
        <v>31</v>
      </c>
      <c r="C24" s="84"/>
      <c r="D24" s="84"/>
      <c r="E24" s="84"/>
      <c r="F24" s="84"/>
      <c r="G24" s="84"/>
      <c r="H24" s="84"/>
      <c r="I24" s="81"/>
      <c r="J24" s="88" t="str">
        <f>IF(C26="Inclusión","AUTOGESTIONABLE","")</f>
        <v/>
      </c>
      <c r="K24" s="81"/>
      <c r="L24" s="9"/>
      <c r="M24" s="9"/>
      <c r="N24" s="9"/>
      <c r="O24" s="9"/>
      <c r="P24" s="9"/>
      <c r="Q24" s="9"/>
      <c r="R24" s="9"/>
      <c r="S24" s="2"/>
      <c r="T24" s="2"/>
      <c r="U24" s="2"/>
      <c r="V24" s="2"/>
      <c r="W24" s="2"/>
      <c r="X24" s="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ht="14.25" hidden="1" customHeight="1" x14ac:dyDescent="0.3">
      <c r="B25" s="27"/>
      <c r="C25" s="26"/>
      <c r="Q25" s="1"/>
      <c r="R25" s="1"/>
      <c r="S25" s="2"/>
      <c r="T25" s="2"/>
      <c r="U25" s="2"/>
      <c r="V25" s="2"/>
      <c r="W25" s="2"/>
      <c r="X25" s="2"/>
      <c r="Y25" s="3"/>
      <c r="Z25" s="3"/>
      <c r="AA25" s="3"/>
      <c r="AB25" s="3"/>
      <c r="AC25" s="3"/>
      <c r="AD25" s="3"/>
      <c r="AE25" s="3"/>
      <c r="AF25" s="3"/>
      <c r="AG25" s="3"/>
      <c r="AH25" s="3"/>
      <c r="AI25" s="3"/>
      <c r="AJ25" s="3"/>
      <c r="AK25" s="3"/>
      <c r="AL25" s="3"/>
      <c r="AM25" s="3"/>
      <c r="AN25" s="3"/>
      <c r="AO25" s="3"/>
      <c r="AP25" s="3"/>
      <c r="AQ25" s="3"/>
      <c r="AR25" s="3"/>
      <c r="AS25" s="3"/>
      <c r="AT25" s="3"/>
      <c r="AU25" s="3"/>
    </row>
    <row r="26" spans="1:47" ht="14.25" hidden="1" customHeight="1" x14ac:dyDescent="0.3">
      <c r="B26" s="28" t="s">
        <v>32</v>
      </c>
      <c r="C26" s="97" t="s">
        <v>33</v>
      </c>
      <c r="D26" s="64"/>
      <c r="E26" s="64"/>
      <c r="F26" s="62"/>
      <c r="H26" s="28" t="s">
        <v>34</v>
      </c>
      <c r="I26" s="61"/>
      <c r="J26" s="64"/>
      <c r="K26" s="62"/>
      <c r="M26" s="90" t="str">
        <f>IF(OR(C26="Exclusión",C26="Modificación"),"Solo para los casos en la que la póliza o certificado se encuentran endosados se enviará Carta al banco con un tiempo de respuesta de 15 días hábiles","")</f>
        <v/>
      </c>
      <c r="N26" s="73"/>
      <c r="Q26" s="1"/>
      <c r="R26" s="1"/>
      <c r="S26" s="2"/>
      <c r="T26" s="2"/>
      <c r="U26" s="2"/>
      <c r="V26" s="2"/>
      <c r="W26" s="2"/>
      <c r="X26" s="2"/>
      <c r="Y26" s="3"/>
      <c r="Z26" s="3"/>
      <c r="AA26" s="3"/>
      <c r="AB26" s="3"/>
      <c r="AC26" s="3"/>
      <c r="AD26" s="3"/>
      <c r="AE26" s="3"/>
      <c r="AF26" s="3"/>
      <c r="AG26" s="3"/>
      <c r="AH26" s="3"/>
      <c r="AI26" s="3"/>
      <c r="AJ26" s="3"/>
      <c r="AK26" s="3"/>
      <c r="AL26" s="3"/>
      <c r="AM26" s="3"/>
      <c r="AN26" s="3"/>
      <c r="AO26" s="3"/>
      <c r="AP26" s="3"/>
      <c r="AQ26" s="3"/>
      <c r="AR26" s="3"/>
      <c r="AS26" s="3"/>
      <c r="AT26" s="3"/>
      <c r="AU26" s="3"/>
    </row>
    <row r="27" spans="1:47" ht="14.25" hidden="1" customHeight="1" x14ac:dyDescent="0.3">
      <c r="B27" s="27"/>
      <c r="C27" s="26"/>
      <c r="D27" s="26"/>
      <c r="E27" s="26"/>
      <c r="F27" s="26"/>
      <c r="G27" s="26"/>
      <c r="H27" s="26"/>
      <c r="I27" s="26"/>
      <c r="J27" s="26"/>
      <c r="K27" s="26"/>
      <c r="M27" s="74"/>
      <c r="N27" s="76"/>
      <c r="Q27" s="1"/>
      <c r="R27" s="1"/>
      <c r="S27" s="2"/>
      <c r="T27" s="2"/>
      <c r="U27" s="2"/>
      <c r="V27" s="2"/>
      <c r="W27" s="2"/>
      <c r="X27" s="2"/>
      <c r="Y27" s="3"/>
      <c r="Z27" s="3"/>
      <c r="AA27" s="3"/>
      <c r="AB27" s="3"/>
      <c r="AC27" s="3"/>
      <c r="AD27" s="3"/>
      <c r="AE27" s="3"/>
      <c r="AF27" s="3"/>
      <c r="AG27" s="3"/>
      <c r="AH27" s="3"/>
      <c r="AI27" s="3"/>
      <c r="AJ27" s="3"/>
      <c r="AK27" s="3"/>
      <c r="AL27" s="3"/>
      <c r="AM27" s="3"/>
      <c r="AN27" s="3"/>
      <c r="AO27" s="3"/>
      <c r="AP27" s="3"/>
      <c r="AQ27" s="3"/>
      <c r="AR27" s="3"/>
      <c r="AS27" s="3"/>
      <c r="AT27" s="3"/>
      <c r="AU27" s="3"/>
    </row>
    <row r="28" spans="1:47" ht="14.25" hidden="1" customHeight="1" x14ac:dyDescent="0.3">
      <c r="B28" s="28" t="s">
        <v>30</v>
      </c>
      <c r="C28" s="92"/>
      <c r="D28" s="93"/>
      <c r="E28" s="93"/>
      <c r="F28" s="93"/>
      <c r="G28" s="93"/>
      <c r="H28" s="93"/>
      <c r="I28" s="93"/>
      <c r="J28" s="93"/>
      <c r="K28" s="94"/>
      <c r="M28" s="74"/>
      <c r="N28" s="76"/>
      <c r="Q28" s="1"/>
      <c r="R28" s="1"/>
      <c r="S28" s="2"/>
      <c r="T28" s="2"/>
      <c r="U28" s="2"/>
      <c r="V28" s="2"/>
      <c r="W28" s="2"/>
      <c r="X28" s="2"/>
      <c r="Y28" s="3"/>
      <c r="Z28" s="3"/>
      <c r="AA28" s="3"/>
      <c r="AB28" s="3"/>
      <c r="AC28" s="3"/>
      <c r="AD28" s="3"/>
      <c r="AE28" s="3"/>
      <c r="AF28" s="3"/>
      <c r="AG28" s="3"/>
      <c r="AH28" s="3"/>
      <c r="AI28" s="3"/>
      <c r="AJ28" s="3"/>
      <c r="AK28" s="3"/>
      <c r="AL28" s="3"/>
      <c r="AM28" s="3"/>
      <c r="AN28" s="3"/>
      <c r="AO28" s="3"/>
      <c r="AP28" s="3"/>
      <c r="AQ28" s="3"/>
      <c r="AR28" s="3"/>
      <c r="AS28" s="3"/>
      <c r="AT28" s="3"/>
      <c r="AU28" s="3"/>
    </row>
    <row r="29" spans="1:47" ht="14.25" hidden="1" customHeight="1" x14ac:dyDescent="0.3">
      <c r="B29" s="27"/>
      <c r="C29" s="95"/>
      <c r="D29" s="96"/>
      <c r="E29" s="96"/>
      <c r="F29" s="96"/>
      <c r="G29" s="96"/>
      <c r="H29" s="96"/>
      <c r="I29" s="96"/>
      <c r="J29" s="96"/>
      <c r="K29" s="67"/>
      <c r="M29" s="77"/>
      <c r="N29" s="79"/>
      <c r="Q29" s="1"/>
      <c r="R29" s="1"/>
      <c r="S29" s="2"/>
      <c r="T29" s="2"/>
      <c r="U29" s="2"/>
      <c r="V29" s="2"/>
      <c r="W29" s="2"/>
      <c r="X29" s="2"/>
      <c r="Y29" s="3"/>
      <c r="Z29" s="3"/>
      <c r="AA29" s="3"/>
      <c r="AB29" s="3"/>
      <c r="AC29" s="3"/>
      <c r="AD29" s="3"/>
      <c r="AE29" s="3"/>
      <c r="AF29" s="3"/>
      <c r="AG29" s="3"/>
      <c r="AH29" s="3"/>
      <c r="AI29" s="3"/>
      <c r="AJ29" s="3"/>
      <c r="AK29" s="3"/>
      <c r="AL29" s="3"/>
      <c r="AM29" s="3"/>
      <c r="AN29" s="3"/>
      <c r="AO29" s="3"/>
      <c r="AP29" s="3"/>
      <c r="AQ29" s="3"/>
      <c r="AR29" s="3"/>
      <c r="AS29" s="3"/>
      <c r="AT29" s="3"/>
      <c r="AU29" s="3"/>
    </row>
    <row r="30" spans="1:47" ht="14.25" hidden="1" customHeight="1" x14ac:dyDescent="0.3">
      <c r="B30" s="3"/>
      <c r="Q30" s="1"/>
      <c r="R30" s="1"/>
      <c r="S30" s="2"/>
      <c r="T30" s="2"/>
      <c r="U30" s="2"/>
      <c r="V30" s="2"/>
      <c r="W30" s="2"/>
      <c r="X30" s="2"/>
      <c r="Y30" s="3"/>
      <c r="Z30" s="3"/>
      <c r="AA30" s="3"/>
      <c r="AB30" s="3"/>
      <c r="AC30" s="3"/>
      <c r="AD30" s="3"/>
      <c r="AE30" s="3"/>
      <c r="AF30" s="3"/>
      <c r="AG30" s="3"/>
      <c r="AH30" s="3"/>
      <c r="AI30" s="3"/>
      <c r="AJ30" s="3"/>
      <c r="AK30" s="3"/>
      <c r="AL30" s="3"/>
      <c r="AM30" s="3"/>
      <c r="AN30" s="3"/>
      <c r="AO30" s="3"/>
      <c r="AP30" s="3"/>
      <c r="AQ30" s="3"/>
      <c r="AR30" s="3"/>
      <c r="AS30" s="3"/>
      <c r="AT30" s="3"/>
      <c r="AU30" s="3"/>
    </row>
    <row r="31" spans="1:47" ht="14.25" hidden="1" customHeight="1" x14ac:dyDescent="0.3">
      <c r="A31" s="9"/>
      <c r="B31" s="87" t="s">
        <v>35</v>
      </c>
      <c r="C31" s="84"/>
      <c r="D31" s="84"/>
      <c r="E31" s="84"/>
      <c r="F31" s="84"/>
      <c r="G31" s="84"/>
      <c r="H31" s="84"/>
      <c r="I31" s="84"/>
      <c r="J31" s="84"/>
      <c r="K31" s="81"/>
      <c r="L31" s="9"/>
      <c r="M31" s="9"/>
      <c r="N31" s="9"/>
      <c r="O31" s="9"/>
      <c r="P31" s="9"/>
      <c r="Q31" s="9"/>
      <c r="R31" s="9"/>
      <c r="S31" s="2"/>
      <c r="T31" s="2"/>
      <c r="U31" s="2"/>
      <c r="V31" s="2"/>
      <c r="W31" s="2"/>
      <c r="X31" s="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ht="14.25" hidden="1" customHeight="1" x14ac:dyDescent="0.3">
      <c r="B32" s="27"/>
      <c r="C32" s="26"/>
      <c r="Q32" s="1"/>
      <c r="R32" s="1"/>
      <c r="S32" s="2"/>
      <c r="T32" s="2"/>
      <c r="U32" s="2"/>
      <c r="V32" s="2"/>
      <c r="W32" s="2"/>
      <c r="X32" s="2"/>
      <c r="Y32" s="3"/>
      <c r="Z32" s="3"/>
      <c r="AA32" s="3"/>
      <c r="AB32" s="3"/>
      <c r="AC32" s="3"/>
      <c r="AD32" s="3"/>
      <c r="AE32" s="3"/>
      <c r="AF32" s="3"/>
      <c r="AG32" s="3"/>
      <c r="AH32" s="3"/>
      <c r="AI32" s="3"/>
      <c r="AJ32" s="3"/>
      <c r="AK32" s="3"/>
      <c r="AL32" s="3"/>
      <c r="AM32" s="3"/>
      <c r="AN32" s="3"/>
      <c r="AO32" s="3"/>
      <c r="AP32" s="3"/>
      <c r="AQ32" s="3"/>
      <c r="AR32" s="3"/>
      <c r="AS32" s="3"/>
      <c r="AT32" s="3"/>
      <c r="AU32" s="3"/>
    </row>
    <row r="33" spans="1:47" ht="14.25" hidden="1" customHeight="1" x14ac:dyDescent="0.3">
      <c r="B33" s="98" t="s">
        <v>36</v>
      </c>
      <c r="C33" s="64"/>
      <c r="D33" s="99"/>
      <c r="E33" s="64"/>
      <c r="F33" s="62"/>
      <c r="M33" s="90" t="s">
        <v>37</v>
      </c>
      <c r="N33" s="73"/>
      <c r="Q33" s="1"/>
      <c r="R33" s="1"/>
      <c r="S33" s="2"/>
      <c r="T33" s="2"/>
      <c r="U33" s="2"/>
      <c r="V33" s="2"/>
      <c r="W33" s="2"/>
      <c r="X33" s="2"/>
      <c r="Y33" s="3"/>
      <c r="Z33" s="3"/>
      <c r="AA33" s="3"/>
      <c r="AB33" s="3"/>
      <c r="AC33" s="3"/>
      <c r="AD33" s="3"/>
      <c r="AE33" s="3"/>
      <c r="AF33" s="3"/>
      <c r="AG33" s="3"/>
      <c r="AH33" s="3"/>
      <c r="AI33" s="3"/>
      <c r="AJ33" s="3"/>
      <c r="AK33" s="3"/>
      <c r="AL33" s="3"/>
      <c r="AM33" s="3"/>
      <c r="AN33" s="3"/>
      <c r="AO33" s="3"/>
      <c r="AP33" s="3"/>
      <c r="AQ33" s="3"/>
      <c r="AR33" s="3"/>
      <c r="AS33" s="3"/>
      <c r="AT33" s="3"/>
      <c r="AU33" s="3"/>
    </row>
    <row r="34" spans="1:47" ht="14.25" hidden="1" customHeight="1" x14ac:dyDescent="0.3">
      <c r="B34" s="27"/>
      <c r="C34" s="26"/>
      <c r="D34" s="26"/>
      <c r="E34" s="26"/>
      <c r="F34" s="26"/>
      <c r="M34" s="74"/>
      <c r="N34" s="76"/>
      <c r="Q34" s="1"/>
      <c r="R34" s="1"/>
      <c r="S34" s="2"/>
      <c r="T34" s="2"/>
      <c r="U34" s="2"/>
      <c r="V34" s="2"/>
      <c r="W34" s="2"/>
      <c r="X34" s="2"/>
      <c r="Y34" s="3"/>
      <c r="Z34" s="3"/>
      <c r="AA34" s="3"/>
      <c r="AB34" s="3"/>
      <c r="AC34" s="3"/>
      <c r="AD34" s="3"/>
      <c r="AE34" s="3"/>
      <c r="AF34" s="3"/>
      <c r="AG34" s="3"/>
      <c r="AH34" s="3"/>
      <c r="AI34" s="3"/>
      <c r="AJ34" s="3"/>
      <c r="AK34" s="3"/>
      <c r="AL34" s="3"/>
      <c r="AM34" s="3"/>
      <c r="AN34" s="3"/>
      <c r="AO34" s="3"/>
      <c r="AP34" s="3"/>
      <c r="AQ34" s="3"/>
      <c r="AR34" s="3"/>
      <c r="AS34" s="3"/>
      <c r="AT34" s="3"/>
      <c r="AU34" s="3"/>
    </row>
    <row r="35" spans="1:47" ht="14.25" hidden="1" customHeight="1" x14ac:dyDescent="0.3">
      <c r="B35" s="28" t="s">
        <v>30</v>
      </c>
      <c r="C35" s="92"/>
      <c r="D35" s="93"/>
      <c r="E35" s="93"/>
      <c r="F35" s="93"/>
      <c r="G35" s="93"/>
      <c r="H35" s="93"/>
      <c r="I35" s="93"/>
      <c r="J35" s="93"/>
      <c r="K35" s="94"/>
      <c r="M35" s="74"/>
      <c r="N35" s="76"/>
      <c r="Q35" s="1"/>
      <c r="R35" s="1"/>
      <c r="S35" s="2"/>
      <c r="T35" s="2"/>
      <c r="U35" s="2"/>
      <c r="V35" s="2"/>
      <c r="W35" s="2"/>
      <c r="X35" s="2"/>
      <c r="Y35" s="3"/>
      <c r="Z35" s="3"/>
      <c r="AA35" s="3"/>
      <c r="AB35" s="3"/>
      <c r="AC35" s="3"/>
      <c r="AD35" s="3"/>
      <c r="AE35" s="3"/>
      <c r="AF35" s="3"/>
      <c r="AG35" s="3"/>
      <c r="AH35" s="3"/>
      <c r="AI35" s="3"/>
      <c r="AJ35" s="3"/>
      <c r="AK35" s="3"/>
      <c r="AL35" s="3"/>
      <c r="AM35" s="3"/>
      <c r="AN35" s="3"/>
      <c r="AO35" s="3"/>
      <c r="AP35" s="3"/>
      <c r="AQ35" s="3"/>
      <c r="AR35" s="3"/>
      <c r="AS35" s="3"/>
      <c r="AT35" s="3"/>
      <c r="AU35" s="3"/>
    </row>
    <row r="36" spans="1:47" ht="14.25" hidden="1" customHeight="1" x14ac:dyDescent="0.3">
      <c r="B36" s="27"/>
      <c r="C36" s="95"/>
      <c r="D36" s="96"/>
      <c r="E36" s="96"/>
      <c r="F36" s="96"/>
      <c r="G36" s="96"/>
      <c r="H36" s="96"/>
      <c r="I36" s="96"/>
      <c r="J36" s="96"/>
      <c r="K36" s="67"/>
      <c r="M36" s="77"/>
      <c r="N36" s="79"/>
      <c r="Q36" s="1"/>
      <c r="R36" s="1"/>
      <c r="S36" s="2"/>
      <c r="T36" s="2"/>
      <c r="U36" s="2"/>
      <c r="V36" s="2"/>
      <c r="W36" s="2"/>
      <c r="X36" s="2"/>
      <c r="Y36" s="3"/>
      <c r="Z36" s="3"/>
      <c r="AA36" s="3"/>
      <c r="AB36" s="3"/>
      <c r="AC36" s="3"/>
      <c r="AD36" s="3"/>
      <c r="AE36" s="3"/>
      <c r="AF36" s="3"/>
      <c r="AG36" s="3"/>
      <c r="AH36" s="3"/>
      <c r="AI36" s="3"/>
      <c r="AJ36" s="3"/>
      <c r="AK36" s="3"/>
      <c r="AL36" s="3"/>
      <c r="AM36" s="3"/>
      <c r="AN36" s="3"/>
      <c r="AO36" s="3"/>
      <c r="AP36" s="3"/>
      <c r="AQ36" s="3"/>
      <c r="AR36" s="3"/>
      <c r="AS36" s="3"/>
      <c r="AT36" s="3"/>
      <c r="AU36" s="3"/>
    </row>
    <row r="37" spans="1:47" ht="14.25" hidden="1" customHeight="1" x14ac:dyDescent="0.3">
      <c r="B37" s="3"/>
      <c r="Q37" s="1"/>
      <c r="R37" s="1"/>
      <c r="S37" s="2"/>
      <c r="T37" s="2"/>
      <c r="U37" s="2"/>
      <c r="V37" s="2"/>
      <c r="W37" s="2"/>
      <c r="X37" s="2"/>
      <c r="Y37" s="3"/>
      <c r="Z37" s="3"/>
      <c r="AA37" s="3"/>
      <c r="AB37" s="3"/>
      <c r="AC37" s="3"/>
      <c r="AD37" s="3"/>
      <c r="AE37" s="3"/>
      <c r="AF37" s="3"/>
      <c r="AG37" s="3"/>
      <c r="AH37" s="3"/>
      <c r="AI37" s="3"/>
      <c r="AJ37" s="3"/>
      <c r="AK37" s="3"/>
      <c r="AL37" s="3"/>
      <c r="AM37" s="3"/>
      <c r="AN37" s="3"/>
      <c r="AO37" s="3"/>
      <c r="AP37" s="3"/>
      <c r="AQ37" s="3"/>
      <c r="AR37" s="3"/>
      <c r="AS37" s="3"/>
      <c r="AT37" s="3"/>
      <c r="AU37" s="3"/>
    </row>
    <row r="38" spans="1:47" ht="14.25" hidden="1" customHeight="1" x14ac:dyDescent="0.3">
      <c r="A38" s="9"/>
      <c r="B38" s="87"/>
      <c r="C38" s="84"/>
      <c r="D38" s="84"/>
      <c r="E38" s="84"/>
      <c r="F38" s="84"/>
      <c r="G38" s="84"/>
      <c r="H38" s="84"/>
      <c r="I38" s="84"/>
      <c r="J38" s="84"/>
      <c r="K38" s="81"/>
      <c r="L38" s="9"/>
      <c r="M38" s="9"/>
      <c r="N38" s="9"/>
      <c r="O38" s="9"/>
      <c r="P38" s="9"/>
      <c r="Q38" s="9"/>
      <c r="R38" s="9"/>
      <c r="S38" s="2"/>
      <c r="T38" s="2"/>
      <c r="U38" s="2"/>
      <c r="V38" s="2"/>
      <c r="W38" s="2"/>
      <c r="X38" s="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ht="14.25" hidden="1" customHeight="1" x14ac:dyDescent="0.3">
      <c r="B39" s="3"/>
      <c r="Q39" s="1"/>
      <c r="R39" s="1"/>
      <c r="S39" s="2"/>
      <c r="T39" s="2"/>
      <c r="U39" s="2"/>
      <c r="V39" s="2"/>
      <c r="W39" s="2"/>
      <c r="X39" s="2"/>
      <c r="Y39" s="3"/>
      <c r="Z39" s="3"/>
      <c r="AA39" s="3"/>
      <c r="AB39" s="3"/>
      <c r="AC39" s="3"/>
      <c r="AD39" s="3"/>
      <c r="AE39" s="3"/>
      <c r="AF39" s="3"/>
      <c r="AG39" s="3"/>
      <c r="AH39" s="3"/>
      <c r="AI39" s="3"/>
      <c r="AJ39" s="3"/>
      <c r="AK39" s="3"/>
      <c r="AL39" s="3"/>
      <c r="AM39" s="3"/>
      <c r="AN39" s="3"/>
      <c r="AO39" s="3"/>
      <c r="AP39" s="3"/>
      <c r="AQ39" s="3"/>
      <c r="AR39" s="3"/>
      <c r="AS39" s="3"/>
      <c r="AT39" s="3"/>
      <c r="AU39" s="3"/>
    </row>
    <row r="40" spans="1:47" ht="14.25" hidden="1" customHeight="1" x14ac:dyDescent="0.3">
      <c r="B40" s="3"/>
      <c r="C40" s="100"/>
      <c r="D40" s="93"/>
      <c r="E40" s="93"/>
      <c r="F40" s="93"/>
      <c r="G40" s="93"/>
      <c r="H40" s="93"/>
      <c r="I40" s="93"/>
      <c r="J40" s="93"/>
      <c r="K40" s="94"/>
      <c r="M40" s="29"/>
      <c r="N40" s="29"/>
      <c r="Q40" s="1"/>
      <c r="R40" s="1"/>
      <c r="S40" s="2"/>
      <c r="T40" s="2"/>
      <c r="U40" s="2"/>
      <c r="V40" s="2"/>
      <c r="W40" s="2"/>
      <c r="X40" s="2"/>
      <c r="Y40" s="3"/>
      <c r="Z40" s="3"/>
      <c r="AA40" s="3"/>
      <c r="AB40" s="3"/>
      <c r="AC40" s="3"/>
      <c r="AD40" s="3"/>
      <c r="AE40" s="3"/>
      <c r="AF40" s="3"/>
      <c r="AG40" s="3"/>
      <c r="AH40" s="3"/>
      <c r="AI40" s="3"/>
      <c r="AJ40" s="3"/>
      <c r="AK40" s="3"/>
      <c r="AL40" s="3"/>
      <c r="AM40" s="3"/>
      <c r="AN40" s="3"/>
      <c r="AO40" s="3"/>
      <c r="AP40" s="3"/>
      <c r="AQ40" s="3"/>
      <c r="AR40" s="3"/>
      <c r="AS40" s="3"/>
      <c r="AT40" s="3"/>
      <c r="AU40" s="3"/>
    </row>
    <row r="41" spans="1:47" ht="14.25" hidden="1" customHeight="1" x14ac:dyDescent="0.3">
      <c r="B41" s="3"/>
      <c r="C41" s="95"/>
      <c r="D41" s="96"/>
      <c r="E41" s="96"/>
      <c r="F41" s="96"/>
      <c r="G41" s="96"/>
      <c r="H41" s="96"/>
      <c r="I41" s="96"/>
      <c r="J41" s="96"/>
      <c r="K41" s="67"/>
      <c r="M41" s="29"/>
      <c r="N41" s="29"/>
      <c r="Q41" s="1"/>
      <c r="R41" s="1"/>
      <c r="S41" s="2"/>
      <c r="T41" s="2"/>
      <c r="U41" s="2"/>
      <c r="V41" s="2"/>
      <c r="W41" s="2"/>
      <c r="X41" s="2"/>
      <c r="Y41" s="3"/>
      <c r="Z41" s="3"/>
      <c r="AA41" s="3"/>
      <c r="AB41" s="3"/>
      <c r="AC41" s="3"/>
      <c r="AD41" s="3"/>
      <c r="AE41" s="3"/>
      <c r="AF41" s="3"/>
      <c r="AG41" s="3"/>
      <c r="AH41" s="3"/>
      <c r="AI41" s="3"/>
      <c r="AJ41" s="3"/>
      <c r="AK41" s="3"/>
      <c r="AL41" s="3"/>
      <c r="AM41" s="3"/>
      <c r="AN41" s="3"/>
      <c r="AO41" s="3"/>
      <c r="AP41" s="3"/>
      <c r="AQ41" s="3"/>
      <c r="AR41" s="3"/>
      <c r="AS41" s="3"/>
      <c r="AT41" s="3"/>
      <c r="AU41" s="3"/>
    </row>
    <row r="42" spans="1:47" ht="14.25" hidden="1" customHeight="1" x14ac:dyDescent="0.3">
      <c r="B42" s="3"/>
      <c r="Q42" s="1"/>
      <c r="R42" s="1"/>
      <c r="S42" s="2"/>
      <c r="T42" s="2"/>
      <c r="U42" s="2"/>
      <c r="V42" s="2"/>
      <c r="W42" s="2"/>
      <c r="X42" s="2"/>
      <c r="Y42" s="3"/>
      <c r="Z42" s="3"/>
      <c r="AA42" s="3"/>
      <c r="AB42" s="3"/>
      <c r="AC42" s="3"/>
      <c r="AD42" s="3"/>
      <c r="AE42" s="3"/>
      <c r="AF42" s="3"/>
      <c r="AG42" s="3"/>
      <c r="AH42" s="3"/>
      <c r="AI42" s="3"/>
      <c r="AJ42" s="3"/>
      <c r="AK42" s="3"/>
      <c r="AL42" s="3"/>
      <c r="AM42" s="3"/>
      <c r="AN42" s="3"/>
      <c r="AO42" s="3"/>
      <c r="AP42" s="3"/>
      <c r="AQ42" s="3"/>
      <c r="AR42" s="3"/>
      <c r="AS42" s="3"/>
      <c r="AT42" s="3"/>
      <c r="AU42" s="3"/>
    </row>
    <row r="43" spans="1:47" ht="14.25" hidden="1" customHeight="1" x14ac:dyDescent="0.3">
      <c r="A43" s="9"/>
      <c r="B43" s="87"/>
      <c r="C43" s="84"/>
      <c r="D43" s="84"/>
      <c r="E43" s="84"/>
      <c r="F43" s="84"/>
      <c r="G43" s="84"/>
      <c r="H43" s="84"/>
      <c r="I43" s="84"/>
      <c r="J43" s="84"/>
      <c r="K43" s="81"/>
      <c r="L43" s="9"/>
      <c r="M43" s="9"/>
      <c r="N43" s="9"/>
      <c r="O43" s="9"/>
      <c r="P43" s="9"/>
      <c r="Q43" s="9"/>
      <c r="R43" s="9"/>
      <c r="S43" s="2"/>
      <c r="T43" s="2"/>
      <c r="U43" s="2"/>
      <c r="V43" s="2"/>
      <c r="W43" s="2"/>
      <c r="X43" s="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ht="14.25" hidden="1" customHeight="1" x14ac:dyDescent="0.3">
      <c r="B44" s="3"/>
      <c r="Q44" s="1"/>
      <c r="R44" s="1"/>
      <c r="S44" s="2"/>
      <c r="T44" s="2"/>
      <c r="U44" s="2"/>
      <c r="V44" s="2"/>
      <c r="W44" s="2"/>
      <c r="X44" s="2"/>
      <c r="Y44" s="3"/>
      <c r="Z44" s="3"/>
      <c r="AA44" s="3"/>
      <c r="AB44" s="3"/>
      <c r="AC44" s="3"/>
      <c r="AD44" s="3"/>
      <c r="AE44" s="3"/>
      <c r="AF44" s="3"/>
      <c r="AG44" s="3"/>
      <c r="AH44" s="3"/>
      <c r="AI44" s="3"/>
      <c r="AJ44" s="3"/>
      <c r="AK44" s="3"/>
      <c r="AL44" s="3"/>
      <c r="AM44" s="3"/>
      <c r="AN44" s="3"/>
      <c r="AO44" s="3"/>
      <c r="AP44" s="3"/>
      <c r="AQ44" s="3"/>
      <c r="AR44" s="3"/>
      <c r="AS44" s="3"/>
      <c r="AT44" s="3"/>
      <c r="AU44" s="3"/>
    </row>
    <row r="45" spans="1:47" ht="14.25" hidden="1" customHeight="1" x14ac:dyDescent="0.3">
      <c r="B45" s="3"/>
      <c r="C45" s="103"/>
      <c r="D45" s="93"/>
      <c r="E45" s="93"/>
      <c r="F45" s="93"/>
      <c r="G45" s="93"/>
      <c r="H45" s="93"/>
      <c r="I45" s="93"/>
      <c r="J45" s="93"/>
      <c r="K45" s="94"/>
      <c r="M45" s="29"/>
      <c r="N45" s="29"/>
      <c r="Q45" s="1"/>
      <c r="R45" s="1"/>
      <c r="S45" s="2"/>
      <c r="T45" s="2"/>
      <c r="U45" s="2"/>
      <c r="V45" s="2"/>
      <c r="W45" s="2"/>
      <c r="X45" s="2"/>
      <c r="Y45" s="3"/>
      <c r="Z45" s="3"/>
      <c r="AA45" s="3"/>
      <c r="AB45" s="3"/>
      <c r="AC45" s="3"/>
      <c r="AD45" s="3"/>
      <c r="AE45" s="3"/>
      <c r="AF45" s="3"/>
      <c r="AG45" s="3"/>
      <c r="AH45" s="3"/>
      <c r="AI45" s="3"/>
      <c r="AJ45" s="3"/>
      <c r="AK45" s="3"/>
      <c r="AL45" s="3"/>
      <c r="AM45" s="3"/>
      <c r="AN45" s="3"/>
      <c r="AO45" s="3"/>
      <c r="AP45" s="3"/>
      <c r="AQ45" s="3"/>
      <c r="AR45" s="3"/>
      <c r="AS45" s="3"/>
      <c r="AT45" s="3"/>
      <c r="AU45" s="3"/>
    </row>
    <row r="46" spans="1:47" ht="14.25" hidden="1" customHeight="1" x14ac:dyDescent="0.3">
      <c r="B46" s="3"/>
      <c r="C46" s="95"/>
      <c r="D46" s="96"/>
      <c r="E46" s="96"/>
      <c r="F46" s="96"/>
      <c r="G46" s="96"/>
      <c r="H46" s="96"/>
      <c r="I46" s="96"/>
      <c r="J46" s="96"/>
      <c r="K46" s="67"/>
      <c r="M46" s="29"/>
      <c r="N46" s="29"/>
      <c r="Q46" s="1"/>
      <c r="R46" s="1"/>
      <c r="S46" s="2"/>
      <c r="T46" s="2"/>
      <c r="U46" s="2"/>
      <c r="V46" s="2"/>
      <c r="W46" s="2"/>
      <c r="X46" s="2"/>
      <c r="Y46" s="3"/>
      <c r="Z46" s="3"/>
      <c r="AA46" s="3"/>
      <c r="AB46" s="3"/>
      <c r="AC46" s="3"/>
      <c r="AD46" s="3"/>
      <c r="AE46" s="3"/>
      <c r="AF46" s="3"/>
      <c r="AG46" s="3"/>
      <c r="AH46" s="3"/>
      <c r="AI46" s="3"/>
      <c r="AJ46" s="3"/>
      <c r="AK46" s="3"/>
      <c r="AL46" s="3"/>
      <c r="AM46" s="3"/>
      <c r="AN46" s="3"/>
      <c r="AO46" s="3"/>
      <c r="AP46" s="3"/>
      <c r="AQ46" s="3"/>
      <c r="AR46" s="3"/>
      <c r="AS46" s="3"/>
      <c r="AT46" s="3"/>
      <c r="AU46" s="3"/>
    </row>
    <row r="47" spans="1:47" ht="14.25" hidden="1" customHeight="1" x14ac:dyDescent="0.3">
      <c r="B47" s="3"/>
      <c r="Q47" s="1"/>
      <c r="R47" s="1"/>
      <c r="S47" s="2"/>
      <c r="T47" s="2"/>
      <c r="U47" s="2"/>
      <c r="V47" s="2"/>
      <c r="W47" s="2"/>
      <c r="X47" s="2"/>
      <c r="Y47" s="3"/>
      <c r="Z47" s="3"/>
      <c r="AA47" s="3"/>
      <c r="AB47" s="3"/>
      <c r="AC47" s="3"/>
      <c r="AD47" s="3"/>
      <c r="AE47" s="3"/>
      <c r="AF47" s="3"/>
      <c r="AG47" s="3"/>
      <c r="AH47" s="3"/>
      <c r="AI47" s="3"/>
      <c r="AJ47" s="3"/>
      <c r="AK47" s="3"/>
      <c r="AL47" s="3"/>
      <c r="AM47" s="3"/>
      <c r="AN47" s="3"/>
      <c r="AO47" s="3"/>
      <c r="AP47" s="3"/>
      <c r="AQ47" s="3"/>
      <c r="AR47" s="3"/>
      <c r="AS47" s="3"/>
      <c r="AT47" s="3"/>
      <c r="AU47" s="3"/>
    </row>
    <row r="48" spans="1:47" ht="14.25" customHeight="1" x14ac:dyDescent="0.3">
      <c r="A48" s="9"/>
      <c r="B48" s="87" t="s">
        <v>38</v>
      </c>
      <c r="C48" s="84"/>
      <c r="D48" s="84"/>
      <c r="E48" s="84"/>
      <c r="F48" s="84"/>
      <c r="G48" s="84"/>
      <c r="H48" s="84"/>
      <c r="I48" s="84"/>
      <c r="J48" s="84"/>
      <c r="K48" s="81"/>
      <c r="L48" s="9"/>
      <c r="M48" s="9"/>
      <c r="N48" s="9"/>
      <c r="O48" s="9"/>
      <c r="P48" s="9"/>
      <c r="Q48" s="9"/>
      <c r="R48" s="9"/>
      <c r="S48" s="2"/>
      <c r="T48" s="2"/>
      <c r="U48" s="2"/>
      <c r="V48" s="2"/>
      <c r="W48" s="2"/>
      <c r="X48" s="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ht="14.25" customHeight="1" x14ac:dyDescent="0.3">
      <c r="Q49" s="1"/>
      <c r="R49" s="1"/>
      <c r="S49" s="2"/>
      <c r="T49" s="2"/>
      <c r="U49" s="2"/>
      <c r="V49" s="2"/>
      <c r="W49" s="2"/>
      <c r="X49" s="2"/>
      <c r="Y49" s="3"/>
      <c r="Z49" s="3"/>
      <c r="AA49" s="3"/>
      <c r="AB49" s="3"/>
      <c r="AC49" s="3"/>
      <c r="AD49" s="3"/>
      <c r="AE49" s="3"/>
      <c r="AF49" s="3"/>
      <c r="AG49" s="3"/>
      <c r="AH49" s="3"/>
      <c r="AI49" s="3"/>
      <c r="AJ49" s="3"/>
      <c r="AK49" s="3"/>
      <c r="AL49" s="3"/>
      <c r="AM49" s="3"/>
      <c r="AN49" s="3"/>
      <c r="AO49" s="3"/>
      <c r="AP49" s="3"/>
      <c r="AQ49" s="3"/>
      <c r="AR49" s="3"/>
      <c r="AS49" s="3"/>
      <c r="AT49" s="3"/>
      <c r="AU49" s="3"/>
    </row>
    <row r="50" spans="1:47" ht="14.25" hidden="1" customHeight="1" x14ac:dyDescent="0.3">
      <c r="A50" s="9"/>
      <c r="B50" s="87" t="s">
        <v>39</v>
      </c>
      <c r="C50" s="84"/>
      <c r="D50" s="84"/>
      <c r="E50" s="84"/>
      <c r="F50" s="84"/>
      <c r="G50" s="84"/>
      <c r="H50" s="84"/>
      <c r="I50" s="84"/>
      <c r="J50" s="84"/>
      <c r="K50" s="81"/>
      <c r="L50" s="9"/>
      <c r="M50" s="9"/>
      <c r="N50" s="9"/>
      <c r="O50" s="9"/>
      <c r="P50" s="9"/>
      <c r="Q50" s="9"/>
      <c r="R50" s="9"/>
      <c r="S50" s="2"/>
      <c r="T50" s="2"/>
      <c r="U50" s="2"/>
      <c r="V50" s="2"/>
      <c r="W50" s="2"/>
      <c r="X50" s="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ht="14.25" hidden="1" customHeight="1" x14ac:dyDescent="0.3">
      <c r="B51" s="3"/>
      <c r="E51" s="30" t="s">
        <v>40</v>
      </c>
      <c r="Q51" s="1"/>
      <c r="R51" s="1"/>
      <c r="S51" s="2"/>
      <c r="T51" s="2"/>
      <c r="U51" s="2"/>
      <c r="V51" s="2"/>
      <c r="W51" s="2"/>
      <c r="X51" s="2"/>
      <c r="Y51" s="3"/>
      <c r="Z51" s="3"/>
      <c r="AA51" s="3"/>
      <c r="AB51" s="3"/>
      <c r="AC51" s="3"/>
      <c r="AD51" s="3"/>
      <c r="AE51" s="3"/>
      <c r="AF51" s="3"/>
      <c r="AG51" s="3"/>
      <c r="AH51" s="3"/>
      <c r="AI51" s="3"/>
      <c r="AJ51" s="3"/>
      <c r="AK51" s="3"/>
      <c r="AL51" s="3"/>
      <c r="AM51" s="3"/>
      <c r="AN51" s="3"/>
      <c r="AO51" s="3"/>
      <c r="AP51" s="3"/>
      <c r="AQ51" s="3"/>
      <c r="AR51" s="3"/>
      <c r="AS51" s="3"/>
      <c r="AT51" s="3"/>
      <c r="AU51" s="3"/>
    </row>
    <row r="52" spans="1:47" ht="14.25" hidden="1" customHeight="1" x14ac:dyDescent="0.3">
      <c r="B52" s="3"/>
      <c r="Q52" s="1"/>
      <c r="R52" s="1"/>
      <c r="S52" s="2"/>
      <c r="T52" s="2"/>
      <c r="U52" s="2"/>
      <c r="V52" s="2"/>
      <c r="W52" s="2"/>
      <c r="X52" s="2"/>
      <c r="Y52" s="3"/>
      <c r="Z52" s="3"/>
      <c r="AA52" s="3"/>
      <c r="AB52" s="3"/>
      <c r="AC52" s="3"/>
      <c r="AD52" s="3"/>
      <c r="AE52" s="3"/>
      <c r="AF52" s="3"/>
      <c r="AG52" s="3"/>
      <c r="AH52" s="3"/>
      <c r="AI52" s="3"/>
      <c r="AJ52" s="3"/>
      <c r="AK52" s="3"/>
      <c r="AL52" s="3"/>
      <c r="AM52" s="3"/>
      <c r="AN52" s="3"/>
      <c r="AO52" s="3"/>
      <c r="AP52" s="3"/>
      <c r="AQ52" s="3"/>
      <c r="AR52" s="3"/>
      <c r="AS52" s="3"/>
      <c r="AT52" s="3"/>
      <c r="AU52" s="3"/>
    </row>
    <row r="53" spans="1:47" ht="14.25" hidden="1" customHeight="1" x14ac:dyDescent="0.3">
      <c r="B53" s="31" t="s">
        <v>41</v>
      </c>
      <c r="C53" s="97"/>
      <c r="D53" s="64"/>
      <c r="E53" s="64"/>
      <c r="F53" s="62"/>
      <c r="I53" s="31" t="s">
        <v>42</v>
      </c>
      <c r="J53" s="97"/>
      <c r="K53" s="62"/>
      <c r="M53" s="90" t="s">
        <v>43</v>
      </c>
      <c r="N53" s="73"/>
      <c r="Q53" s="1"/>
      <c r="R53" s="1"/>
      <c r="S53" s="2"/>
      <c r="T53" s="2"/>
      <c r="U53" s="2"/>
      <c r="V53" s="2"/>
      <c r="W53" s="2"/>
      <c r="X53" s="2"/>
      <c r="Y53" s="3"/>
      <c r="Z53" s="3"/>
      <c r="AA53" s="3"/>
      <c r="AB53" s="3"/>
      <c r="AC53" s="3"/>
      <c r="AD53" s="3"/>
      <c r="AE53" s="3"/>
      <c r="AF53" s="3"/>
      <c r="AG53" s="3"/>
      <c r="AH53" s="3"/>
      <c r="AI53" s="3"/>
      <c r="AJ53" s="3"/>
      <c r="AK53" s="3"/>
      <c r="AL53" s="3"/>
      <c r="AM53" s="3"/>
      <c r="AN53" s="3"/>
      <c r="AO53" s="3"/>
      <c r="AP53" s="3"/>
      <c r="AQ53" s="3"/>
      <c r="AR53" s="3"/>
      <c r="AS53" s="3"/>
      <c r="AT53" s="3"/>
      <c r="AU53" s="3"/>
    </row>
    <row r="54" spans="1:47" ht="14.25" hidden="1" customHeight="1" x14ac:dyDescent="0.3">
      <c r="B54" s="31" t="s">
        <v>44</v>
      </c>
      <c r="C54" s="97"/>
      <c r="D54" s="64"/>
      <c r="E54" s="64"/>
      <c r="F54" s="62"/>
      <c r="I54" s="31" t="s">
        <v>45</v>
      </c>
      <c r="J54" s="97"/>
      <c r="K54" s="62"/>
      <c r="M54" s="74"/>
      <c r="N54" s="76"/>
      <c r="Q54" s="1"/>
      <c r="R54" s="1"/>
      <c r="S54" s="2"/>
      <c r="T54" s="2"/>
      <c r="U54" s="2"/>
      <c r="V54" s="2"/>
      <c r="W54" s="2"/>
      <c r="X54" s="2"/>
      <c r="Y54" s="3"/>
      <c r="Z54" s="3"/>
      <c r="AA54" s="2" t="str">
        <f>CONCATENATE(C53,C54,C55,C56,C57,C58,J53,J54,J55,J56,J57,J58)</f>
        <v/>
      </c>
      <c r="AB54" s="3"/>
      <c r="AC54" s="3"/>
      <c r="AD54" s="3"/>
      <c r="AE54" s="3"/>
      <c r="AF54" s="3"/>
      <c r="AG54" s="3"/>
      <c r="AH54" s="3"/>
      <c r="AI54" s="3"/>
      <c r="AJ54" s="3"/>
      <c r="AK54" s="3"/>
      <c r="AL54" s="3"/>
      <c r="AM54" s="3"/>
      <c r="AN54" s="3"/>
      <c r="AO54" s="3"/>
      <c r="AP54" s="3"/>
      <c r="AQ54" s="3"/>
      <c r="AR54" s="3"/>
      <c r="AS54" s="3"/>
      <c r="AT54" s="3"/>
      <c r="AU54" s="3"/>
    </row>
    <row r="55" spans="1:47" ht="14.25" hidden="1" customHeight="1" x14ac:dyDescent="0.3">
      <c r="B55" s="31" t="s">
        <v>46</v>
      </c>
      <c r="C55" s="97"/>
      <c r="D55" s="64"/>
      <c r="E55" s="64"/>
      <c r="F55" s="62"/>
      <c r="I55" s="31" t="s">
        <v>47</v>
      </c>
      <c r="J55" s="97"/>
      <c r="K55" s="62"/>
      <c r="M55" s="74"/>
      <c r="N55" s="76"/>
      <c r="Q55" s="1"/>
      <c r="R55" s="1"/>
      <c r="S55" s="2"/>
      <c r="T55" s="2"/>
      <c r="U55" s="2"/>
      <c r="V55" s="2"/>
      <c r="W55" s="2"/>
      <c r="X55" s="2"/>
      <c r="Y55" s="3"/>
      <c r="Z55" s="3"/>
      <c r="AA55" s="3"/>
      <c r="AB55" s="3"/>
      <c r="AC55" s="3"/>
      <c r="AD55" s="3"/>
      <c r="AE55" s="3"/>
      <c r="AF55" s="3"/>
      <c r="AG55" s="3"/>
      <c r="AH55" s="3"/>
      <c r="AI55" s="3"/>
      <c r="AJ55" s="3"/>
      <c r="AK55" s="3"/>
      <c r="AL55" s="3"/>
      <c r="AM55" s="3"/>
      <c r="AN55" s="3"/>
      <c r="AO55" s="3"/>
      <c r="AP55" s="3"/>
      <c r="AQ55" s="3"/>
      <c r="AR55" s="3"/>
      <c r="AS55" s="3"/>
      <c r="AT55" s="3"/>
      <c r="AU55" s="3"/>
    </row>
    <row r="56" spans="1:47" ht="14.25" hidden="1" customHeight="1" x14ac:dyDescent="0.3">
      <c r="B56" s="31" t="s">
        <v>48</v>
      </c>
      <c r="C56" s="97"/>
      <c r="D56" s="64"/>
      <c r="E56" s="64"/>
      <c r="F56" s="62"/>
      <c r="I56" s="31" t="s">
        <v>49</v>
      </c>
      <c r="J56" s="97"/>
      <c r="K56" s="62"/>
      <c r="M56" s="74"/>
      <c r="N56" s="76"/>
      <c r="Q56" s="1"/>
      <c r="R56" s="1"/>
      <c r="S56" s="2"/>
      <c r="T56" s="2"/>
      <c r="U56" s="2"/>
      <c r="V56" s="2"/>
      <c r="W56" s="2"/>
      <c r="X56" s="2"/>
      <c r="Y56" s="3"/>
      <c r="Z56" s="3"/>
      <c r="AA56" s="3"/>
      <c r="AB56" s="3"/>
      <c r="AC56" s="3"/>
      <c r="AD56" s="3"/>
      <c r="AE56" s="3"/>
      <c r="AF56" s="3"/>
      <c r="AG56" s="3"/>
      <c r="AH56" s="3"/>
      <c r="AI56" s="3"/>
      <c r="AJ56" s="3"/>
      <c r="AK56" s="3"/>
      <c r="AL56" s="3"/>
      <c r="AM56" s="3"/>
      <c r="AN56" s="3"/>
      <c r="AO56" s="3"/>
      <c r="AP56" s="3"/>
      <c r="AQ56" s="3"/>
      <c r="AR56" s="3"/>
      <c r="AS56" s="3"/>
      <c r="AT56" s="3"/>
      <c r="AU56" s="3"/>
    </row>
    <row r="57" spans="1:47" ht="14.25" hidden="1" customHeight="1" x14ac:dyDescent="0.3">
      <c r="B57" s="31" t="s">
        <v>50</v>
      </c>
      <c r="C57" s="97"/>
      <c r="D57" s="64"/>
      <c r="E57" s="64"/>
      <c r="F57" s="62"/>
      <c r="I57" s="31" t="s">
        <v>51</v>
      </c>
      <c r="J57" s="97"/>
      <c r="K57" s="62"/>
      <c r="M57" s="74"/>
      <c r="N57" s="76"/>
      <c r="Q57" s="1"/>
      <c r="R57" s="1"/>
      <c r="S57" s="2"/>
      <c r="T57" s="2"/>
      <c r="U57" s="2"/>
      <c r="V57" s="2"/>
      <c r="W57" s="2"/>
      <c r="X57" s="2"/>
      <c r="Y57" s="3"/>
      <c r="Z57" s="3"/>
      <c r="AA57" s="3"/>
      <c r="AB57" s="3"/>
      <c r="AC57" s="3"/>
      <c r="AD57" s="3"/>
      <c r="AE57" s="3"/>
      <c r="AF57" s="3"/>
      <c r="AG57" s="3"/>
      <c r="AH57" s="3"/>
      <c r="AI57" s="3"/>
      <c r="AJ57" s="3"/>
      <c r="AK57" s="3"/>
      <c r="AL57" s="3"/>
      <c r="AM57" s="3"/>
      <c r="AN57" s="3"/>
      <c r="AO57" s="3"/>
      <c r="AP57" s="3"/>
      <c r="AQ57" s="3"/>
      <c r="AR57" s="3"/>
      <c r="AS57" s="3"/>
      <c r="AT57" s="3"/>
      <c r="AU57" s="3"/>
    </row>
    <row r="58" spans="1:47" ht="14.25" hidden="1" customHeight="1" x14ac:dyDescent="0.3">
      <c r="B58" s="31" t="s">
        <v>52</v>
      </c>
      <c r="C58" s="97"/>
      <c r="D58" s="64"/>
      <c r="E58" s="64"/>
      <c r="F58" s="62"/>
      <c r="I58" s="31" t="s">
        <v>53</v>
      </c>
      <c r="J58" s="97"/>
      <c r="K58" s="62"/>
      <c r="M58" s="77"/>
      <c r="N58" s="79"/>
      <c r="Q58" s="1"/>
      <c r="R58" s="1"/>
      <c r="S58" s="2"/>
      <c r="T58" s="2"/>
      <c r="U58" s="2"/>
      <c r="V58" s="2"/>
      <c r="W58" s="2"/>
      <c r="X58" s="2"/>
      <c r="Y58" s="3"/>
      <c r="Z58" s="3"/>
      <c r="AA58" s="3"/>
      <c r="AB58" s="3"/>
      <c r="AC58" s="3"/>
      <c r="AD58" s="3"/>
      <c r="AE58" s="3"/>
      <c r="AF58" s="3"/>
      <c r="AG58" s="3"/>
      <c r="AH58" s="3"/>
      <c r="AI58" s="3"/>
      <c r="AJ58" s="3"/>
      <c r="AK58" s="3"/>
      <c r="AL58" s="3"/>
      <c r="AM58" s="3"/>
      <c r="AN58" s="3"/>
      <c r="AO58" s="3"/>
      <c r="AP58" s="3"/>
      <c r="AQ58" s="3"/>
      <c r="AR58" s="3"/>
      <c r="AS58" s="3"/>
      <c r="AT58" s="3"/>
      <c r="AU58" s="3"/>
    </row>
    <row r="59" spans="1:47" ht="14.25" hidden="1" customHeight="1" x14ac:dyDescent="0.3">
      <c r="B59" s="3"/>
      <c r="Q59" s="1"/>
      <c r="R59" s="1"/>
      <c r="S59" s="2"/>
      <c r="T59" s="2"/>
      <c r="U59" s="2"/>
      <c r="V59" s="2"/>
      <c r="W59" s="2"/>
      <c r="X59" s="2"/>
      <c r="Y59" s="3"/>
      <c r="Z59" s="3"/>
      <c r="AA59" s="3"/>
      <c r="AB59" s="3"/>
      <c r="AC59" s="3"/>
      <c r="AD59" s="3"/>
      <c r="AE59" s="3"/>
      <c r="AF59" s="3"/>
      <c r="AG59" s="3"/>
      <c r="AH59" s="3"/>
      <c r="AI59" s="3"/>
      <c r="AJ59" s="3"/>
      <c r="AK59" s="3"/>
      <c r="AL59" s="3"/>
      <c r="AM59" s="3"/>
      <c r="AN59" s="3"/>
      <c r="AO59" s="3"/>
      <c r="AP59" s="3"/>
      <c r="AQ59" s="3"/>
      <c r="AR59" s="3"/>
      <c r="AS59" s="3"/>
      <c r="AT59" s="3"/>
      <c r="AU59" s="3"/>
    </row>
    <row r="60" spans="1:47" ht="14.25" hidden="1" customHeight="1" x14ac:dyDescent="0.3">
      <c r="B60" s="28" t="s">
        <v>30</v>
      </c>
      <c r="C60" s="92"/>
      <c r="D60" s="93"/>
      <c r="E60" s="93"/>
      <c r="F60" s="93"/>
      <c r="G60" s="93"/>
      <c r="H60" s="93"/>
      <c r="I60" s="93"/>
      <c r="J60" s="93"/>
      <c r="K60" s="94"/>
      <c r="Q60" s="1"/>
      <c r="R60" s="1"/>
      <c r="S60" s="2"/>
      <c r="T60" s="2"/>
      <c r="U60" s="2"/>
      <c r="V60" s="2"/>
      <c r="W60" s="2"/>
      <c r="X60" s="2"/>
      <c r="Y60" s="3"/>
      <c r="Z60" s="3"/>
      <c r="AA60" s="3"/>
      <c r="AB60" s="3"/>
      <c r="AC60" s="3"/>
      <c r="AD60" s="3"/>
      <c r="AE60" s="3"/>
      <c r="AF60" s="3"/>
      <c r="AG60" s="3"/>
      <c r="AH60" s="3"/>
      <c r="AI60" s="3"/>
      <c r="AJ60" s="3"/>
      <c r="AK60" s="3"/>
      <c r="AL60" s="3"/>
      <c r="AM60" s="3"/>
      <c r="AN60" s="3"/>
      <c r="AO60" s="3"/>
      <c r="AP60" s="3"/>
      <c r="AQ60" s="3"/>
      <c r="AR60" s="3"/>
      <c r="AS60" s="3"/>
      <c r="AT60" s="3"/>
      <c r="AU60" s="3"/>
    </row>
    <row r="61" spans="1:47" ht="14.25" hidden="1" customHeight="1" x14ac:dyDescent="0.3">
      <c r="B61" s="27"/>
      <c r="C61" s="95"/>
      <c r="D61" s="96"/>
      <c r="E61" s="96"/>
      <c r="F61" s="96"/>
      <c r="G61" s="96"/>
      <c r="H61" s="96"/>
      <c r="I61" s="96"/>
      <c r="J61" s="96"/>
      <c r="K61" s="67"/>
      <c r="Q61" s="1"/>
      <c r="R61" s="1"/>
      <c r="S61" s="2"/>
      <c r="T61" s="2"/>
      <c r="U61" s="2"/>
      <c r="V61" s="2"/>
      <c r="W61" s="2"/>
      <c r="X61" s="2"/>
      <c r="Y61" s="3"/>
      <c r="Z61" s="3"/>
      <c r="AA61" s="3"/>
      <c r="AB61" s="3"/>
      <c r="AC61" s="3"/>
      <c r="AD61" s="3"/>
      <c r="AE61" s="3"/>
      <c r="AF61" s="3"/>
      <c r="AG61" s="3"/>
      <c r="AH61" s="3"/>
      <c r="AI61" s="3"/>
      <c r="AJ61" s="3"/>
      <c r="AK61" s="3"/>
      <c r="AL61" s="3"/>
      <c r="AM61" s="3"/>
      <c r="AN61" s="3"/>
      <c r="AO61" s="3"/>
      <c r="AP61" s="3"/>
      <c r="AQ61" s="3"/>
      <c r="AR61" s="3"/>
      <c r="AS61" s="3"/>
      <c r="AT61" s="3"/>
      <c r="AU61" s="3"/>
    </row>
    <row r="62" spans="1:47" ht="14.25" hidden="1" customHeight="1" x14ac:dyDescent="0.3">
      <c r="B62" s="3"/>
      <c r="Q62" s="1"/>
      <c r="R62" s="1"/>
      <c r="S62" s="2"/>
      <c r="T62" s="2"/>
      <c r="U62" s="2"/>
      <c r="V62" s="2"/>
      <c r="W62" s="2"/>
      <c r="X62" s="2"/>
      <c r="Y62" s="3"/>
      <c r="Z62" s="3"/>
      <c r="AA62" s="3"/>
      <c r="AB62" s="3"/>
      <c r="AC62" s="3"/>
      <c r="AD62" s="3"/>
      <c r="AE62" s="3"/>
      <c r="AF62" s="3"/>
      <c r="AG62" s="3"/>
      <c r="AH62" s="3"/>
      <c r="AI62" s="3"/>
      <c r="AJ62" s="3"/>
      <c r="AK62" s="3"/>
      <c r="AL62" s="3"/>
      <c r="AM62" s="3"/>
      <c r="AN62" s="3"/>
      <c r="AO62" s="3"/>
      <c r="AP62" s="3"/>
      <c r="AQ62" s="3"/>
      <c r="AR62" s="3"/>
      <c r="AS62" s="3"/>
      <c r="AT62" s="3"/>
      <c r="AU62" s="3"/>
    </row>
    <row r="63" spans="1:47" ht="14.25" hidden="1" customHeight="1" x14ac:dyDescent="0.3">
      <c r="A63" s="9"/>
      <c r="B63" s="87" t="s">
        <v>54</v>
      </c>
      <c r="C63" s="84"/>
      <c r="D63" s="84"/>
      <c r="E63" s="84"/>
      <c r="F63" s="84"/>
      <c r="G63" s="84"/>
      <c r="H63" s="84"/>
      <c r="I63" s="84"/>
      <c r="J63" s="84"/>
      <c r="K63" s="81"/>
      <c r="L63" s="9"/>
      <c r="M63" s="9"/>
      <c r="N63" s="9"/>
      <c r="O63" s="9"/>
      <c r="P63" s="9"/>
      <c r="Q63" s="9"/>
      <c r="R63" s="9"/>
      <c r="S63" s="2"/>
      <c r="T63" s="2"/>
      <c r="U63" s="2"/>
      <c r="V63" s="2"/>
      <c r="W63" s="2"/>
      <c r="X63" s="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ht="14.25" hidden="1" customHeight="1" x14ac:dyDescent="0.3">
      <c r="B64" s="32"/>
      <c r="E64" s="30" t="s">
        <v>40</v>
      </c>
      <c r="Q64" s="1"/>
      <c r="R64" s="1"/>
      <c r="S64" s="2"/>
      <c r="T64" s="2"/>
      <c r="U64" s="2"/>
      <c r="V64" s="2"/>
      <c r="W64" s="2"/>
      <c r="X64" s="2"/>
      <c r="Y64" s="3"/>
      <c r="Z64" s="3"/>
      <c r="AA64" s="3"/>
      <c r="AB64" s="3"/>
      <c r="AC64" s="3"/>
      <c r="AD64" s="3"/>
      <c r="AE64" s="3"/>
      <c r="AF64" s="3"/>
      <c r="AG64" s="3"/>
      <c r="AH64" s="3"/>
      <c r="AI64" s="3"/>
      <c r="AJ64" s="3"/>
      <c r="AK64" s="3"/>
      <c r="AL64" s="3"/>
      <c r="AM64" s="3"/>
      <c r="AN64" s="3"/>
      <c r="AO64" s="3"/>
      <c r="AP64" s="3"/>
      <c r="AQ64" s="3"/>
      <c r="AR64" s="3"/>
      <c r="AS64" s="3"/>
      <c r="AT64" s="3"/>
      <c r="AU64" s="3"/>
    </row>
    <row r="65" spans="1:47" ht="14.25" hidden="1" customHeight="1" x14ac:dyDescent="0.3">
      <c r="B65" s="101" t="s">
        <v>19</v>
      </c>
      <c r="C65" s="62"/>
      <c r="D65" s="101" t="s">
        <v>20</v>
      </c>
      <c r="E65" s="62"/>
      <c r="F65" s="101" t="s">
        <v>21</v>
      </c>
      <c r="G65" s="62"/>
      <c r="H65" s="101" t="s">
        <v>55</v>
      </c>
      <c r="I65" s="62"/>
      <c r="J65" s="101" t="s">
        <v>56</v>
      </c>
      <c r="K65" s="62"/>
      <c r="M65" s="90" t="s">
        <v>57</v>
      </c>
      <c r="N65" s="72"/>
      <c r="O65" s="73"/>
      <c r="Q65" s="1"/>
      <c r="R65" s="1"/>
      <c r="S65" s="2"/>
      <c r="T65" s="2"/>
      <c r="U65" s="2"/>
      <c r="V65" s="2"/>
      <c r="W65" s="2"/>
      <c r="X65" s="2"/>
      <c r="Y65" s="3"/>
      <c r="Z65" s="3"/>
      <c r="AA65" s="3"/>
      <c r="AB65" s="3"/>
      <c r="AC65" s="3"/>
      <c r="AD65" s="3"/>
      <c r="AE65" s="3"/>
      <c r="AF65" s="3"/>
      <c r="AG65" s="3"/>
      <c r="AH65" s="3"/>
      <c r="AI65" s="3"/>
      <c r="AJ65" s="3"/>
      <c r="AK65" s="3"/>
      <c r="AL65" s="3"/>
      <c r="AM65" s="3"/>
      <c r="AN65" s="3"/>
      <c r="AO65" s="3"/>
      <c r="AP65" s="3"/>
      <c r="AQ65" s="3"/>
      <c r="AR65" s="3"/>
      <c r="AS65" s="3"/>
      <c r="AT65" s="3"/>
      <c r="AU65" s="3"/>
    </row>
    <row r="66" spans="1:47" ht="14.25" hidden="1" customHeight="1" x14ac:dyDescent="0.3">
      <c r="B66" s="61"/>
      <c r="C66" s="62"/>
      <c r="D66" s="61" t="s">
        <v>33</v>
      </c>
      <c r="E66" s="62"/>
      <c r="F66" s="61"/>
      <c r="G66" s="62"/>
      <c r="H66" s="61"/>
      <c r="I66" s="62"/>
      <c r="J66" s="61"/>
      <c r="K66" s="62"/>
      <c r="M66" s="77"/>
      <c r="N66" s="78"/>
      <c r="O66" s="79"/>
      <c r="Q66" s="1"/>
      <c r="R66" s="1"/>
      <c r="S66" s="2"/>
      <c r="T66" s="2"/>
      <c r="U66" s="2"/>
      <c r="V66" s="2"/>
      <c r="W66" s="2"/>
      <c r="X66" s="2"/>
      <c r="Y66" s="3"/>
      <c r="Z66" s="3"/>
      <c r="AA66" s="3"/>
      <c r="AB66" s="3"/>
      <c r="AC66" s="3"/>
      <c r="AD66" s="3"/>
      <c r="AE66" s="3"/>
      <c r="AF66" s="3"/>
      <c r="AG66" s="3"/>
      <c r="AH66" s="3"/>
      <c r="AI66" s="3"/>
      <c r="AJ66" s="3"/>
      <c r="AK66" s="3"/>
      <c r="AL66" s="3"/>
      <c r="AM66" s="3"/>
      <c r="AN66" s="3"/>
      <c r="AO66" s="3"/>
      <c r="AP66" s="3"/>
      <c r="AQ66" s="3"/>
      <c r="AR66" s="3"/>
      <c r="AS66" s="3"/>
      <c r="AT66" s="3"/>
      <c r="AU66" s="3"/>
    </row>
    <row r="67" spans="1:47" ht="14.25" hidden="1" customHeight="1" x14ac:dyDescent="0.3">
      <c r="B67" s="3"/>
      <c r="Q67" s="1"/>
      <c r="R67" s="1"/>
      <c r="S67" s="2"/>
      <c r="T67" s="2"/>
      <c r="U67" s="2"/>
      <c r="V67" s="2"/>
      <c r="W67" s="2"/>
      <c r="X67" s="2"/>
      <c r="Y67" s="3"/>
      <c r="Z67" s="3"/>
      <c r="AA67" s="3"/>
      <c r="AB67" s="3"/>
      <c r="AC67" s="3"/>
      <c r="AD67" s="3"/>
      <c r="AE67" s="3"/>
      <c r="AF67" s="3"/>
      <c r="AG67" s="3"/>
      <c r="AH67" s="3"/>
      <c r="AI67" s="3"/>
      <c r="AJ67" s="3"/>
      <c r="AK67" s="3"/>
      <c r="AL67" s="3"/>
      <c r="AM67" s="3"/>
      <c r="AN67" s="3"/>
      <c r="AO67" s="3"/>
      <c r="AP67" s="3"/>
      <c r="AQ67" s="3"/>
      <c r="AR67" s="3"/>
      <c r="AS67" s="3"/>
      <c r="AT67" s="3"/>
      <c r="AU67" s="3"/>
    </row>
    <row r="68" spans="1:47" ht="14.25" hidden="1" customHeight="1" x14ac:dyDescent="0.3">
      <c r="A68" s="9"/>
      <c r="B68" s="87" t="s">
        <v>58</v>
      </c>
      <c r="C68" s="84"/>
      <c r="D68" s="84"/>
      <c r="E68" s="84"/>
      <c r="F68" s="84"/>
      <c r="G68" s="84"/>
      <c r="H68" s="84"/>
      <c r="I68" s="81"/>
      <c r="J68" s="88" t="s">
        <v>59</v>
      </c>
      <c r="K68" s="81"/>
      <c r="L68" s="9"/>
      <c r="M68" s="9"/>
      <c r="N68" s="9"/>
      <c r="O68" s="9"/>
      <c r="P68" s="9"/>
      <c r="Q68" s="9"/>
      <c r="R68" s="9"/>
      <c r="S68" s="2"/>
      <c r="T68" s="2"/>
      <c r="U68" s="2"/>
      <c r="V68" s="2"/>
      <c r="W68" s="2"/>
      <c r="X68" s="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ht="14.25" hidden="1" customHeight="1" x14ac:dyDescent="0.3">
      <c r="B69" s="3"/>
      <c r="Q69" s="1"/>
      <c r="R69" s="1"/>
      <c r="S69" s="2"/>
      <c r="T69" s="2"/>
      <c r="U69" s="2"/>
      <c r="V69" s="2"/>
      <c r="W69" s="2"/>
      <c r="X69" s="2"/>
      <c r="Y69" s="3"/>
      <c r="Z69" s="3"/>
      <c r="AA69" s="3"/>
      <c r="AB69" s="3"/>
      <c r="AC69" s="3"/>
      <c r="AD69" s="3"/>
      <c r="AE69" s="3"/>
      <c r="AF69" s="3"/>
      <c r="AG69" s="3"/>
      <c r="AH69" s="3"/>
      <c r="AI69" s="3"/>
      <c r="AJ69" s="3"/>
      <c r="AK69" s="3"/>
      <c r="AL69" s="3"/>
      <c r="AM69" s="3"/>
      <c r="AN69" s="3"/>
      <c r="AO69" s="3"/>
      <c r="AP69" s="3"/>
      <c r="AQ69" s="3"/>
      <c r="AR69" s="3"/>
      <c r="AS69" s="3"/>
      <c r="AT69" s="3"/>
      <c r="AU69" s="3"/>
    </row>
    <row r="70" spans="1:47" ht="14.25" hidden="1" customHeight="1" x14ac:dyDescent="0.3">
      <c r="A70" s="33" t="str">
        <f>IF(C70="Seleccione","1","2")</f>
        <v>1</v>
      </c>
      <c r="B70" s="31" t="s">
        <v>60</v>
      </c>
      <c r="C70" s="97" t="s">
        <v>33</v>
      </c>
      <c r="D70" s="64"/>
      <c r="E70" s="64"/>
      <c r="F70" s="62"/>
      <c r="H70" s="34" t="s">
        <v>61</v>
      </c>
      <c r="I70" s="102"/>
      <c r="J70" s="64"/>
      <c r="K70" s="62"/>
      <c r="Q70" s="1"/>
      <c r="R70" s="1"/>
      <c r="S70" s="2"/>
      <c r="T70" s="2"/>
      <c r="U70" s="2"/>
      <c r="V70" s="2"/>
      <c r="W70" s="2"/>
      <c r="X70" s="2"/>
      <c r="Y70" s="3"/>
      <c r="Z70" s="3"/>
      <c r="AA70" s="3"/>
      <c r="AB70" s="3"/>
      <c r="AC70" s="3"/>
      <c r="AD70" s="3"/>
      <c r="AE70" s="3"/>
      <c r="AF70" s="3"/>
      <c r="AG70" s="3"/>
      <c r="AH70" s="3"/>
      <c r="AI70" s="3"/>
      <c r="AJ70" s="3"/>
      <c r="AK70" s="3"/>
      <c r="AL70" s="3"/>
      <c r="AM70" s="3"/>
      <c r="AN70" s="3"/>
      <c r="AO70" s="3"/>
      <c r="AP70" s="3"/>
      <c r="AQ70" s="3"/>
      <c r="AR70" s="3"/>
      <c r="AS70" s="3"/>
      <c r="AT70" s="3"/>
      <c r="AU70" s="3"/>
    </row>
    <row r="71" spans="1:47" ht="14.25" hidden="1" customHeight="1" x14ac:dyDescent="0.3">
      <c r="A71" s="33"/>
      <c r="B71" s="35"/>
      <c r="C71" s="36"/>
      <c r="D71" s="36"/>
      <c r="E71" s="36"/>
      <c r="F71" s="36"/>
      <c r="G71" s="36"/>
      <c r="H71" s="36"/>
      <c r="I71" s="36"/>
      <c r="J71" s="36"/>
      <c r="K71" s="36"/>
      <c r="Q71" s="1"/>
      <c r="R71" s="1"/>
      <c r="S71" s="2"/>
      <c r="T71" s="2"/>
      <c r="U71" s="2"/>
      <c r="V71" s="2"/>
      <c r="W71" s="2"/>
      <c r="X71" s="2"/>
      <c r="Y71" s="3"/>
      <c r="Z71" s="3"/>
      <c r="AA71" s="3"/>
      <c r="AB71" s="3"/>
      <c r="AC71" s="3"/>
      <c r="AD71" s="3"/>
      <c r="AE71" s="3"/>
      <c r="AF71" s="3"/>
      <c r="AG71" s="3"/>
      <c r="AH71" s="3"/>
      <c r="AI71" s="3"/>
      <c r="AJ71" s="3"/>
      <c r="AK71" s="3"/>
      <c r="AL71" s="3"/>
      <c r="AM71" s="3"/>
      <c r="AN71" s="3"/>
      <c r="AO71" s="3"/>
      <c r="AP71" s="3"/>
      <c r="AQ71" s="3"/>
      <c r="AR71" s="3"/>
      <c r="AS71" s="3"/>
      <c r="AT71" s="3"/>
      <c r="AU71" s="3"/>
    </row>
    <row r="72" spans="1:47" ht="14.25" hidden="1" customHeight="1" x14ac:dyDescent="0.3">
      <c r="A72" s="33"/>
      <c r="B72" s="101" t="s">
        <v>19</v>
      </c>
      <c r="C72" s="62"/>
      <c r="D72" s="101" t="s">
        <v>20</v>
      </c>
      <c r="E72" s="62"/>
      <c r="F72" s="101" t="s">
        <v>21</v>
      </c>
      <c r="G72" s="62"/>
      <c r="H72" s="101" t="s">
        <v>55</v>
      </c>
      <c r="I72" s="62"/>
      <c r="J72" s="101" t="s">
        <v>56</v>
      </c>
      <c r="K72" s="62"/>
      <c r="Q72" s="1"/>
      <c r="R72" s="1"/>
      <c r="S72" s="2"/>
      <c r="T72" s="2"/>
      <c r="U72" s="2"/>
      <c r="V72" s="2"/>
      <c r="W72" s="2"/>
      <c r="X72" s="2"/>
      <c r="Y72" s="3"/>
      <c r="Z72" s="3"/>
      <c r="AA72" s="3"/>
      <c r="AB72" s="3"/>
      <c r="AC72" s="3"/>
      <c r="AD72" s="3"/>
      <c r="AE72" s="3"/>
      <c r="AF72" s="3"/>
      <c r="AG72" s="3"/>
      <c r="AH72" s="3"/>
      <c r="AI72" s="3"/>
      <c r="AJ72" s="3"/>
      <c r="AK72" s="3"/>
      <c r="AL72" s="3"/>
      <c r="AM72" s="3"/>
      <c r="AN72" s="3"/>
      <c r="AO72" s="3"/>
      <c r="AP72" s="3"/>
      <c r="AQ72" s="3"/>
      <c r="AR72" s="3"/>
      <c r="AS72" s="3"/>
      <c r="AT72" s="3"/>
      <c r="AU72" s="3"/>
    </row>
    <row r="73" spans="1:47" ht="14.25" hidden="1" customHeight="1" x14ac:dyDescent="0.3">
      <c r="A73" s="33"/>
      <c r="B73" s="61"/>
      <c r="C73" s="62"/>
      <c r="D73" s="61" t="s">
        <v>33</v>
      </c>
      <c r="E73" s="62"/>
      <c r="F73" s="61"/>
      <c r="G73" s="62"/>
      <c r="H73" s="61"/>
      <c r="I73" s="62"/>
      <c r="J73" s="61"/>
      <c r="K73" s="62"/>
      <c r="Q73" s="1"/>
      <c r="R73" s="1"/>
      <c r="S73" s="2"/>
      <c r="T73" s="2"/>
      <c r="U73" s="2"/>
      <c r="V73" s="2"/>
      <c r="W73" s="2"/>
      <c r="X73" s="2"/>
      <c r="Y73" s="3"/>
      <c r="Z73" s="3"/>
      <c r="AA73" s="2" t="str">
        <f>CONCATENATE(B73,B78,B83)</f>
        <v/>
      </c>
      <c r="AB73" s="3"/>
      <c r="AC73" s="3"/>
      <c r="AD73" s="3"/>
      <c r="AE73" s="3"/>
      <c r="AF73" s="3"/>
      <c r="AG73" s="3"/>
      <c r="AH73" s="3"/>
      <c r="AI73" s="3"/>
      <c r="AJ73" s="3"/>
      <c r="AK73" s="3"/>
      <c r="AL73" s="3"/>
      <c r="AM73" s="3"/>
      <c r="AN73" s="3"/>
      <c r="AO73" s="3"/>
      <c r="AP73" s="3"/>
      <c r="AQ73" s="3"/>
      <c r="AR73" s="3"/>
      <c r="AS73" s="3"/>
      <c r="AT73" s="3"/>
      <c r="AU73" s="3"/>
    </row>
    <row r="74" spans="1:47" ht="14.25" hidden="1" customHeight="1" x14ac:dyDescent="0.3">
      <c r="A74" s="33"/>
      <c r="B74" s="3"/>
      <c r="Q74" s="1"/>
      <c r="R74" s="1"/>
      <c r="S74" s="2"/>
      <c r="T74" s="2"/>
      <c r="U74" s="2"/>
      <c r="V74" s="2"/>
      <c r="W74" s="2"/>
      <c r="X74" s="2"/>
      <c r="Y74" s="3"/>
      <c r="Z74" s="3"/>
      <c r="AA74" s="3"/>
      <c r="AB74" s="3"/>
      <c r="AC74" s="3"/>
      <c r="AD74" s="3"/>
      <c r="AE74" s="3"/>
      <c r="AF74" s="3"/>
      <c r="AG74" s="3"/>
      <c r="AH74" s="3"/>
      <c r="AI74" s="3"/>
      <c r="AJ74" s="3"/>
      <c r="AK74" s="3"/>
      <c r="AL74" s="3"/>
      <c r="AM74" s="3"/>
      <c r="AN74" s="3"/>
      <c r="AO74" s="3"/>
      <c r="AP74" s="3"/>
      <c r="AQ74" s="3"/>
      <c r="AR74" s="3"/>
      <c r="AS74" s="3"/>
      <c r="AT74" s="3"/>
      <c r="AU74" s="3"/>
    </row>
    <row r="75" spans="1:47" ht="14.25" hidden="1" customHeight="1" x14ac:dyDescent="0.3">
      <c r="A75" s="33" t="str">
        <f>IF(C75="Seleccione","1","2")</f>
        <v>1</v>
      </c>
      <c r="B75" s="31" t="s">
        <v>60</v>
      </c>
      <c r="C75" s="97" t="s">
        <v>33</v>
      </c>
      <c r="D75" s="64"/>
      <c r="E75" s="64"/>
      <c r="F75" s="62"/>
      <c r="Q75" s="1"/>
      <c r="R75" s="1"/>
      <c r="S75" s="2"/>
      <c r="T75" s="2"/>
      <c r="U75" s="2"/>
      <c r="V75" s="2"/>
      <c r="W75" s="2"/>
      <c r="X75" s="2"/>
      <c r="Y75" s="3"/>
      <c r="Z75" s="3"/>
      <c r="AA75" s="3"/>
      <c r="AB75" s="3"/>
      <c r="AC75" s="3"/>
      <c r="AD75" s="3"/>
      <c r="AE75" s="3"/>
      <c r="AF75" s="3"/>
      <c r="AG75" s="3"/>
      <c r="AH75" s="3"/>
      <c r="AI75" s="3"/>
      <c r="AJ75" s="3"/>
      <c r="AK75" s="3"/>
      <c r="AL75" s="3"/>
      <c r="AM75" s="3"/>
      <c r="AN75" s="3"/>
      <c r="AO75" s="3"/>
      <c r="AP75" s="3"/>
      <c r="AQ75" s="3"/>
      <c r="AR75" s="3"/>
      <c r="AS75" s="3"/>
      <c r="AT75" s="3"/>
      <c r="AU75" s="3"/>
    </row>
    <row r="76" spans="1:47" ht="14.25" hidden="1" customHeight="1" x14ac:dyDescent="0.3">
      <c r="A76" s="33"/>
      <c r="B76" s="35"/>
      <c r="C76" s="36"/>
      <c r="D76" s="36"/>
      <c r="E76" s="36"/>
      <c r="F76" s="36"/>
      <c r="G76" s="36"/>
      <c r="H76" s="36"/>
      <c r="I76" s="36"/>
      <c r="J76" s="36"/>
      <c r="K76" s="36"/>
      <c r="Q76" s="1"/>
      <c r="R76" s="1"/>
      <c r="S76" s="2"/>
      <c r="T76" s="2"/>
      <c r="U76" s="2"/>
      <c r="V76" s="2"/>
      <c r="W76" s="2"/>
      <c r="X76" s="2"/>
      <c r="Y76" s="3"/>
      <c r="Z76" s="3"/>
      <c r="AA76" s="3"/>
      <c r="AB76" s="3"/>
      <c r="AC76" s="3"/>
      <c r="AD76" s="3"/>
      <c r="AE76" s="3"/>
      <c r="AF76" s="3"/>
      <c r="AG76" s="3"/>
      <c r="AH76" s="3"/>
      <c r="AI76" s="3"/>
      <c r="AJ76" s="3"/>
      <c r="AK76" s="3"/>
      <c r="AL76" s="3"/>
      <c r="AM76" s="3"/>
      <c r="AN76" s="3"/>
      <c r="AO76" s="3"/>
      <c r="AP76" s="3"/>
      <c r="AQ76" s="3"/>
      <c r="AR76" s="3"/>
      <c r="AS76" s="3"/>
      <c r="AT76" s="3"/>
      <c r="AU76" s="3"/>
    </row>
    <row r="77" spans="1:47" ht="14.25" hidden="1" customHeight="1" x14ac:dyDescent="0.3">
      <c r="A77" s="33"/>
      <c r="B77" s="101" t="s">
        <v>19</v>
      </c>
      <c r="C77" s="62"/>
      <c r="D77" s="101" t="s">
        <v>20</v>
      </c>
      <c r="E77" s="62"/>
      <c r="F77" s="101" t="s">
        <v>21</v>
      </c>
      <c r="G77" s="62"/>
      <c r="H77" s="101" t="s">
        <v>55</v>
      </c>
      <c r="I77" s="62"/>
      <c r="J77" s="101" t="s">
        <v>56</v>
      </c>
      <c r="K77" s="62"/>
      <c r="Q77" s="1"/>
      <c r="R77" s="1"/>
      <c r="S77" s="2"/>
      <c r="T77" s="2"/>
      <c r="U77" s="2"/>
      <c r="V77" s="2"/>
      <c r="W77" s="2"/>
      <c r="X77" s="2"/>
      <c r="Y77" s="3"/>
      <c r="Z77" s="3"/>
      <c r="AA77" s="3"/>
      <c r="AB77" s="3"/>
      <c r="AC77" s="3"/>
      <c r="AD77" s="3"/>
      <c r="AE77" s="3"/>
      <c r="AF77" s="3"/>
      <c r="AG77" s="3"/>
      <c r="AH77" s="3"/>
      <c r="AI77" s="3"/>
      <c r="AJ77" s="3"/>
      <c r="AK77" s="3"/>
      <c r="AL77" s="3"/>
      <c r="AM77" s="3"/>
      <c r="AN77" s="3"/>
      <c r="AO77" s="3"/>
      <c r="AP77" s="3"/>
      <c r="AQ77" s="3"/>
      <c r="AR77" s="3"/>
      <c r="AS77" s="3"/>
      <c r="AT77" s="3"/>
      <c r="AU77" s="3"/>
    </row>
    <row r="78" spans="1:47" ht="14.25" hidden="1" customHeight="1" x14ac:dyDescent="0.3">
      <c r="A78" s="33"/>
      <c r="B78" s="61"/>
      <c r="C78" s="62"/>
      <c r="D78" s="61" t="s">
        <v>33</v>
      </c>
      <c r="E78" s="62"/>
      <c r="F78" s="61"/>
      <c r="G78" s="62"/>
      <c r="H78" s="61"/>
      <c r="I78" s="62"/>
      <c r="J78" s="61"/>
      <c r="K78" s="62"/>
      <c r="Q78" s="1"/>
      <c r="R78" s="1"/>
      <c r="S78" s="2"/>
      <c r="T78" s="2"/>
      <c r="U78" s="2"/>
      <c r="V78" s="2"/>
      <c r="W78" s="2"/>
      <c r="X78" s="2"/>
      <c r="Y78" s="3"/>
      <c r="Z78" s="3"/>
      <c r="AA78" s="3"/>
      <c r="AB78" s="3"/>
      <c r="AC78" s="3"/>
      <c r="AD78" s="3"/>
      <c r="AE78" s="3"/>
      <c r="AF78" s="3"/>
      <c r="AG78" s="3"/>
      <c r="AH78" s="3"/>
      <c r="AI78" s="3"/>
      <c r="AJ78" s="3"/>
      <c r="AK78" s="3"/>
      <c r="AL78" s="3"/>
      <c r="AM78" s="3"/>
      <c r="AN78" s="3"/>
      <c r="AO78" s="3"/>
      <c r="AP78" s="3"/>
      <c r="AQ78" s="3"/>
      <c r="AR78" s="3"/>
      <c r="AS78" s="3"/>
      <c r="AT78" s="3"/>
      <c r="AU78" s="3"/>
    </row>
    <row r="79" spans="1:47" ht="14.25" hidden="1" customHeight="1" x14ac:dyDescent="0.3">
      <c r="A79" s="33"/>
      <c r="B79" s="3"/>
      <c r="Q79" s="1"/>
      <c r="R79" s="1"/>
      <c r="S79" s="2"/>
      <c r="T79" s="2"/>
      <c r="U79" s="2"/>
      <c r="V79" s="2"/>
      <c r="W79" s="2"/>
      <c r="X79" s="2"/>
      <c r="Y79" s="3"/>
      <c r="Z79" s="3"/>
      <c r="AA79" s="3"/>
      <c r="AB79" s="3"/>
      <c r="AC79" s="3"/>
      <c r="AD79" s="3"/>
      <c r="AE79" s="3"/>
      <c r="AF79" s="3"/>
      <c r="AG79" s="3"/>
      <c r="AH79" s="3"/>
      <c r="AI79" s="3"/>
      <c r="AJ79" s="3"/>
      <c r="AK79" s="3"/>
      <c r="AL79" s="3"/>
      <c r="AM79" s="3"/>
      <c r="AN79" s="3"/>
      <c r="AO79" s="3"/>
      <c r="AP79" s="3"/>
      <c r="AQ79" s="3"/>
      <c r="AR79" s="3"/>
      <c r="AS79" s="3"/>
      <c r="AT79" s="3"/>
      <c r="AU79" s="3"/>
    </row>
    <row r="80" spans="1:47" ht="14.25" hidden="1" customHeight="1" x14ac:dyDescent="0.3">
      <c r="A80" s="33" t="str">
        <f>IF(C80="Seleccione","1","2")</f>
        <v>1</v>
      </c>
      <c r="B80" s="31" t="s">
        <v>60</v>
      </c>
      <c r="C80" s="97" t="s">
        <v>33</v>
      </c>
      <c r="D80" s="64"/>
      <c r="E80" s="64"/>
      <c r="F80" s="62"/>
      <c r="Q80" s="1"/>
      <c r="R80" s="1"/>
      <c r="S80" s="2"/>
      <c r="T80" s="2"/>
      <c r="U80" s="2"/>
      <c r="V80" s="2"/>
      <c r="W80" s="2"/>
      <c r="X80" s="2"/>
      <c r="Y80" s="3"/>
      <c r="Z80" s="3"/>
      <c r="AA80" s="3"/>
      <c r="AB80" s="3"/>
      <c r="AC80" s="3"/>
      <c r="AD80" s="3"/>
      <c r="AE80" s="3"/>
      <c r="AF80" s="3"/>
      <c r="AG80" s="3"/>
      <c r="AH80" s="3"/>
      <c r="AI80" s="3"/>
      <c r="AJ80" s="3"/>
      <c r="AK80" s="3"/>
      <c r="AL80" s="3"/>
      <c r="AM80" s="3"/>
      <c r="AN80" s="3"/>
      <c r="AO80" s="3"/>
      <c r="AP80" s="3"/>
      <c r="AQ80" s="3"/>
      <c r="AR80" s="3"/>
      <c r="AS80" s="3"/>
      <c r="AT80" s="3"/>
      <c r="AU80" s="3"/>
    </row>
    <row r="81" spans="1:47" ht="14.25" hidden="1" customHeight="1" x14ac:dyDescent="0.3">
      <c r="A81" s="1">
        <v>3</v>
      </c>
      <c r="B81" s="35"/>
      <c r="C81" s="36"/>
      <c r="D81" s="36"/>
      <c r="E81" s="36"/>
      <c r="F81" s="36"/>
      <c r="G81" s="36"/>
      <c r="H81" s="36"/>
      <c r="I81" s="36"/>
      <c r="J81" s="36"/>
      <c r="K81" s="36"/>
      <c r="Q81" s="1"/>
      <c r="R81" s="1"/>
      <c r="S81" s="2"/>
      <c r="T81" s="2"/>
      <c r="U81" s="2"/>
      <c r="V81" s="2"/>
      <c r="W81" s="2"/>
      <c r="X81" s="2"/>
      <c r="Y81" s="3"/>
      <c r="Z81" s="3"/>
      <c r="AA81" s="3"/>
      <c r="AB81" s="3"/>
      <c r="AC81" s="3"/>
      <c r="AD81" s="3"/>
      <c r="AE81" s="3"/>
      <c r="AF81" s="3"/>
      <c r="AG81" s="3"/>
      <c r="AH81" s="3"/>
      <c r="AI81" s="3"/>
      <c r="AJ81" s="3"/>
      <c r="AK81" s="3"/>
      <c r="AL81" s="3"/>
      <c r="AM81" s="3"/>
      <c r="AN81" s="3"/>
      <c r="AO81" s="3"/>
      <c r="AP81" s="3"/>
      <c r="AQ81" s="3"/>
      <c r="AR81" s="3"/>
      <c r="AS81" s="3"/>
      <c r="AT81" s="3"/>
      <c r="AU81" s="3"/>
    </row>
    <row r="82" spans="1:47" ht="14.25" hidden="1" customHeight="1" x14ac:dyDescent="0.3">
      <c r="B82" s="101" t="s">
        <v>19</v>
      </c>
      <c r="C82" s="62"/>
      <c r="D82" s="101" t="s">
        <v>20</v>
      </c>
      <c r="E82" s="62"/>
      <c r="F82" s="101" t="s">
        <v>21</v>
      </c>
      <c r="G82" s="62"/>
      <c r="H82" s="101" t="s">
        <v>55</v>
      </c>
      <c r="I82" s="62"/>
      <c r="J82" s="101" t="s">
        <v>56</v>
      </c>
      <c r="K82" s="62"/>
      <c r="Q82" s="1"/>
      <c r="R82" s="1"/>
      <c r="S82" s="2"/>
      <c r="T82" s="2"/>
      <c r="U82" s="2"/>
      <c r="V82" s="2"/>
      <c r="W82" s="2"/>
      <c r="X82" s="2"/>
      <c r="Y82" s="3"/>
      <c r="Z82" s="3"/>
      <c r="AA82" s="3"/>
      <c r="AB82" s="3"/>
      <c r="AC82" s="3"/>
      <c r="AD82" s="3"/>
      <c r="AE82" s="3"/>
      <c r="AF82" s="3"/>
      <c r="AG82" s="3"/>
      <c r="AH82" s="3"/>
      <c r="AI82" s="3"/>
      <c r="AJ82" s="3"/>
      <c r="AK82" s="3"/>
      <c r="AL82" s="3"/>
      <c r="AM82" s="3"/>
      <c r="AN82" s="3"/>
      <c r="AO82" s="3"/>
      <c r="AP82" s="3"/>
      <c r="AQ82" s="3"/>
      <c r="AR82" s="3"/>
      <c r="AS82" s="3"/>
      <c r="AT82" s="3"/>
      <c r="AU82" s="3"/>
    </row>
    <row r="83" spans="1:47" ht="14.25" hidden="1" customHeight="1" x14ac:dyDescent="0.3">
      <c r="B83" s="61"/>
      <c r="C83" s="62"/>
      <c r="D83" s="61" t="s">
        <v>33</v>
      </c>
      <c r="E83" s="62"/>
      <c r="F83" s="61"/>
      <c r="G83" s="62"/>
      <c r="H83" s="61"/>
      <c r="I83" s="62"/>
      <c r="J83" s="61"/>
      <c r="K83" s="62"/>
      <c r="Q83" s="1"/>
      <c r="R83" s="1"/>
      <c r="S83" s="2"/>
      <c r="T83" s="2"/>
      <c r="U83" s="2"/>
      <c r="V83" s="2"/>
      <c r="W83" s="2"/>
      <c r="X83" s="2"/>
      <c r="Y83" s="3"/>
      <c r="Z83" s="3"/>
      <c r="AA83" s="3"/>
      <c r="AB83" s="3"/>
      <c r="AC83" s="3"/>
      <c r="AD83" s="3"/>
      <c r="AE83" s="3"/>
      <c r="AF83" s="3"/>
      <c r="AG83" s="3"/>
      <c r="AH83" s="3"/>
      <c r="AI83" s="3"/>
      <c r="AJ83" s="3"/>
      <c r="AK83" s="3"/>
      <c r="AL83" s="3"/>
      <c r="AM83" s="3"/>
      <c r="AN83" s="3"/>
      <c r="AO83" s="3"/>
      <c r="AP83" s="3"/>
      <c r="AQ83" s="3"/>
      <c r="AR83" s="3"/>
      <c r="AS83" s="3"/>
      <c r="AT83" s="3"/>
      <c r="AU83" s="3"/>
    </row>
    <row r="84" spans="1:47" ht="14.25" hidden="1" customHeight="1" x14ac:dyDescent="0.3">
      <c r="B84" s="3"/>
      <c r="Q84" s="1"/>
      <c r="R84" s="1"/>
      <c r="S84" s="2"/>
      <c r="T84" s="2"/>
      <c r="U84" s="2"/>
      <c r="V84" s="2"/>
      <c r="W84" s="2"/>
      <c r="X84" s="2"/>
      <c r="Y84" s="3"/>
      <c r="Z84" s="3"/>
      <c r="AA84" s="3"/>
      <c r="AB84" s="3"/>
      <c r="AC84" s="3"/>
      <c r="AD84" s="3"/>
      <c r="AE84" s="3"/>
      <c r="AF84" s="3"/>
      <c r="AG84" s="3"/>
      <c r="AH84" s="3"/>
      <c r="AI84" s="3"/>
      <c r="AJ84" s="3"/>
      <c r="AK84" s="3"/>
      <c r="AL84" s="3"/>
      <c r="AM84" s="3"/>
      <c r="AN84" s="3"/>
      <c r="AO84" s="3"/>
      <c r="AP84" s="3"/>
      <c r="AQ84" s="3"/>
      <c r="AR84" s="3"/>
      <c r="AS84" s="3"/>
      <c r="AT84" s="3"/>
      <c r="AU84" s="3"/>
    </row>
    <row r="85" spans="1:47" ht="14.25" hidden="1" customHeight="1" x14ac:dyDescent="0.3">
      <c r="B85" s="3"/>
      <c r="Q85" s="1"/>
      <c r="R85" s="1"/>
      <c r="S85" s="2"/>
      <c r="T85" s="2"/>
      <c r="U85" s="2"/>
      <c r="V85" s="2"/>
      <c r="W85" s="2"/>
      <c r="X85" s="2"/>
      <c r="Y85" s="3"/>
      <c r="Z85" s="3"/>
      <c r="AA85" s="3"/>
      <c r="AB85" s="3"/>
      <c r="AC85" s="3"/>
      <c r="AD85" s="3"/>
      <c r="AE85" s="3"/>
      <c r="AF85" s="3"/>
      <c r="AG85" s="3"/>
      <c r="AH85" s="3"/>
      <c r="AI85" s="3"/>
      <c r="AJ85" s="3"/>
      <c r="AK85" s="3"/>
      <c r="AL85" s="3"/>
      <c r="AM85" s="3"/>
      <c r="AN85" s="3"/>
      <c r="AO85" s="3"/>
      <c r="AP85" s="3"/>
      <c r="AQ85" s="3"/>
      <c r="AR85" s="3"/>
      <c r="AS85" s="3"/>
      <c r="AT85" s="3"/>
      <c r="AU85" s="3"/>
    </row>
    <row r="86" spans="1:47" ht="14.25" hidden="1" customHeight="1" x14ac:dyDescent="0.3">
      <c r="A86" s="9"/>
      <c r="B86" s="87" t="s">
        <v>62</v>
      </c>
      <c r="C86" s="84"/>
      <c r="D86" s="84"/>
      <c r="E86" s="84"/>
      <c r="F86" s="84"/>
      <c r="G86" s="84"/>
      <c r="H86" s="84"/>
      <c r="I86" s="84"/>
      <c r="J86" s="84"/>
      <c r="K86" s="81"/>
      <c r="L86" s="9"/>
      <c r="M86" s="9"/>
      <c r="N86" s="9"/>
      <c r="O86" s="9"/>
      <c r="P86" s="9"/>
      <c r="Q86" s="9"/>
      <c r="R86" s="9"/>
      <c r="S86" s="2"/>
      <c r="T86" s="2"/>
      <c r="U86" s="2"/>
      <c r="V86" s="2"/>
      <c r="W86" s="2"/>
      <c r="X86" s="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ht="14.25" hidden="1" customHeight="1" x14ac:dyDescent="0.3">
      <c r="B87" s="3"/>
      <c r="Q87" s="1"/>
      <c r="R87" s="1"/>
      <c r="S87" s="2"/>
      <c r="T87" s="2"/>
      <c r="U87" s="2"/>
      <c r="V87" s="2"/>
      <c r="W87" s="2"/>
      <c r="X87" s="2"/>
      <c r="Y87" s="3"/>
      <c r="Z87" s="3"/>
      <c r="AA87" s="3"/>
      <c r="AB87" s="3"/>
      <c r="AC87" s="3"/>
      <c r="AD87" s="3"/>
      <c r="AE87" s="3"/>
      <c r="AF87" s="3"/>
      <c r="AG87" s="3"/>
      <c r="AH87" s="3"/>
      <c r="AI87" s="3"/>
      <c r="AJ87" s="3"/>
      <c r="AK87" s="3"/>
      <c r="AL87" s="3"/>
      <c r="AM87" s="3"/>
      <c r="AN87" s="3"/>
      <c r="AO87" s="3"/>
      <c r="AP87" s="3"/>
      <c r="AQ87" s="3"/>
      <c r="AR87" s="3"/>
      <c r="AS87" s="3"/>
      <c r="AT87" s="3"/>
      <c r="AU87" s="3"/>
    </row>
    <row r="88" spans="1:47" ht="14.25" hidden="1" customHeight="1" x14ac:dyDescent="0.3">
      <c r="B88" s="31" t="s">
        <v>63</v>
      </c>
      <c r="C88" s="97" t="s">
        <v>64</v>
      </c>
      <c r="D88" s="64"/>
      <c r="E88" s="64"/>
      <c r="F88" s="62"/>
      <c r="I88" s="31" t="s">
        <v>65</v>
      </c>
      <c r="J88" s="97"/>
      <c r="K88" s="62"/>
      <c r="M88" s="88" t="s">
        <v>59</v>
      </c>
      <c r="N88" s="81"/>
      <c r="Q88" s="1"/>
      <c r="R88" s="1"/>
      <c r="S88" s="2"/>
      <c r="T88" s="2"/>
      <c r="U88" s="2"/>
      <c r="V88" s="2"/>
      <c r="W88" s="2"/>
      <c r="X88" s="2"/>
      <c r="Y88" s="3"/>
      <c r="Z88" s="3"/>
      <c r="AA88" s="3"/>
      <c r="AB88" s="3"/>
      <c r="AC88" s="3"/>
      <c r="AD88" s="3"/>
      <c r="AE88" s="3"/>
      <c r="AF88" s="3"/>
      <c r="AG88" s="3"/>
      <c r="AH88" s="3"/>
      <c r="AI88" s="3"/>
      <c r="AJ88" s="3"/>
      <c r="AK88" s="3"/>
      <c r="AL88" s="3"/>
      <c r="AM88" s="3"/>
      <c r="AN88" s="3"/>
      <c r="AO88" s="3"/>
      <c r="AP88" s="3"/>
      <c r="AQ88" s="3"/>
      <c r="AR88" s="3"/>
      <c r="AS88" s="3"/>
      <c r="AT88" s="3"/>
      <c r="AU88" s="3"/>
    </row>
    <row r="89" spans="1:47" ht="14.25" hidden="1" customHeight="1" x14ac:dyDescent="0.3">
      <c r="B89" s="3"/>
      <c r="I89" s="37" t="s">
        <v>66</v>
      </c>
      <c r="M89" s="90" t="s">
        <v>67</v>
      </c>
      <c r="N89" s="72"/>
      <c r="O89" s="73"/>
      <c r="Q89" s="1"/>
      <c r="R89" s="1"/>
      <c r="S89" s="2"/>
      <c r="T89" s="2"/>
      <c r="U89" s="2"/>
      <c r="V89" s="2"/>
      <c r="W89" s="2"/>
      <c r="X89" s="2"/>
      <c r="Y89" s="3"/>
      <c r="Z89" s="3"/>
      <c r="AA89" s="3"/>
      <c r="AB89" s="3"/>
      <c r="AC89" s="3"/>
      <c r="AD89" s="3"/>
      <c r="AE89" s="3"/>
      <c r="AF89" s="3"/>
      <c r="AG89" s="3"/>
      <c r="AH89" s="3"/>
      <c r="AI89" s="3"/>
      <c r="AJ89" s="3"/>
      <c r="AK89" s="3"/>
      <c r="AL89" s="3"/>
      <c r="AM89" s="3"/>
      <c r="AN89" s="3"/>
      <c r="AO89" s="3"/>
      <c r="AP89" s="3"/>
      <c r="AQ89" s="3"/>
      <c r="AR89" s="3"/>
      <c r="AS89" s="3"/>
      <c r="AT89" s="3"/>
      <c r="AU89" s="3"/>
    </row>
    <row r="90" spans="1:47" ht="15" hidden="1" customHeight="1" x14ac:dyDescent="0.3">
      <c r="B90" s="104" t="s">
        <v>68</v>
      </c>
      <c r="C90" s="92"/>
      <c r="D90" s="93"/>
      <c r="E90" s="93"/>
      <c r="F90" s="93"/>
      <c r="G90" s="93"/>
      <c r="H90" s="93"/>
      <c r="I90" s="93"/>
      <c r="J90" s="93"/>
      <c r="K90" s="94"/>
      <c r="M90" s="74"/>
      <c r="N90" s="75"/>
      <c r="O90" s="76"/>
      <c r="Q90" s="1"/>
      <c r="R90" s="1"/>
      <c r="S90" s="2"/>
      <c r="T90" s="2"/>
      <c r="U90" s="2"/>
      <c r="V90" s="2"/>
      <c r="W90" s="2"/>
      <c r="X90" s="2"/>
      <c r="Y90" s="3"/>
      <c r="Z90" s="3"/>
      <c r="AA90" s="3"/>
      <c r="AB90" s="3"/>
      <c r="AC90" s="3"/>
      <c r="AD90" s="3"/>
      <c r="AE90" s="3"/>
      <c r="AF90" s="3"/>
      <c r="AG90" s="3"/>
      <c r="AH90" s="3"/>
      <c r="AI90" s="3"/>
      <c r="AJ90" s="3"/>
      <c r="AK90" s="3"/>
      <c r="AL90" s="3"/>
      <c r="AM90" s="3"/>
      <c r="AN90" s="3"/>
      <c r="AO90" s="3"/>
      <c r="AP90" s="3"/>
      <c r="AQ90" s="3"/>
      <c r="AR90" s="3"/>
      <c r="AS90" s="3"/>
      <c r="AT90" s="3"/>
      <c r="AU90" s="3"/>
    </row>
    <row r="91" spans="1:47" ht="14.25" hidden="1" customHeight="1" x14ac:dyDescent="0.3">
      <c r="B91" s="105"/>
      <c r="C91" s="95"/>
      <c r="D91" s="96"/>
      <c r="E91" s="96"/>
      <c r="F91" s="96"/>
      <c r="G91" s="96"/>
      <c r="H91" s="96"/>
      <c r="I91" s="96"/>
      <c r="J91" s="96"/>
      <c r="K91" s="67"/>
      <c r="M91" s="77"/>
      <c r="N91" s="78"/>
      <c r="O91" s="79"/>
      <c r="Q91" s="1"/>
      <c r="R91" s="1"/>
      <c r="S91" s="2"/>
      <c r="T91" s="2"/>
      <c r="U91" s="2"/>
      <c r="V91" s="2"/>
      <c r="W91" s="2"/>
      <c r="X91" s="2"/>
      <c r="Y91" s="3"/>
      <c r="Z91" s="3"/>
      <c r="AA91" s="3"/>
      <c r="AB91" s="3"/>
      <c r="AC91" s="3"/>
      <c r="AD91" s="3"/>
      <c r="AE91" s="3"/>
      <c r="AF91" s="3"/>
      <c r="AG91" s="3"/>
      <c r="AH91" s="3"/>
      <c r="AI91" s="3"/>
      <c r="AJ91" s="3"/>
      <c r="AK91" s="3"/>
      <c r="AL91" s="3"/>
      <c r="AM91" s="3"/>
      <c r="AN91" s="3"/>
      <c r="AO91" s="3"/>
      <c r="AP91" s="3"/>
      <c r="AQ91" s="3"/>
      <c r="AR91" s="3"/>
      <c r="AS91" s="3"/>
      <c r="AT91" s="3"/>
      <c r="AU91" s="3"/>
    </row>
    <row r="92" spans="1:47" ht="14.25" hidden="1" customHeight="1" x14ac:dyDescent="0.3">
      <c r="B92" s="3"/>
      <c r="Q92" s="1"/>
      <c r="R92" s="1"/>
      <c r="S92" s="2"/>
      <c r="T92" s="2"/>
      <c r="U92" s="2"/>
      <c r="V92" s="2"/>
      <c r="W92" s="2"/>
      <c r="X92" s="2"/>
      <c r="Y92" s="3"/>
      <c r="Z92" s="3"/>
      <c r="AA92" s="3"/>
      <c r="AB92" s="3"/>
      <c r="AC92" s="3"/>
      <c r="AD92" s="3"/>
      <c r="AE92" s="3"/>
      <c r="AF92" s="3"/>
      <c r="AG92" s="3"/>
      <c r="AH92" s="3"/>
      <c r="AI92" s="3"/>
      <c r="AJ92" s="3"/>
      <c r="AK92" s="3"/>
      <c r="AL92" s="3"/>
      <c r="AM92" s="3"/>
      <c r="AN92" s="3"/>
      <c r="AO92" s="3"/>
      <c r="AP92" s="3"/>
      <c r="AQ92" s="3"/>
      <c r="AR92" s="3"/>
      <c r="AS92" s="3"/>
      <c r="AT92" s="3"/>
      <c r="AU92" s="3"/>
    </row>
    <row r="93" spans="1:47" ht="14.25" hidden="1" customHeight="1" x14ac:dyDescent="0.3">
      <c r="A93" s="9"/>
      <c r="B93" s="87" t="s">
        <v>69</v>
      </c>
      <c r="C93" s="84"/>
      <c r="D93" s="84"/>
      <c r="E93" s="84"/>
      <c r="F93" s="84"/>
      <c r="G93" s="84"/>
      <c r="H93" s="84"/>
      <c r="I93" s="84"/>
      <c r="J93" s="84"/>
      <c r="K93" s="81"/>
      <c r="L93" s="9"/>
      <c r="M93" s="9"/>
      <c r="N93" s="9"/>
      <c r="O93" s="9"/>
      <c r="P93" s="9"/>
      <c r="Q93" s="9"/>
      <c r="R93" s="9"/>
      <c r="S93" s="2"/>
      <c r="T93" s="2"/>
      <c r="U93" s="2"/>
      <c r="V93" s="2"/>
      <c r="W93" s="2"/>
      <c r="X93" s="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ht="14.25" hidden="1" customHeight="1" x14ac:dyDescent="0.3">
      <c r="B94" s="3"/>
      <c r="Q94" s="1"/>
      <c r="R94" s="1"/>
      <c r="S94" s="2"/>
      <c r="T94" s="2"/>
      <c r="U94" s="2"/>
      <c r="V94" s="2"/>
      <c r="W94" s="2"/>
      <c r="X94" s="2"/>
      <c r="Y94" s="3"/>
      <c r="Z94" s="3"/>
      <c r="AA94" s="3"/>
      <c r="AB94" s="3"/>
      <c r="AC94" s="3"/>
      <c r="AD94" s="3"/>
      <c r="AE94" s="3"/>
      <c r="AF94" s="3"/>
      <c r="AG94" s="3"/>
      <c r="AH94" s="3"/>
      <c r="AI94" s="3"/>
      <c r="AJ94" s="3"/>
      <c r="AK94" s="3"/>
      <c r="AL94" s="3"/>
      <c r="AM94" s="3"/>
      <c r="AN94" s="3"/>
      <c r="AO94" s="3"/>
      <c r="AP94" s="3"/>
      <c r="AQ94" s="3"/>
      <c r="AR94" s="3"/>
      <c r="AS94" s="3"/>
      <c r="AT94" s="3"/>
      <c r="AU94" s="3"/>
    </row>
    <row r="95" spans="1:47" ht="14.25" hidden="1" customHeight="1" x14ac:dyDescent="0.3">
      <c r="B95" s="106" t="s">
        <v>70</v>
      </c>
      <c r="C95" s="92"/>
      <c r="D95" s="93"/>
      <c r="E95" s="93"/>
      <c r="F95" s="94"/>
      <c r="G95" s="106" t="s">
        <v>70</v>
      </c>
      <c r="H95" s="92"/>
      <c r="I95" s="93"/>
      <c r="J95" s="93"/>
      <c r="K95" s="94"/>
      <c r="M95" s="108"/>
      <c r="N95" s="73"/>
      <c r="Q95" s="1"/>
      <c r="R95" s="1"/>
      <c r="S95" s="2"/>
      <c r="T95" s="2"/>
      <c r="U95" s="2"/>
      <c r="V95" s="2"/>
      <c r="W95" s="2"/>
      <c r="X95" s="2"/>
      <c r="Y95" s="3"/>
      <c r="Z95" s="3"/>
      <c r="AA95" s="3"/>
      <c r="AB95" s="3"/>
      <c r="AC95" s="3"/>
      <c r="AD95" s="3"/>
      <c r="AE95" s="3"/>
      <c r="AF95" s="3"/>
      <c r="AG95" s="3"/>
      <c r="AH95" s="3"/>
      <c r="AI95" s="3"/>
      <c r="AJ95" s="3"/>
      <c r="AK95" s="3"/>
      <c r="AL95" s="3"/>
      <c r="AM95" s="3"/>
      <c r="AN95" s="3"/>
      <c r="AO95" s="3"/>
      <c r="AP95" s="3"/>
      <c r="AQ95" s="3"/>
      <c r="AR95" s="3"/>
      <c r="AS95" s="3"/>
      <c r="AT95" s="3"/>
      <c r="AU95" s="3"/>
    </row>
    <row r="96" spans="1:47" ht="14.25" hidden="1" customHeight="1" x14ac:dyDescent="0.3">
      <c r="B96" s="75"/>
      <c r="C96" s="107"/>
      <c r="D96" s="75"/>
      <c r="E96" s="75"/>
      <c r="F96" s="105"/>
      <c r="G96" s="75"/>
      <c r="H96" s="107"/>
      <c r="I96" s="75"/>
      <c r="J96" s="75"/>
      <c r="K96" s="105"/>
      <c r="M96" s="74"/>
      <c r="N96" s="76"/>
      <c r="Q96" s="1"/>
      <c r="R96" s="1"/>
      <c r="S96" s="2"/>
      <c r="T96" s="2"/>
      <c r="U96" s="2"/>
      <c r="V96" s="2"/>
      <c r="W96" s="2"/>
      <c r="X96" s="2"/>
      <c r="Y96" s="3"/>
      <c r="Z96" s="3"/>
      <c r="AA96" s="3"/>
      <c r="AB96" s="3"/>
      <c r="AC96" s="3"/>
      <c r="AD96" s="3"/>
      <c r="AE96" s="3"/>
      <c r="AF96" s="3"/>
      <c r="AG96" s="3"/>
      <c r="AH96" s="3"/>
      <c r="AI96" s="3"/>
      <c r="AJ96" s="3"/>
      <c r="AK96" s="3"/>
      <c r="AL96" s="3"/>
      <c r="AM96" s="3"/>
      <c r="AN96" s="3"/>
      <c r="AO96" s="3"/>
      <c r="AP96" s="3"/>
      <c r="AQ96" s="3"/>
      <c r="AR96" s="3"/>
      <c r="AS96" s="3"/>
      <c r="AT96" s="3"/>
      <c r="AU96" s="3"/>
    </row>
    <row r="97" spans="1:47" ht="14.25" hidden="1" customHeight="1" x14ac:dyDescent="0.3">
      <c r="B97" s="3"/>
      <c r="C97" s="107"/>
      <c r="D97" s="75"/>
      <c r="E97" s="75"/>
      <c r="F97" s="105"/>
      <c r="H97" s="107"/>
      <c r="I97" s="75"/>
      <c r="J97" s="75"/>
      <c r="K97" s="105"/>
      <c r="M97" s="74"/>
      <c r="N97" s="76"/>
      <c r="Q97" s="1"/>
      <c r="R97" s="1"/>
      <c r="S97" s="2"/>
      <c r="T97" s="2"/>
      <c r="U97" s="2"/>
      <c r="V97" s="2"/>
      <c r="W97" s="2"/>
      <c r="X97" s="2"/>
      <c r="Y97" s="3"/>
      <c r="Z97" s="3"/>
      <c r="AA97" s="3"/>
      <c r="AB97" s="3"/>
      <c r="AC97" s="3"/>
      <c r="AD97" s="3"/>
      <c r="AE97" s="3"/>
      <c r="AF97" s="3"/>
      <c r="AG97" s="3"/>
      <c r="AH97" s="3"/>
      <c r="AI97" s="3"/>
      <c r="AJ97" s="3"/>
      <c r="AK97" s="3"/>
      <c r="AL97" s="3"/>
      <c r="AM97" s="3"/>
      <c r="AN97" s="3"/>
      <c r="AO97" s="3"/>
      <c r="AP97" s="3"/>
      <c r="AQ97" s="3"/>
      <c r="AR97" s="3"/>
      <c r="AS97" s="3"/>
      <c r="AT97" s="3"/>
      <c r="AU97" s="3"/>
    </row>
    <row r="98" spans="1:47" ht="14.25" hidden="1" customHeight="1" x14ac:dyDescent="0.3">
      <c r="B98" s="3"/>
      <c r="C98" s="95"/>
      <c r="D98" s="96"/>
      <c r="E98" s="96"/>
      <c r="F98" s="67"/>
      <c r="H98" s="95"/>
      <c r="I98" s="96"/>
      <c r="J98" s="96"/>
      <c r="K98" s="67"/>
      <c r="M98" s="77"/>
      <c r="N98" s="79"/>
      <c r="Q98" s="1"/>
      <c r="R98" s="1"/>
      <c r="S98" s="2"/>
      <c r="T98" s="2"/>
      <c r="U98" s="2"/>
      <c r="V98" s="2"/>
      <c r="W98" s="2"/>
      <c r="X98" s="2"/>
      <c r="Y98" s="3"/>
      <c r="Z98" s="3"/>
      <c r="AA98" s="3"/>
      <c r="AB98" s="3"/>
      <c r="AC98" s="3"/>
      <c r="AD98" s="3"/>
      <c r="AE98" s="3"/>
      <c r="AF98" s="3"/>
      <c r="AG98" s="3"/>
      <c r="AH98" s="3"/>
      <c r="AI98" s="3"/>
      <c r="AJ98" s="3"/>
      <c r="AK98" s="3"/>
      <c r="AL98" s="3"/>
      <c r="AM98" s="3"/>
      <c r="AN98" s="3"/>
      <c r="AO98" s="3"/>
      <c r="AP98" s="3"/>
      <c r="AQ98" s="3"/>
      <c r="AR98" s="3"/>
      <c r="AS98" s="3"/>
      <c r="AT98" s="3"/>
      <c r="AU98" s="3"/>
    </row>
    <row r="99" spans="1:47" ht="14.25" hidden="1" customHeight="1" x14ac:dyDescent="0.3">
      <c r="B99" s="3"/>
      <c r="Q99" s="1"/>
      <c r="R99" s="1"/>
      <c r="S99" s="2"/>
      <c r="T99" s="2"/>
      <c r="U99" s="2"/>
      <c r="V99" s="2"/>
      <c r="W99" s="2"/>
      <c r="X99" s="2"/>
      <c r="Y99" s="3"/>
      <c r="Z99" s="3"/>
      <c r="AA99" s="3"/>
      <c r="AB99" s="3"/>
      <c r="AC99" s="3"/>
      <c r="AD99" s="3"/>
      <c r="AE99" s="3"/>
      <c r="AF99" s="3"/>
      <c r="AG99" s="3"/>
      <c r="AH99" s="3"/>
      <c r="AI99" s="3"/>
      <c r="AJ99" s="3"/>
      <c r="AK99" s="3"/>
      <c r="AL99" s="3"/>
      <c r="AM99" s="3"/>
      <c r="AN99" s="3"/>
      <c r="AO99" s="3"/>
      <c r="AP99" s="3"/>
      <c r="AQ99" s="3"/>
      <c r="AR99" s="3"/>
      <c r="AS99" s="3"/>
      <c r="AT99" s="3"/>
      <c r="AU99" s="3"/>
    </row>
    <row r="100" spans="1:47" ht="14.25" hidden="1" customHeight="1" x14ac:dyDescent="0.3">
      <c r="B100" s="3"/>
      <c r="Q100" s="1"/>
      <c r="R100" s="1"/>
      <c r="S100" s="2"/>
      <c r="T100" s="2"/>
      <c r="U100" s="2"/>
      <c r="V100" s="2"/>
      <c r="W100" s="2"/>
      <c r="X100" s="2"/>
      <c r="Y100" s="3"/>
      <c r="Z100" s="3"/>
      <c r="AA100" s="3"/>
      <c r="AB100" s="3"/>
      <c r="AC100" s="3"/>
      <c r="AD100" s="3"/>
      <c r="AE100" s="3"/>
      <c r="AF100" s="3"/>
      <c r="AG100" s="3"/>
      <c r="AH100" s="3"/>
      <c r="AI100" s="3"/>
      <c r="AJ100" s="3"/>
      <c r="AK100" s="3"/>
      <c r="AL100" s="3"/>
      <c r="AM100" s="3"/>
      <c r="AN100" s="3"/>
      <c r="AO100" s="3"/>
      <c r="AP100" s="3"/>
      <c r="AQ100" s="3"/>
      <c r="AR100" s="3"/>
      <c r="AS100" s="3"/>
      <c r="AT100" s="3"/>
      <c r="AU100" s="3"/>
    </row>
    <row r="101" spans="1:47" ht="14.25" customHeight="1" x14ac:dyDescent="0.3">
      <c r="A101" s="38"/>
      <c r="B101" s="109" t="s">
        <v>71</v>
      </c>
      <c r="C101" s="84"/>
      <c r="D101" s="84"/>
      <c r="E101" s="84"/>
      <c r="F101" s="84"/>
      <c r="G101" s="84"/>
      <c r="H101" s="84"/>
      <c r="I101" s="84"/>
      <c r="J101" s="84"/>
      <c r="K101" s="81"/>
      <c r="L101" s="110" t="s">
        <v>72</v>
      </c>
      <c r="M101" s="84"/>
      <c r="N101" s="84"/>
      <c r="O101" s="81"/>
      <c r="Q101" s="1"/>
      <c r="R101" s="1"/>
      <c r="S101" s="3"/>
      <c r="T101" s="2"/>
      <c r="U101" s="2"/>
      <c r="V101" s="2" t="s">
        <v>33</v>
      </c>
      <c r="W101" s="2"/>
      <c r="X101" s="2"/>
      <c r="Y101" s="3"/>
      <c r="Z101" s="3"/>
      <c r="AA101" s="3"/>
      <c r="AB101" s="3"/>
      <c r="AC101" s="3"/>
      <c r="AD101" s="3"/>
      <c r="AE101" s="3"/>
      <c r="AF101" s="3"/>
      <c r="AG101" s="3"/>
      <c r="AH101" s="3"/>
      <c r="AI101" s="3"/>
      <c r="AJ101" s="3"/>
      <c r="AK101" s="3"/>
      <c r="AL101" s="3"/>
      <c r="AM101" s="3"/>
      <c r="AN101" s="3"/>
      <c r="AO101" s="3"/>
      <c r="AP101" s="3"/>
      <c r="AQ101" s="3"/>
      <c r="AR101" s="3"/>
      <c r="AS101" s="3"/>
      <c r="AT101" s="3"/>
      <c r="AU101" s="3"/>
    </row>
    <row r="102" spans="1:47" ht="25.5" customHeight="1" x14ac:dyDescent="0.3">
      <c r="A102" s="39" t="s">
        <v>73</v>
      </c>
      <c r="B102" s="39" t="s">
        <v>74</v>
      </c>
      <c r="C102" s="39" t="s">
        <v>75</v>
      </c>
      <c r="D102" s="68" t="s">
        <v>20</v>
      </c>
      <c r="E102" s="67"/>
      <c r="F102" s="68" t="s">
        <v>76</v>
      </c>
      <c r="G102" s="67"/>
      <c r="H102" s="111" t="s">
        <v>22</v>
      </c>
      <c r="I102" s="105"/>
      <c r="J102" s="39" t="s">
        <v>77</v>
      </c>
      <c r="K102" s="40" t="s">
        <v>78</v>
      </c>
      <c r="L102" s="112" t="s">
        <v>79</v>
      </c>
      <c r="M102" s="75"/>
      <c r="N102" s="105"/>
      <c r="O102" s="39" t="s">
        <v>72</v>
      </c>
      <c r="P102" s="101" t="s">
        <v>80</v>
      </c>
      <c r="Q102" s="62"/>
      <c r="R102" s="41" t="s">
        <v>81</v>
      </c>
      <c r="S102" s="2"/>
      <c r="T102" s="2"/>
      <c r="U102" s="2"/>
      <c r="V102" s="2" t="s">
        <v>82</v>
      </c>
      <c r="W102" s="2"/>
      <c r="X102" s="2"/>
      <c r="Y102" s="3"/>
      <c r="Z102" s="3"/>
      <c r="AA102" s="3"/>
      <c r="AB102" s="3"/>
      <c r="AC102" s="3"/>
      <c r="AD102" s="3"/>
      <c r="AE102" s="3"/>
      <c r="AF102" s="3"/>
      <c r="AG102" s="3"/>
      <c r="AH102" s="3"/>
      <c r="AI102" s="3"/>
      <c r="AJ102" s="3"/>
      <c r="AK102" s="3"/>
      <c r="AL102" s="3"/>
      <c r="AM102" s="3"/>
      <c r="AN102" s="3"/>
      <c r="AO102" s="3"/>
      <c r="AP102" s="3"/>
      <c r="AQ102" s="3"/>
      <c r="AR102" s="3"/>
      <c r="AS102" s="3"/>
      <c r="AT102" s="3"/>
      <c r="AU102" s="3"/>
    </row>
    <row r="103" spans="1:47" ht="14.25" customHeight="1" x14ac:dyDescent="0.3">
      <c r="A103" s="42" t="s">
        <v>83</v>
      </c>
      <c r="B103" s="42" t="s">
        <v>84</v>
      </c>
      <c r="C103" s="42" t="s">
        <v>85</v>
      </c>
      <c r="D103" s="65" t="s">
        <v>86</v>
      </c>
      <c r="E103" s="62"/>
      <c r="F103" s="65">
        <v>70988536</v>
      </c>
      <c r="G103" s="62"/>
      <c r="H103" s="114" t="s">
        <v>87</v>
      </c>
      <c r="I103" s="62"/>
      <c r="J103" s="43">
        <v>37893</v>
      </c>
      <c r="K103" s="42" t="s">
        <v>88</v>
      </c>
      <c r="L103" s="63">
        <v>2000</v>
      </c>
      <c r="M103" s="64"/>
      <c r="N103" s="62"/>
      <c r="O103" s="44" t="str">
        <f>VLOOKUP(L103,$T$115:$U$3114,2,0)</f>
        <v>PLAN 3  (Hasta S./ 3,000)</v>
      </c>
      <c r="P103" s="65" t="s">
        <v>82</v>
      </c>
      <c r="Q103" s="62"/>
      <c r="R103" s="45">
        <v>45748</v>
      </c>
      <c r="S103" s="2" t="str">
        <f t="shared" ref="S103:S357" si="0">IF(LEN(MONTH(R103))=1,"0"&amp;MONTH(R103),MONTH(R103))</f>
        <v>04</v>
      </c>
      <c r="T103" s="2"/>
      <c r="U103" s="2"/>
      <c r="V103" s="2" t="s">
        <v>89</v>
      </c>
      <c r="W103" s="2" t="str">
        <f t="shared" ref="W103:W110" si="1">"0"&amp;S103+1</f>
        <v>05</v>
      </c>
      <c r="X103" s="2"/>
      <c r="Y103" s="3"/>
      <c r="Z103" s="3"/>
      <c r="AA103" s="3"/>
      <c r="AB103" s="3"/>
      <c r="AC103" s="3"/>
      <c r="AD103" s="3"/>
      <c r="AE103" s="3"/>
      <c r="AF103" s="3"/>
      <c r="AG103" s="3"/>
      <c r="AH103" s="3"/>
      <c r="AI103" s="3"/>
      <c r="AJ103" s="3"/>
      <c r="AK103" s="3"/>
      <c r="AL103" s="3"/>
      <c r="AM103" s="3"/>
      <c r="AN103" s="3"/>
      <c r="AO103" s="3"/>
      <c r="AP103" s="3"/>
      <c r="AQ103" s="3"/>
      <c r="AR103" s="3"/>
      <c r="AS103" s="3"/>
      <c r="AT103" s="3"/>
      <c r="AU103" s="3"/>
    </row>
    <row r="104" spans="1:47" ht="14.25" customHeight="1" x14ac:dyDescent="0.3">
      <c r="A104" s="42"/>
      <c r="B104" s="42"/>
      <c r="C104" s="42"/>
      <c r="D104" s="61" t="s">
        <v>33</v>
      </c>
      <c r="E104" s="62"/>
      <c r="F104" s="61"/>
      <c r="G104" s="62"/>
      <c r="H104" s="113"/>
      <c r="I104" s="62"/>
      <c r="J104" s="43"/>
      <c r="K104" s="42"/>
      <c r="L104" s="63">
        <v>0</v>
      </c>
      <c r="M104" s="64"/>
      <c r="N104" s="62"/>
      <c r="O104" s="12" t="str">
        <f t="shared" ref="O104:O358" si="2">VLOOKUP(L104,$T$115:$U$3114,2,0)</f>
        <v>PLAN</v>
      </c>
      <c r="P104" s="61" t="s">
        <v>33</v>
      </c>
      <c r="Q104" s="62"/>
      <c r="R104" s="46"/>
      <c r="S104" s="2" t="str">
        <f t="shared" si="0"/>
        <v>01</v>
      </c>
      <c r="T104" s="2"/>
      <c r="U104" s="2"/>
      <c r="V104" s="2" t="s">
        <v>90</v>
      </c>
      <c r="W104" s="2" t="str">
        <f t="shared" si="1"/>
        <v>02</v>
      </c>
      <c r="X104" s="2"/>
      <c r="Y104" s="3"/>
      <c r="Z104" s="3"/>
      <c r="AA104" s="3"/>
      <c r="AB104" s="3"/>
      <c r="AC104" s="3"/>
      <c r="AD104" s="3"/>
      <c r="AE104" s="3"/>
      <c r="AF104" s="3"/>
      <c r="AG104" s="3"/>
      <c r="AH104" s="3"/>
      <c r="AI104" s="3"/>
      <c r="AJ104" s="3"/>
      <c r="AK104" s="3"/>
      <c r="AL104" s="3"/>
      <c r="AM104" s="3"/>
      <c r="AN104" s="3"/>
      <c r="AO104" s="3"/>
      <c r="AP104" s="3"/>
      <c r="AQ104" s="3"/>
      <c r="AR104" s="3"/>
      <c r="AS104" s="3"/>
      <c r="AT104" s="3"/>
      <c r="AU104" s="3"/>
    </row>
    <row r="105" spans="1:47" ht="14.25" customHeight="1" x14ac:dyDescent="0.3">
      <c r="A105" s="42"/>
      <c r="B105" s="42"/>
      <c r="C105" s="42"/>
      <c r="D105" s="61" t="s">
        <v>33</v>
      </c>
      <c r="E105" s="62"/>
      <c r="F105" s="61"/>
      <c r="G105" s="62"/>
      <c r="H105" s="115"/>
      <c r="I105" s="62"/>
      <c r="J105" s="43"/>
      <c r="K105" s="42"/>
      <c r="L105" s="63">
        <v>0</v>
      </c>
      <c r="M105" s="64"/>
      <c r="N105" s="62"/>
      <c r="O105" s="12" t="str">
        <f t="shared" si="2"/>
        <v>PLAN</v>
      </c>
      <c r="P105" s="61" t="s">
        <v>33</v>
      </c>
      <c r="Q105" s="62"/>
      <c r="R105" s="46"/>
      <c r="S105" s="2" t="str">
        <f t="shared" si="0"/>
        <v>01</v>
      </c>
      <c r="T105" s="2"/>
      <c r="U105" s="2"/>
      <c r="V105" s="2"/>
      <c r="W105" s="2" t="str">
        <f t="shared" si="1"/>
        <v>02</v>
      </c>
      <c r="X105" s="2"/>
      <c r="Y105" s="3"/>
      <c r="Z105" s="3"/>
      <c r="AA105" s="3"/>
      <c r="AB105" s="3"/>
      <c r="AC105" s="3"/>
      <c r="AD105" s="3"/>
      <c r="AE105" s="3"/>
      <c r="AF105" s="3"/>
      <c r="AG105" s="3"/>
      <c r="AH105" s="3"/>
      <c r="AI105" s="3"/>
      <c r="AJ105" s="3"/>
      <c r="AK105" s="3"/>
      <c r="AL105" s="3"/>
      <c r="AM105" s="3"/>
      <c r="AN105" s="3"/>
      <c r="AO105" s="3"/>
      <c r="AP105" s="3"/>
      <c r="AQ105" s="3"/>
      <c r="AR105" s="3"/>
      <c r="AS105" s="3"/>
      <c r="AT105" s="3"/>
      <c r="AU105" s="3"/>
    </row>
    <row r="106" spans="1:47" ht="14.25" customHeight="1" x14ac:dyDescent="0.3">
      <c r="A106" s="42"/>
      <c r="B106" s="42"/>
      <c r="C106" s="42"/>
      <c r="D106" s="61" t="s">
        <v>33</v>
      </c>
      <c r="E106" s="62"/>
      <c r="F106" s="61"/>
      <c r="G106" s="62"/>
      <c r="H106" s="115"/>
      <c r="I106" s="62"/>
      <c r="J106" s="47"/>
      <c r="K106" s="42"/>
      <c r="L106" s="63">
        <v>0</v>
      </c>
      <c r="M106" s="64"/>
      <c r="N106" s="62"/>
      <c r="O106" s="12" t="str">
        <f t="shared" si="2"/>
        <v>PLAN</v>
      </c>
      <c r="P106" s="61" t="s">
        <v>33</v>
      </c>
      <c r="Q106" s="62"/>
      <c r="R106" s="46"/>
      <c r="S106" s="2" t="str">
        <f t="shared" si="0"/>
        <v>01</v>
      </c>
      <c r="T106" s="2"/>
      <c r="U106" s="2"/>
      <c r="V106" s="2"/>
      <c r="W106" s="2" t="str">
        <f t="shared" si="1"/>
        <v>02</v>
      </c>
      <c r="X106" s="2"/>
      <c r="Y106" s="3"/>
      <c r="Z106" s="3"/>
      <c r="AA106" s="3"/>
      <c r="AB106" s="3"/>
      <c r="AC106" s="3"/>
      <c r="AD106" s="3"/>
      <c r="AE106" s="3"/>
      <c r="AF106" s="3"/>
      <c r="AG106" s="3"/>
      <c r="AH106" s="3"/>
      <c r="AI106" s="3"/>
      <c r="AJ106" s="3"/>
      <c r="AK106" s="3"/>
      <c r="AL106" s="3"/>
      <c r="AM106" s="3"/>
      <c r="AN106" s="3"/>
      <c r="AO106" s="3"/>
      <c r="AP106" s="3"/>
      <c r="AQ106" s="3"/>
      <c r="AR106" s="3"/>
      <c r="AS106" s="3"/>
      <c r="AT106" s="3"/>
      <c r="AU106" s="3"/>
    </row>
    <row r="107" spans="1:47" ht="14.25" customHeight="1" x14ac:dyDescent="0.3">
      <c r="A107" s="42"/>
      <c r="B107" s="42"/>
      <c r="C107" s="42"/>
      <c r="D107" s="61" t="s">
        <v>33</v>
      </c>
      <c r="E107" s="62"/>
      <c r="F107" s="61"/>
      <c r="G107" s="62"/>
      <c r="H107" s="115"/>
      <c r="I107" s="62"/>
      <c r="J107" s="47"/>
      <c r="K107" s="42"/>
      <c r="L107" s="63">
        <v>0</v>
      </c>
      <c r="M107" s="64"/>
      <c r="N107" s="62"/>
      <c r="O107" s="12" t="str">
        <f t="shared" si="2"/>
        <v>PLAN</v>
      </c>
      <c r="P107" s="61" t="s">
        <v>33</v>
      </c>
      <c r="Q107" s="62"/>
      <c r="R107" s="46"/>
      <c r="S107" s="2" t="str">
        <f t="shared" si="0"/>
        <v>01</v>
      </c>
      <c r="T107" s="2"/>
      <c r="U107" s="2"/>
      <c r="V107" s="2"/>
      <c r="W107" s="2" t="str">
        <f t="shared" si="1"/>
        <v>02</v>
      </c>
      <c r="X107" s="2"/>
      <c r="Y107" s="3"/>
      <c r="Z107" s="3"/>
      <c r="AA107" s="3"/>
      <c r="AB107" s="3"/>
      <c r="AC107" s="3"/>
      <c r="AD107" s="3"/>
      <c r="AE107" s="3"/>
      <c r="AF107" s="3"/>
      <c r="AG107" s="3"/>
      <c r="AH107" s="3"/>
      <c r="AI107" s="3"/>
      <c r="AJ107" s="3"/>
      <c r="AK107" s="3"/>
      <c r="AL107" s="3"/>
      <c r="AM107" s="3"/>
      <c r="AN107" s="3"/>
      <c r="AO107" s="3"/>
      <c r="AP107" s="3"/>
      <c r="AQ107" s="3"/>
      <c r="AR107" s="3"/>
      <c r="AS107" s="3"/>
      <c r="AT107" s="3"/>
      <c r="AU107" s="3"/>
    </row>
    <row r="108" spans="1:47" ht="14.25" customHeight="1" x14ac:dyDescent="0.3">
      <c r="A108" s="42"/>
      <c r="B108" s="42"/>
      <c r="C108" s="42"/>
      <c r="D108" s="61" t="s">
        <v>33</v>
      </c>
      <c r="E108" s="62"/>
      <c r="F108" s="61"/>
      <c r="G108" s="62"/>
      <c r="H108" s="61"/>
      <c r="I108" s="62"/>
      <c r="J108" s="47"/>
      <c r="K108" s="42"/>
      <c r="L108" s="63">
        <v>0</v>
      </c>
      <c r="M108" s="64"/>
      <c r="N108" s="62"/>
      <c r="O108" s="12" t="str">
        <f t="shared" si="2"/>
        <v>PLAN</v>
      </c>
      <c r="P108" s="61" t="s">
        <v>33</v>
      </c>
      <c r="Q108" s="62"/>
      <c r="R108" s="46"/>
      <c r="S108" s="2" t="str">
        <f t="shared" si="0"/>
        <v>01</v>
      </c>
      <c r="T108" s="2">
        <v>1130</v>
      </c>
      <c r="U108" s="48" t="s">
        <v>91</v>
      </c>
      <c r="V108" s="2"/>
      <c r="W108" s="2" t="str">
        <f t="shared" si="1"/>
        <v>02</v>
      </c>
      <c r="X108" s="2"/>
      <c r="Y108" s="3"/>
      <c r="Z108" s="3"/>
      <c r="AA108" s="3"/>
      <c r="AB108" s="3"/>
      <c r="AC108" s="3"/>
      <c r="AD108" s="3"/>
      <c r="AE108" s="3"/>
      <c r="AF108" s="3"/>
      <c r="AG108" s="3"/>
      <c r="AH108" s="3"/>
      <c r="AI108" s="3"/>
      <c r="AJ108" s="3"/>
      <c r="AK108" s="3"/>
      <c r="AL108" s="3"/>
      <c r="AM108" s="3"/>
      <c r="AN108" s="3"/>
      <c r="AO108" s="3"/>
      <c r="AP108" s="3"/>
      <c r="AQ108" s="3"/>
      <c r="AR108" s="3"/>
      <c r="AS108" s="3"/>
      <c r="AT108" s="3"/>
      <c r="AU108" s="3"/>
    </row>
    <row r="109" spans="1:47" ht="14.25" customHeight="1" x14ac:dyDescent="0.3">
      <c r="A109" s="42"/>
      <c r="B109" s="42"/>
      <c r="C109" s="42"/>
      <c r="D109" s="61" t="s">
        <v>33</v>
      </c>
      <c r="E109" s="62"/>
      <c r="F109" s="61"/>
      <c r="G109" s="62"/>
      <c r="H109" s="61"/>
      <c r="I109" s="62"/>
      <c r="J109" s="42"/>
      <c r="K109" s="42"/>
      <c r="L109" s="63">
        <v>0</v>
      </c>
      <c r="M109" s="64"/>
      <c r="N109" s="62"/>
      <c r="O109" s="12" t="str">
        <f t="shared" si="2"/>
        <v>PLAN</v>
      </c>
      <c r="P109" s="61" t="s">
        <v>33</v>
      </c>
      <c r="Q109" s="62"/>
      <c r="R109" s="46"/>
      <c r="S109" s="2" t="str">
        <f t="shared" si="0"/>
        <v>01</v>
      </c>
      <c r="T109" s="2">
        <v>1800</v>
      </c>
      <c r="U109" s="48" t="s">
        <v>92</v>
      </c>
      <c r="V109" s="2"/>
      <c r="W109" s="2" t="str">
        <f t="shared" si="1"/>
        <v>02</v>
      </c>
      <c r="X109" s="2"/>
      <c r="Y109" s="3"/>
      <c r="Z109" s="3"/>
      <c r="AA109" s="3"/>
      <c r="AB109" s="3"/>
      <c r="AC109" s="3"/>
      <c r="AD109" s="3"/>
      <c r="AE109" s="3"/>
      <c r="AF109" s="3"/>
      <c r="AG109" s="3"/>
      <c r="AH109" s="3"/>
      <c r="AI109" s="3"/>
      <c r="AJ109" s="3"/>
      <c r="AK109" s="3"/>
      <c r="AL109" s="3"/>
      <c r="AM109" s="3"/>
      <c r="AN109" s="3"/>
      <c r="AO109" s="3"/>
      <c r="AP109" s="3"/>
      <c r="AQ109" s="3"/>
      <c r="AR109" s="3"/>
      <c r="AS109" s="3"/>
      <c r="AT109" s="3"/>
      <c r="AU109" s="3"/>
    </row>
    <row r="110" spans="1:47" ht="14.25" customHeight="1" x14ac:dyDescent="0.3">
      <c r="A110" s="42"/>
      <c r="B110" s="42"/>
      <c r="C110" s="42"/>
      <c r="D110" s="61" t="s">
        <v>33</v>
      </c>
      <c r="E110" s="62"/>
      <c r="F110" s="61"/>
      <c r="G110" s="62"/>
      <c r="H110" s="61"/>
      <c r="I110" s="62"/>
      <c r="J110" s="42"/>
      <c r="K110" s="42"/>
      <c r="L110" s="63">
        <v>0</v>
      </c>
      <c r="M110" s="64"/>
      <c r="N110" s="62"/>
      <c r="O110" s="12" t="str">
        <f t="shared" si="2"/>
        <v>PLAN</v>
      </c>
      <c r="P110" s="61" t="s">
        <v>33</v>
      </c>
      <c r="Q110" s="62"/>
      <c r="R110" s="46"/>
      <c r="S110" s="2" t="str">
        <f t="shared" si="0"/>
        <v>01</v>
      </c>
      <c r="T110" s="2">
        <v>3000</v>
      </c>
      <c r="U110" s="48" t="s">
        <v>93</v>
      </c>
      <c r="V110" s="2"/>
      <c r="W110" s="2" t="str">
        <f t="shared" si="1"/>
        <v>02</v>
      </c>
      <c r="X110" s="2"/>
      <c r="Y110" s="3"/>
      <c r="Z110" s="3"/>
      <c r="AA110" s="3"/>
      <c r="AB110" s="3"/>
      <c r="AC110" s="3"/>
      <c r="AD110" s="3"/>
      <c r="AE110" s="3"/>
      <c r="AF110" s="3"/>
      <c r="AG110" s="3"/>
      <c r="AH110" s="3"/>
      <c r="AI110" s="3"/>
      <c r="AJ110" s="3"/>
      <c r="AK110" s="3"/>
      <c r="AL110" s="3"/>
      <c r="AM110" s="3"/>
      <c r="AN110" s="3"/>
      <c r="AO110" s="3"/>
      <c r="AP110" s="3"/>
      <c r="AQ110" s="3"/>
      <c r="AR110" s="3"/>
      <c r="AS110" s="3"/>
      <c r="AT110" s="3"/>
      <c r="AU110" s="3"/>
    </row>
    <row r="111" spans="1:47" ht="14.25" customHeight="1" x14ac:dyDescent="0.3">
      <c r="A111" s="42"/>
      <c r="B111" s="42"/>
      <c r="C111" s="42"/>
      <c r="D111" s="61" t="s">
        <v>33</v>
      </c>
      <c r="E111" s="62"/>
      <c r="F111" s="61"/>
      <c r="G111" s="62"/>
      <c r="H111" s="61"/>
      <c r="I111" s="62"/>
      <c r="J111" s="42"/>
      <c r="K111" s="42"/>
      <c r="L111" s="63">
        <v>0</v>
      </c>
      <c r="M111" s="64"/>
      <c r="N111" s="62"/>
      <c r="O111" s="49" t="str">
        <f t="shared" si="2"/>
        <v>PLAN</v>
      </c>
      <c r="P111" s="61" t="s">
        <v>33</v>
      </c>
      <c r="Q111" s="62"/>
      <c r="R111" s="46"/>
      <c r="S111" s="2" t="str">
        <f t="shared" si="0"/>
        <v>01</v>
      </c>
      <c r="T111" s="2"/>
      <c r="U111" s="48"/>
      <c r="V111" s="2"/>
      <c r="W111" s="2"/>
      <c r="X111" s="2"/>
      <c r="Y111" s="3"/>
      <c r="Z111" s="3"/>
      <c r="AA111" s="3"/>
      <c r="AB111" s="3"/>
      <c r="AC111" s="3"/>
      <c r="AD111" s="3"/>
      <c r="AE111" s="3"/>
      <c r="AF111" s="3"/>
      <c r="AG111" s="3"/>
      <c r="AH111" s="3"/>
      <c r="AI111" s="3"/>
      <c r="AJ111" s="3"/>
      <c r="AK111" s="3"/>
      <c r="AL111" s="3"/>
      <c r="AM111" s="3"/>
      <c r="AN111" s="3"/>
      <c r="AO111" s="3"/>
      <c r="AP111" s="3"/>
      <c r="AQ111" s="3"/>
      <c r="AR111" s="3"/>
      <c r="AS111" s="3"/>
      <c r="AT111" s="3"/>
      <c r="AU111" s="3"/>
    </row>
    <row r="112" spans="1:47" ht="14.25" customHeight="1" x14ac:dyDescent="0.3">
      <c r="A112" s="42"/>
      <c r="B112" s="42"/>
      <c r="C112" s="42"/>
      <c r="D112" s="61" t="s">
        <v>33</v>
      </c>
      <c r="E112" s="62"/>
      <c r="F112" s="61"/>
      <c r="G112" s="62"/>
      <c r="H112" s="61"/>
      <c r="I112" s="62"/>
      <c r="J112" s="42"/>
      <c r="K112" s="42"/>
      <c r="L112" s="63">
        <v>0</v>
      </c>
      <c r="M112" s="64"/>
      <c r="N112" s="62"/>
      <c r="O112" s="49" t="str">
        <f t="shared" si="2"/>
        <v>PLAN</v>
      </c>
      <c r="P112" s="61" t="s">
        <v>33</v>
      </c>
      <c r="Q112" s="62"/>
      <c r="R112" s="46"/>
      <c r="S112" s="2" t="str">
        <f t="shared" si="0"/>
        <v>01</v>
      </c>
      <c r="T112" s="2"/>
      <c r="U112" s="48"/>
      <c r="V112" s="2"/>
      <c r="W112" s="2"/>
      <c r="X112" s="2"/>
      <c r="Y112" s="3"/>
      <c r="Z112" s="3"/>
      <c r="AA112" s="3"/>
      <c r="AB112" s="3"/>
      <c r="AC112" s="3"/>
      <c r="AD112" s="3"/>
      <c r="AE112" s="3"/>
      <c r="AF112" s="3"/>
      <c r="AG112" s="3"/>
      <c r="AH112" s="3"/>
      <c r="AI112" s="3"/>
      <c r="AJ112" s="3"/>
      <c r="AK112" s="3"/>
      <c r="AL112" s="3"/>
      <c r="AM112" s="3"/>
      <c r="AN112" s="3"/>
      <c r="AO112" s="3"/>
      <c r="AP112" s="3"/>
      <c r="AQ112" s="3"/>
      <c r="AR112" s="3"/>
      <c r="AS112" s="3"/>
      <c r="AT112" s="3"/>
      <c r="AU112" s="3"/>
    </row>
    <row r="113" spans="1:47" ht="14.25" customHeight="1" x14ac:dyDescent="0.3">
      <c r="A113" s="42"/>
      <c r="B113" s="42"/>
      <c r="C113" s="42"/>
      <c r="D113" s="61" t="s">
        <v>33</v>
      </c>
      <c r="E113" s="62"/>
      <c r="F113" s="61"/>
      <c r="G113" s="62"/>
      <c r="H113" s="61"/>
      <c r="I113" s="62"/>
      <c r="J113" s="42"/>
      <c r="K113" s="42"/>
      <c r="L113" s="63">
        <v>0</v>
      </c>
      <c r="M113" s="64"/>
      <c r="N113" s="62"/>
      <c r="O113" s="49" t="str">
        <f t="shared" si="2"/>
        <v>PLAN</v>
      </c>
      <c r="P113" s="61" t="s">
        <v>33</v>
      </c>
      <c r="Q113" s="62"/>
      <c r="R113" s="46"/>
      <c r="S113" s="2" t="str">
        <f t="shared" si="0"/>
        <v>01</v>
      </c>
      <c r="T113" s="2"/>
      <c r="U113" s="48"/>
      <c r="V113" s="2"/>
      <c r="W113" s="2"/>
      <c r="X113" s="2"/>
      <c r="Y113" s="3"/>
      <c r="Z113" s="3"/>
      <c r="AA113" s="3"/>
      <c r="AB113" s="3"/>
      <c r="AC113" s="3"/>
      <c r="AD113" s="3"/>
      <c r="AE113" s="3"/>
      <c r="AF113" s="3"/>
      <c r="AG113" s="3"/>
      <c r="AH113" s="3"/>
      <c r="AI113" s="3"/>
      <c r="AJ113" s="3"/>
      <c r="AK113" s="3"/>
      <c r="AL113" s="3"/>
      <c r="AM113" s="3"/>
      <c r="AN113" s="3"/>
      <c r="AO113" s="3"/>
      <c r="AP113" s="3"/>
      <c r="AQ113" s="3"/>
      <c r="AR113" s="3"/>
      <c r="AS113" s="3"/>
      <c r="AT113" s="3"/>
      <c r="AU113" s="3"/>
    </row>
    <row r="114" spans="1:47" ht="14.25" customHeight="1" x14ac:dyDescent="0.3">
      <c r="A114" s="42"/>
      <c r="B114" s="42"/>
      <c r="C114" s="42"/>
      <c r="D114" s="61" t="s">
        <v>33</v>
      </c>
      <c r="E114" s="62"/>
      <c r="F114" s="61"/>
      <c r="G114" s="62"/>
      <c r="H114" s="61"/>
      <c r="I114" s="62"/>
      <c r="J114" s="42"/>
      <c r="K114" s="42"/>
      <c r="L114" s="63">
        <v>0</v>
      </c>
      <c r="M114" s="64"/>
      <c r="N114" s="62"/>
      <c r="O114" s="49" t="str">
        <f t="shared" si="2"/>
        <v>PLAN</v>
      </c>
      <c r="P114" s="61" t="s">
        <v>33</v>
      </c>
      <c r="Q114" s="62"/>
      <c r="R114" s="46"/>
      <c r="S114" s="2" t="str">
        <f t="shared" si="0"/>
        <v>01</v>
      </c>
      <c r="T114" s="2"/>
      <c r="U114" s="2"/>
      <c r="V114" s="2"/>
      <c r="W114" s="2" t="str">
        <f t="shared" ref="W114:W368" si="3">"0"&amp;S114+1</f>
        <v>02</v>
      </c>
      <c r="X114" s="2"/>
      <c r="Y114" s="3"/>
      <c r="Z114" s="3"/>
      <c r="AA114" s="3"/>
      <c r="AB114" s="3"/>
      <c r="AC114" s="3"/>
      <c r="AD114" s="3"/>
      <c r="AE114" s="3"/>
      <c r="AF114" s="3"/>
      <c r="AG114" s="3"/>
      <c r="AH114" s="3"/>
      <c r="AI114" s="3"/>
      <c r="AJ114" s="3"/>
      <c r="AK114" s="3"/>
      <c r="AL114" s="3"/>
      <c r="AM114" s="3"/>
      <c r="AN114" s="3"/>
      <c r="AO114" s="3"/>
      <c r="AP114" s="3"/>
      <c r="AQ114" s="3"/>
      <c r="AR114" s="3"/>
      <c r="AS114" s="3"/>
      <c r="AT114" s="3"/>
      <c r="AU114" s="3"/>
    </row>
    <row r="115" spans="1:47" ht="14.25" customHeight="1" x14ac:dyDescent="0.3">
      <c r="A115" s="42"/>
      <c r="B115" s="42"/>
      <c r="C115" s="42"/>
      <c r="D115" s="61" t="s">
        <v>33</v>
      </c>
      <c r="E115" s="62"/>
      <c r="F115" s="61"/>
      <c r="G115" s="62"/>
      <c r="H115" s="61"/>
      <c r="I115" s="62"/>
      <c r="J115" s="42"/>
      <c r="K115" s="42"/>
      <c r="L115" s="63">
        <v>0</v>
      </c>
      <c r="M115" s="64"/>
      <c r="N115" s="62"/>
      <c r="O115" s="49" t="str">
        <f t="shared" si="2"/>
        <v>PLAN</v>
      </c>
      <c r="P115" s="61" t="s">
        <v>33</v>
      </c>
      <c r="Q115" s="62"/>
      <c r="R115" s="46"/>
      <c r="S115" s="2" t="str">
        <f t="shared" si="0"/>
        <v>01</v>
      </c>
      <c r="T115" s="2">
        <v>0</v>
      </c>
      <c r="U115" s="48" t="s">
        <v>94</v>
      </c>
      <c r="V115" s="2"/>
      <c r="W115" s="2" t="str">
        <f t="shared" si="3"/>
        <v>02</v>
      </c>
      <c r="X115" s="2"/>
      <c r="Y115" s="3"/>
      <c r="Z115" s="3"/>
      <c r="AA115" s="3"/>
      <c r="AB115" s="3"/>
      <c r="AC115" s="3"/>
      <c r="AD115" s="3"/>
      <c r="AE115" s="3"/>
      <c r="AF115" s="3"/>
      <c r="AG115" s="3"/>
      <c r="AH115" s="3"/>
      <c r="AI115" s="3"/>
      <c r="AJ115" s="3"/>
      <c r="AK115" s="3"/>
      <c r="AL115" s="3"/>
      <c r="AM115" s="3"/>
      <c r="AN115" s="3"/>
      <c r="AO115" s="3"/>
      <c r="AP115" s="3"/>
      <c r="AQ115" s="3"/>
      <c r="AR115" s="3"/>
      <c r="AS115" s="3"/>
      <c r="AT115" s="3"/>
      <c r="AU115" s="3"/>
    </row>
    <row r="116" spans="1:47" ht="14.25" customHeight="1" x14ac:dyDescent="0.3">
      <c r="A116" s="42"/>
      <c r="B116" s="42"/>
      <c r="C116" s="42"/>
      <c r="D116" s="61" t="s">
        <v>33</v>
      </c>
      <c r="E116" s="62"/>
      <c r="F116" s="61"/>
      <c r="G116" s="62"/>
      <c r="H116" s="61"/>
      <c r="I116" s="62"/>
      <c r="J116" s="42"/>
      <c r="K116" s="42"/>
      <c r="L116" s="63">
        <v>0</v>
      </c>
      <c r="M116" s="64"/>
      <c r="N116" s="62"/>
      <c r="O116" s="49" t="str">
        <f t="shared" si="2"/>
        <v>PLAN</v>
      </c>
      <c r="P116" s="61" t="s">
        <v>33</v>
      </c>
      <c r="Q116" s="62"/>
      <c r="R116" s="46"/>
      <c r="S116" s="2" t="str">
        <f t="shared" si="0"/>
        <v>01</v>
      </c>
      <c r="T116" s="2">
        <v>2</v>
      </c>
      <c r="U116" s="48" t="s">
        <v>95</v>
      </c>
      <c r="V116" s="2"/>
      <c r="W116" s="2" t="str">
        <f t="shared" si="3"/>
        <v>02</v>
      </c>
      <c r="X116" s="2"/>
      <c r="Y116" s="3"/>
      <c r="Z116" s="3"/>
      <c r="AA116" s="3"/>
      <c r="AB116" s="3"/>
      <c r="AC116" s="3"/>
      <c r="AD116" s="3"/>
      <c r="AE116" s="3"/>
      <c r="AF116" s="3"/>
      <c r="AG116" s="3"/>
      <c r="AH116" s="3"/>
      <c r="AI116" s="3"/>
      <c r="AJ116" s="3"/>
      <c r="AK116" s="3"/>
      <c r="AL116" s="3"/>
      <c r="AM116" s="3"/>
      <c r="AN116" s="3"/>
      <c r="AO116" s="3"/>
      <c r="AP116" s="3"/>
      <c r="AQ116" s="3"/>
      <c r="AR116" s="3"/>
      <c r="AS116" s="3"/>
      <c r="AT116" s="3"/>
      <c r="AU116" s="3"/>
    </row>
    <row r="117" spans="1:47" ht="14.25" customHeight="1" x14ac:dyDescent="0.3">
      <c r="A117" s="42"/>
      <c r="B117" s="42"/>
      <c r="C117" s="42"/>
      <c r="D117" s="61" t="s">
        <v>33</v>
      </c>
      <c r="E117" s="62"/>
      <c r="F117" s="61"/>
      <c r="G117" s="62"/>
      <c r="H117" s="61"/>
      <c r="I117" s="62"/>
      <c r="J117" s="42"/>
      <c r="K117" s="42"/>
      <c r="L117" s="63">
        <v>0</v>
      </c>
      <c r="M117" s="64"/>
      <c r="N117" s="62"/>
      <c r="O117" s="49" t="str">
        <f t="shared" si="2"/>
        <v>PLAN</v>
      </c>
      <c r="P117" s="61" t="s">
        <v>33</v>
      </c>
      <c r="Q117" s="62"/>
      <c r="R117" s="46"/>
      <c r="S117" s="2" t="str">
        <f t="shared" si="0"/>
        <v>01</v>
      </c>
      <c r="T117" s="2">
        <v>3</v>
      </c>
      <c r="U117" s="48" t="s">
        <v>91</v>
      </c>
      <c r="V117" s="2"/>
      <c r="W117" s="2" t="str">
        <f t="shared" si="3"/>
        <v>02</v>
      </c>
      <c r="X117" s="2"/>
      <c r="Y117" s="3"/>
      <c r="Z117" s="3"/>
      <c r="AA117" s="3"/>
      <c r="AB117" s="3"/>
      <c r="AC117" s="3"/>
      <c r="AD117" s="3"/>
      <c r="AE117" s="3"/>
      <c r="AF117" s="3"/>
      <c r="AG117" s="3"/>
      <c r="AH117" s="3"/>
      <c r="AI117" s="3"/>
      <c r="AJ117" s="3"/>
      <c r="AK117" s="3"/>
      <c r="AL117" s="3"/>
      <c r="AM117" s="3"/>
      <c r="AN117" s="3"/>
      <c r="AO117" s="3"/>
      <c r="AP117" s="3"/>
      <c r="AQ117" s="3"/>
      <c r="AR117" s="3"/>
      <c r="AS117" s="3"/>
      <c r="AT117" s="3"/>
      <c r="AU117" s="3"/>
    </row>
    <row r="118" spans="1:47" ht="14.25" customHeight="1" x14ac:dyDescent="0.3">
      <c r="A118" s="42"/>
      <c r="B118" s="42"/>
      <c r="C118" s="42"/>
      <c r="D118" s="61" t="s">
        <v>33</v>
      </c>
      <c r="E118" s="62"/>
      <c r="F118" s="61"/>
      <c r="G118" s="62"/>
      <c r="H118" s="61"/>
      <c r="I118" s="62"/>
      <c r="J118" s="42"/>
      <c r="K118" s="42"/>
      <c r="L118" s="63">
        <v>0</v>
      </c>
      <c r="M118" s="64"/>
      <c r="N118" s="62"/>
      <c r="O118" s="49" t="str">
        <f t="shared" si="2"/>
        <v>PLAN</v>
      </c>
      <c r="P118" s="61" t="s">
        <v>33</v>
      </c>
      <c r="Q118" s="62"/>
      <c r="R118" s="46"/>
      <c r="S118" s="2" t="str">
        <f t="shared" si="0"/>
        <v>01</v>
      </c>
      <c r="T118" s="2">
        <v>4</v>
      </c>
      <c r="U118" s="48" t="s">
        <v>91</v>
      </c>
      <c r="V118" s="2"/>
      <c r="W118" s="2" t="str">
        <f t="shared" si="3"/>
        <v>02</v>
      </c>
      <c r="X118" s="2"/>
      <c r="Y118" s="3"/>
      <c r="Z118" s="3"/>
      <c r="AA118" s="3"/>
      <c r="AB118" s="3"/>
      <c r="AC118" s="3"/>
      <c r="AD118" s="3"/>
      <c r="AE118" s="3"/>
      <c r="AF118" s="3"/>
      <c r="AG118" s="3"/>
      <c r="AH118" s="3"/>
      <c r="AI118" s="3"/>
      <c r="AJ118" s="3"/>
      <c r="AK118" s="3"/>
      <c r="AL118" s="3"/>
      <c r="AM118" s="3"/>
      <c r="AN118" s="3"/>
      <c r="AO118" s="3"/>
      <c r="AP118" s="3"/>
      <c r="AQ118" s="3"/>
      <c r="AR118" s="3"/>
      <c r="AS118" s="3"/>
      <c r="AT118" s="3"/>
      <c r="AU118" s="3"/>
    </row>
    <row r="119" spans="1:47" ht="14.25" customHeight="1" x14ac:dyDescent="0.3">
      <c r="A119" s="42"/>
      <c r="B119" s="42"/>
      <c r="C119" s="42"/>
      <c r="D119" s="61" t="s">
        <v>33</v>
      </c>
      <c r="E119" s="62"/>
      <c r="F119" s="61"/>
      <c r="G119" s="62"/>
      <c r="H119" s="61"/>
      <c r="I119" s="62"/>
      <c r="J119" s="42"/>
      <c r="K119" s="42"/>
      <c r="L119" s="63">
        <v>0</v>
      </c>
      <c r="M119" s="64"/>
      <c r="N119" s="62"/>
      <c r="O119" s="49" t="str">
        <f t="shared" si="2"/>
        <v>PLAN</v>
      </c>
      <c r="P119" s="61" t="s">
        <v>33</v>
      </c>
      <c r="Q119" s="62"/>
      <c r="R119" s="46"/>
      <c r="S119" s="2" t="str">
        <f t="shared" si="0"/>
        <v>01</v>
      </c>
      <c r="T119" s="2">
        <v>5</v>
      </c>
      <c r="U119" s="48" t="s">
        <v>91</v>
      </c>
      <c r="V119" s="2"/>
      <c r="W119" s="2" t="str">
        <f t="shared" si="3"/>
        <v>02</v>
      </c>
      <c r="X119" s="2"/>
      <c r="Y119" s="3"/>
      <c r="Z119" s="3"/>
      <c r="AA119" s="3"/>
      <c r="AB119" s="3"/>
      <c r="AC119" s="3"/>
      <c r="AD119" s="3"/>
      <c r="AE119" s="3"/>
      <c r="AF119" s="3"/>
      <c r="AG119" s="3"/>
      <c r="AH119" s="3"/>
      <c r="AI119" s="3"/>
      <c r="AJ119" s="3"/>
      <c r="AK119" s="3"/>
      <c r="AL119" s="3"/>
      <c r="AM119" s="3"/>
      <c r="AN119" s="3"/>
      <c r="AO119" s="3"/>
      <c r="AP119" s="3"/>
      <c r="AQ119" s="3"/>
      <c r="AR119" s="3"/>
      <c r="AS119" s="3"/>
      <c r="AT119" s="3"/>
      <c r="AU119" s="3"/>
    </row>
    <row r="120" spans="1:47" ht="14.25" customHeight="1" x14ac:dyDescent="0.3">
      <c r="A120" s="42"/>
      <c r="B120" s="42"/>
      <c r="C120" s="42"/>
      <c r="D120" s="61" t="s">
        <v>33</v>
      </c>
      <c r="E120" s="62"/>
      <c r="F120" s="61"/>
      <c r="G120" s="62"/>
      <c r="H120" s="61"/>
      <c r="I120" s="62"/>
      <c r="J120" s="42"/>
      <c r="K120" s="42"/>
      <c r="L120" s="63">
        <v>0</v>
      </c>
      <c r="M120" s="64"/>
      <c r="N120" s="62"/>
      <c r="O120" s="49" t="str">
        <f t="shared" si="2"/>
        <v>PLAN</v>
      </c>
      <c r="P120" s="61" t="s">
        <v>33</v>
      </c>
      <c r="Q120" s="62"/>
      <c r="R120" s="46"/>
      <c r="S120" s="2" t="str">
        <f t="shared" si="0"/>
        <v>01</v>
      </c>
      <c r="T120" s="2">
        <v>6</v>
      </c>
      <c r="U120" s="48" t="s">
        <v>91</v>
      </c>
      <c r="V120" s="2"/>
      <c r="W120" s="2" t="str">
        <f t="shared" si="3"/>
        <v>02</v>
      </c>
      <c r="X120" s="2"/>
      <c r="Y120" s="3"/>
      <c r="Z120" s="3"/>
      <c r="AA120" s="3"/>
      <c r="AB120" s="3"/>
      <c r="AC120" s="3"/>
      <c r="AD120" s="3"/>
      <c r="AE120" s="3"/>
      <c r="AF120" s="3"/>
      <c r="AG120" s="3"/>
      <c r="AH120" s="3"/>
      <c r="AI120" s="3"/>
      <c r="AJ120" s="3"/>
      <c r="AK120" s="3"/>
      <c r="AL120" s="3"/>
      <c r="AM120" s="3"/>
      <c r="AN120" s="3"/>
      <c r="AO120" s="3"/>
      <c r="AP120" s="3"/>
      <c r="AQ120" s="3"/>
      <c r="AR120" s="3"/>
      <c r="AS120" s="3"/>
      <c r="AT120" s="3"/>
      <c r="AU120" s="3"/>
    </row>
    <row r="121" spans="1:47" ht="14.25" customHeight="1" x14ac:dyDescent="0.3">
      <c r="A121" s="42"/>
      <c r="B121" s="42"/>
      <c r="C121" s="42"/>
      <c r="D121" s="61" t="s">
        <v>33</v>
      </c>
      <c r="E121" s="62"/>
      <c r="F121" s="61"/>
      <c r="G121" s="62"/>
      <c r="H121" s="61"/>
      <c r="I121" s="62"/>
      <c r="J121" s="42"/>
      <c r="K121" s="42"/>
      <c r="L121" s="63">
        <v>0</v>
      </c>
      <c r="M121" s="64"/>
      <c r="N121" s="62"/>
      <c r="O121" s="49" t="str">
        <f t="shared" si="2"/>
        <v>PLAN</v>
      </c>
      <c r="P121" s="61" t="s">
        <v>33</v>
      </c>
      <c r="Q121" s="62"/>
      <c r="R121" s="46"/>
      <c r="S121" s="2" t="str">
        <f t="shared" si="0"/>
        <v>01</v>
      </c>
      <c r="T121" s="2">
        <v>7</v>
      </c>
      <c r="U121" s="48" t="s">
        <v>91</v>
      </c>
      <c r="V121" s="2"/>
      <c r="W121" s="2" t="str">
        <f t="shared" si="3"/>
        <v>02</v>
      </c>
      <c r="X121" s="2"/>
      <c r="Y121" s="3"/>
      <c r="Z121" s="3"/>
      <c r="AA121" s="3"/>
      <c r="AB121" s="3"/>
      <c r="AC121" s="3"/>
      <c r="AD121" s="3"/>
      <c r="AE121" s="3"/>
      <c r="AF121" s="3"/>
      <c r="AG121" s="3"/>
      <c r="AH121" s="3"/>
      <c r="AI121" s="3"/>
      <c r="AJ121" s="3"/>
      <c r="AK121" s="3"/>
      <c r="AL121" s="3"/>
      <c r="AM121" s="3"/>
      <c r="AN121" s="3"/>
      <c r="AO121" s="3"/>
      <c r="AP121" s="3"/>
      <c r="AQ121" s="3"/>
      <c r="AR121" s="3"/>
      <c r="AS121" s="3"/>
      <c r="AT121" s="3"/>
      <c r="AU121" s="3"/>
    </row>
    <row r="122" spans="1:47" ht="14.25" customHeight="1" x14ac:dyDescent="0.3">
      <c r="A122" s="42"/>
      <c r="B122" s="42"/>
      <c r="C122" s="42"/>
      <c r="D122" s="61" t="s">
        <v>33</v>
      </c>
      <c r="E122" s="62"/>
      <c r="F122" s="61"/>
      <c r="G122" s="62"/>
      <c r="H122" s="61"/>
      <c r="I122" s="62"/>
      <c r="J122" s="42"/>
      <c r="K122" s="42"/>
      <c r="L122" s="63">
        <v>0</v>
      </c>
      <c r="M122" s="64"/>
      <c r="N122" s="62"/>
      <c r="O122" s="49" t="str">
        <f t="shared" si="2"/>
        <v>PLAN</v>
      </c>
      <c r="P122" s="61" t="s">
        <v>33</v>
      </c>
      <c r="Q122" s="62"/>
      <c r="R122" s="46"/>
      <c r="S122" s="2" t="str">
        <f t="shared" si="0"/>
        <v>01</v>
      </c>
      <c r="T122" s="2">
        <v>8</v>
      </c>
      <c r="U122" s="48" t="s">
        <v>91</v>
      </c>
      <c r="V122" s="2"/>
      <c r="W122" s="2" t="str">
        <f t="shared" si="3"/>
        <v>02</v>
      </c>
      <c r="X122" s="2"/>
      <c r="Y122" s="3"/>
      <c r="Z122" s="3"/>
      <c r="AA122" s="3"/>
      <c r="AB122" s="3"/>
      <c r="AC122" s="3"/>
      <c r="AD122" s="3"/>
      <c r="AE122" s="3"/>
      <c r="AF122" s="3"/>
      <c r="AG122" s="3"/>
      <c r="AH122" s="3"/>
      <c r="AI122" s="3"/>
      <c r="AJ122" s="3"/>
      <c r="AK122" s="3"/>
      <c r="AL122" s="3"/>
      <c r="AM122" s="3"/>
      <c r="AN122" s="3"/>
      <c r="AO122" s="3"/>
      <c r="AP122" s="3"/>
      <c r="AQ122" s="3"/>
      <c r="AR122" s="3"/>
      <c r="AS122" s="3"/>
      <c r="AT122" s="3"/>
      <c r="AU122" s="3"/>
    </row>
    <row r="123" spans="1:47" ht="14.25" customHeight="1" x14ac:dyDescent="0.3">
      <c r="A123" s="42"/>
      <c r="B123" s="42"/>
      <c r="C123" s="42"/>
      <c r="D123" s="61" t="s">
        <v>33</v>
      </c>
      <c r="E123" s="62"/>
      <c r="F123" s="61"/>
      <c r="G123" s="62"/>
      <c r="H123" s="61"/>
      <c r="I123" s="62"/>
      <c r="J123" s="42"/>
      <c r="K123" s="42"/>
      <c r="L123" s="63">
        <v>0</v>
      </c>
      <c r="M123" s="64"/>
      <c r="N123" s="62"/>
      <c r="O123" s="49" t="str">
        <f t="shared" si="2"/>
        <v>PLAN</v>
      </c>
      <c r="P123" s="61" t="s">
        <v>33</v>
      </c>
      <c r="Q123" s="62"/>
      <c r="R123" s="46"/>
      <c r="S123" s="2" t="str">
        <f t="shared" si="0"/>
        <v>01</v>
      </c>
      <c r="T123" s="2">
        <v>9</v>
      </c>
      <c r="U123" s="48" t="s">
        <v>91</v>
      </c>
      <c r="V123" s="2"/>
      <c r="W123" s="2" t="str">
        <f t="shared" si="3"/>
        <v>02</v>
      </c>
      <c r="X123" s="2"/>
      <c r="Y123" s="3"/>
      <c r="Z123" s="3"/>
      <c r="AA123" s="3"/>
      <c r="AB123" s="3"/>
      <c r="AC123" s="3"/>
      <c r="AD123" s="3"/>
      <c r="AE123" s="3"/>
      <c r="AF123" s="3"/>
      <c r="AG123" s="3"/>
      <c r="AH123" s="3"/>
      <c r="AI123" s="3"/>
      <c r="AJ123" s="3"/>
      <c r="AK123" s="3"/>
      <c r="AL123" s="3"/>
      <c r="AM123" s="3"/>
      <c r="AN123" s="3"/>
      <c r="AO123" s="3"/>
      <c r="AP123" s="3"/>
      <c r="AQ123" s="3"/>
      <c r="AR123" s="3"/>
      <c r="AS123" s="3"/>
      <c r="AT123" s="3"/>
      <c r="AU123" s="3"/>
    </row>
    <row r="124" spans="1:47" ht="14.25" customHeight="1" x14ac:dyDescent="0.3">
      <c r="A124" s="42"/>
      <c r="B124" s="42"/>
      <c r="C124" s="42"/>
      <c r="D124" s="61" t="s">
        <v>33</v>
      </c>
      <c r="E124" s="62"/>
      <c r="F124" s="61"/>
      <c r="G124" s="62"/>
      <c r="H124" s="61"/>
      <c r="I124" s="62"/>
      <c r="J124" s="42"/>
      <c r="K124" s="42"/>
      <c r="L124" s="63">
        <v>0</v>
      </c>
      <c r="M124" s="64"/>
      <c r="N124" s="62"/>
      <c r="O124" s="49" t="str">
        <f t="shared" si="2"/>
        <v>PLAN</v>
      </c>
      <c r="P124" s="61" t="s">
        <v>33</v>
      </c>
      <c r="Q124" s="62"/>
      <c r="R124" s="46"/>
      <c r="S124" s="2" t="str">
        <f t="shared" si="0"/>
        <v>01</v>
      </c>
      <c r="T124" s="2">
        <v>10</v>
      </c>
      <c r="U124" s="48" t="s">
        <v>91</v>
      </c>
      <c r="V124" s="2"/>
      <c r="W124" s="2" t="str">
        <f t="shared" si="3"/>
        <v>02</v>
      </c>
      <c r="X124" s="2"/>
      <c r="Y124" s="3"/>
      <c r="Z124" s="3"/>
      <c r="AA124" s="3"/>
      <c r="AB124" s="3"/>
      <c r="AC124" s="3"/>
      <c r="AD124" s="3"/>
      <c r="AE124" s="3"/>
      <c r="AF124" s="3"/>
      <c r="AG124" s="3"/>
      <c r="AH124" s="3"/>
      <c r="AI124" s="3"/>
      <c r="AJ124" s="3"/>
      <c r="AK124" s="3"/>
      <c r="AL124" s="3"/>
      <c r="AM124" s="3"/>
      <c r="AN124" s="3"/>
      <c r="AO124" s="3"/>
      <c r="AP124" s="3"/>
      <c r="AQ124" s="3"/>
      <c r="AR124" s="3"/>
      <c r="AS124" s="3"/>
      <c r="AT124" s="3"/>
      <c r="AU124" s="3"/>
    </row>
    <row r="125" spans="1:47" ht="14.25" customHeight="1" x14ac:dyDescent="0.3">
      <c r="A125" s="42"/>
      <c r="B125" s="42"/>
      <c r="C125" s="42"/>
      <c r="D125" s="61" t="s">
        <v>33</v>
      </c>
      <c r="E125" s="62"/>
      <c r="F125" s="61"/>
      <c r="G125" s="62"/>
      <c r="H125" s="61"/>
      <c r="I125" s="62"/>
      <c r="J125" s="42"/>
      <c r="K125" s="42"/>
      <c r="L125" s="63">
        <v>0</v>
      </c>
      <c r="M125" s="64"/>
      <c r="N125" s="62"/>
      <c r="O125" s="49" t="str">
        <f t="shared" si="2"/>
        <v>PLAN</v>
      </c>
      <c r="P125" s="61" t="s">
        <v>33</v>
      </c>
      <c r="Q125" s="62"/>
      <c r="R125" s="46"/>
      <c r="S125" s="2" t="str">
        <f t="shared" si="0"/>
        <v>01</v>
      </c>
      <c r="T125" s="2">
        <v>11</v>
      </c>
      <c r="U125" s="48" t="s">
        <v>91</v>
      </c>
      <c r="V125" s="2"/>
      <c r="W125" s="2" t="str">
        <f t="shared" si="3"/>
        <v>02</v>
      </c>
      <c r="X125" s="2"/>
      <c r="Y125" s="3"/>
      <c r="Z125" s="3"/>
      <c r="AA125" s="3"/>
      <c r="AB125" s="3"/>
      <c r="AC125" s="3"/>
      <c r="AD125" s="3"/>
      <c r="AE125" s="3"/>
      <c r="AF125" s="3"/>
      <c r="AG125" s="3"/>
      <c r="AH125" s="3"/>
      <c r="AI125" s="3"/>
      <c r="AJ125" s="3"/>
      <c r="AK125" s="3"/>
      <c r="AL125" s="3"/>
      <c r="AM125" s="3"/>
      <c r="AN125" s="3"/>
      <c r="AO125" s="3"/>
      <c r="AP125" s="3"/>
      <c r="AQ125" s="3"/>
      <c r="AR125" s="3"/>
      <c r="AS125" s="3"/>
      <c r="AT125" s="3"/>
      <c r="AU125" s="3"/>
    </row>
    <row r="126" spans="1:47" ht="14.25" customHeight="1" x14ac:dyDescent="0.3">
      <c r="A126" s="42"/>
      <c r="B126" s="42"/>
      <c r="C126" s="42"/>
      <c r="D126" s="61" t="s">
        <v>33</v>
      </c>
      <c r="E126" s="62"/>
      <c r="F126" s="61"/>
      <c r="G126" s="62"/>
      <c r="H126" s="61"/>
      <c r="I126" s="62"/>
      <c r="J126" s="42"/>
      <c r="K126" s="42"/>
      <c r="L126" s="63">
        <v>0</v>
      </c>
      <c r="M126" s="64"/>
      <c r="N126" s="62"/>
      <c r="O126" s="49" t="str">
        <f t="shared" si="2"/>
        <v>PLAN</v>
      </c>
      <c r="P126" s="61" t="s">
        <v>33</v>
      </c>
      <c r="Q126" s="62"/>
      <c r="R126" s="46"/>
      <c r="S126" s="2" t="str">
        <f t="shared" si="0"/>
        <v>01</v>
      </c>
      <c r="T126" s="2">
        <v>12</v>
      </c>
      <c r="U126" s="48" t="s">
        <v>91</v>
      </c>
      <c r="V126" s="2"/>
      <c r="W126" s="2" t="str">
        <f t="shared" si="3"/>
        <v>02</v>
      </c>
      <c r="X126" s="2"/>
      <c r="Y126" s="3"/>
      <c r="Z126" s="3"/>
      <c r="AA126" s="3"/>
      <c r="AB126" s="3"/>
      <c r="AC126" s="3"/>
      <c r="AD126" s="3"/>
      <c r="AE126" s="3"/>
      <c r="AF126" s="3"/>
      <c r="AG126" s="3"/>
      <c r="AH126" s="3"/>
      <c r="AI126" s="3"/>
      <c r="AJ126" s="3"/>
      <c r="AK126" s="3"/>
      <c r="AL126" s="3"/>
      <c r="AM126" s="3"/>
      <c r="AN126" s="3"/>
      <c r="AO126" s="3"/>
      <c r="AP126" s="3"/>
      <c r="AQ126" s="3"/>
      <c r="AR126" s="3"/>
      <c r="AS126" s="3"/>
      <c r="AT126" s="3"/>
      <c r="AU126" s="3"/>
    </row>
    <row r="127" spans="1:47" ht="14.25" customHeight="1" x14ac:dyDescent="0.3">
      <c r="A127" s="42"/>
      <c r="B127" s="42"/>
      <c r="C127" s="42"/>
      <c r="D127" s="61" t="s">
        <v>33</v>
      </c>
      <c r="E127" s="62"/>
      <c r="F127" s="61"/>
      <c r="G127" s="62"/>
      <c r="H127" s="61"/>
      <c r="I127" s="62"/>
      <c r="J127" s="42"/>
      <c r="K127" s="42"/>
      <c r="L127" s="63">
        <v>0</v>
      </c>
      <c r="M127" s="64"/>
      <c r="N127" s="62"/>
      <c r="O127" s="49" t="str">
        <f t="shared" si="2"/>
        <v>PLAN</v>
      </c>
      <c r="P127" s="61" t="s">
        <v>33</v>
      </c>
      <c r="Q127" s="62"/>
      <c r="R127" s="46"/>
      <c r="S127" s="2" t="str">
        <f t="shared" si="0"/>
        <v>01</v>
      </c>
      <c r="T127" s="2">
        <v>13</v>
      </c>
      <c r="U127" s="48" t="s">
        <v>91</v>
      </c>
      <c r="V127" s="2"/>
      <c r="W127" s="2" t="str">
        <f t="shared" si="3"/>
        <v>02</v>
      </c>
      <c r="X127" s="2"/>
      <c r="Y127" s="3"/>
      <c r="Z127" s="3"/>
      <c r="AA127" s="3"/>
      <c r="AB127" s="3"/>
      <c r="AC127" s="3"/>
      <c r="AD127" s="3"/>
      <c r="AE127" s="3"/>
      <c r="AF127" s="3"/>
      <c r="AG127" s="3"/>
      <c r="AH127" s="3"/>
      <c r="AI127" s="3"/>
      <c r="AJ127" s="3"/>
      <c r="AK127" s="3"/>
      <c r="AL127" s="3"/>
      <c r="AM127" s="3"/>
      <c r="AN127" s="3"/>
      <c r="AO127" s="3"/>
      <c r="AP127" s="3"/>
      <c r="AQ127" s="3"/>
      <c r="AR127" s="3"/>
      <c r="AS127" s="3"/>
      <c r="AT127" s="3"/>
      <c r="AU127" s="3"/>
    </row>
    <row r="128" spans="1:47" ht="14.25" customHeight="1" x14ac:dyDescent="0.3">
      <c r="A128" s="42"/>
      <c r="B128" s="42"/>
      <c r="C128" s="42"/>
      <c r="D128" s="61" t="s">
        <v>33</v>
      </c>
      <c r="E128" s="62"/>
      <c r="F128" s="61"/>
      <c r="G128" s="62"/>
      <c r="H128" s="61"/>
      <c r="I128" s="62"/>
      <c r="J128" s="42"/>
      <c r="K128" s="42"/>
      <c r="L128" s="63">
        <v>0</v>
      </c>
      <c r="M128" s="64"/>
      <c r="N128" s="62"/>
      <c r="O128" s="49" t="str">
        <f t="shared" si="2"/>
        <v>PLAN</v>
      </c>
      <c r="P128" s="61" t="s">
        <v>33</v>
      </c>
      <c r="Q128" s="62"/>
      <c r="R128" s="46"/>
      <c r="S128" s="2" t="str">
        <f t="shared" si="0"/>
        <v>01</v>
      </c>
      <c r="T128" s="2">
        <v>14</v>
      </c>
      <c r="U128" s="48" t="s">
        <v>91</v>
      </c>
      <c r="V128" s="2"/>
      <c r="W128" s="2" t="str">
        <f t="shared" si="3"/>
        <v>02</v>
      </c>
      <c r="X128" s="2"/>
      <c r="Y128" s="3"/>
      <c r="Z128" s="3"/>
      <c r="AA128" s="3"/>
      <c r="AB128" s="3"/>
      <c r="AC128" s="3"/>
      <c r="AD128" s="3"/>
      <c r="AE128" s="3"/>
      <c r="AF128" s="3"/>
      <c r="AG128" s="3"/>
      <c r="AH128" s="3"/>
      <c r="AI128" s="3"/>
      <c r="AJ128" s="3"/>
      <c r="AK128" s="3"/>
      <c r="AL128" s="3"/>
      <c r="AM128" s="3"/>
      <c r="AN128" s="3"/>
      <c r="AO128" s="3"/>
      <c r="AP128" s="3"/>
      <c r="AQ128" s="3"/>
      <c r="AR128" s="3"/>
      <c r="AS128" s="3"/>
      <c r="AT128" s="3"/>
      <c r="AU128" s="3"/>
    </row>
    <row r="129" spans="1:47" ht="14.25" customHeight="1" x14ac:dyDescent="0.3">
      <c r="A129" s="42"/>
      <c r="B129" s="42"/>
      <c r="C129" s="42"/>
      <c r="D129" s="61" t="s">
        <v>33</v>
      </c>
      <c r="E129" s="62"/>
      <c r="F129" s="61"/>
      <c r="G129" s="62"/>
      <c r="H129" s="61"/>
      <c r="I129" s="62"/>
      <c r="J129" s="42"/>
      <c r="K129" s="42"/>
      <c r="L129" s="63">
        <v>0</v>
      </c>
      <c r="M129" s="64"/>
      <c r="N129" s="62"/>
      <c r="O129" s="49" t="str">
        <f t="shared" si="2"/>
        <v>PLAN</v>
      </c>
      <c r="P129" s="61" t="s">
        <v>33</v>
      </c>
      <c r="Q129" s="62"/>
      <c r="R129" s="46"/>
      <c r="S129" s="2" t="str">
        <f t="shared" si="0"/>
        <v>01</v>
      </c>
      <c r="T129" s="2">
        <v>15</v>
      </c>
      <c r="U129" s="48" t="s">
        <v>91</v>
      </c>
      <c r="V129" s="2"/>
      <c r="W129" s="2" t="str">
        <f t="shared" si="3"/>
        <v>02</v>
      </c>
      <c r="X129" s="2"/>
      <c r="Y129" s="3"/>
      <c r="Z129" s="3"/>
      <c r="AA129" s="3"/>
      <c r="AB129" s="3"/>
      <c r="AC129" s="3"/>
      <c r="AD129" s="3"/>
      <c r="AE129" s="3"/>
      <c r="AF129" s="3"/>
      <c r="AG129" s="3"/>
      <c r="AH129" s="3"/>
      <c r="AI129" s="3"/>
      <c r="AJ129" s="3"/>
      <c r="AK129" s="3"/>
      <c r="AL129" s="3"/>
      <c r="AM129" s="3"/>
      <c r="AN129" s="3"/>
      <c r="AO129" s="3"/>
      <c r="AP129" s="3"/>
      <c r="AQ129" s="3"/>
      <c r="AR129" s="3"/>
      <c r="AS129" s="3"/>
      <c r="AT129" s="3"/>
      <c r="AU129" s="3"/>
    </row>
    <row r="130" spans="1:47" ht="14.25" customHeight="1" x14ac:dyDescent="0.3">
      <c r="A130" s="42"/>
      <c r="B130" s="42"/>
      <c r="C130" s="42"/>
      <c r="D130" s="61" t="s">
        <v>33</v>
      </c>
      <c r="E130" s="62"/>
      <c r="F130" s="61"/>
      <c r="G130" s="62"/>
      <c r="H130" s="61"/>
      <c r="I130" s="62"/>
      <c r="J130" s="42"/>
      <c r="K130" s="42"/>
      <c r="L130" s="63">
        <v>0</v>
      </c>
      <c r="M130" s="64"/>
      <c r="N130" s="62"/>
      <c r="O130" s="49" t="str">
        <f t="shared" si="2"/>
        <v>PLAN</v>
      </c>
      <c r="P130" s="61" t="s">
        <v>33</v>
      </c>
      <c r="Q130" s="62"/>
      <c r="R130" s="46"/>
      <c r="S130" s="2" t="str">
        <f t="shared" si="0"/>
        <v>01</v>
      </c>
      <c r="T130" s="2">
        <v>16</v>
      </c>
      <c r="U130" s="48" t="s">
        <v>91</v>
      </c>
      <c r="V130" s="2"/>
      <c r="W130" s="2" t="str">
        <f t="shared" si="3"/>
        <v>02</v>
      </c>
      <c r="X130" s="2"/>
      <c r="Y130" s="3"/>
      <c r="Z130" s="3"/>
      <c r="AA130" s="3"/>
      <c r="AB130" s="3"/>
      <c r="AC130" s="3"/>
      <c r="AD130" s="3"/>
      <c r="AE130" s="3"/>
      <c r="AF130" s="3"/>
      <c r="AG130" s="3"/>
      <c r="AH130" s="3"/>
      <c r="AI130" s="3"/>
      <c r="AJ130" s="3"/>
      <c r="AK130" s="3"/>
      <c r="AL130" s="3"/>
      <c r="AM130" s="3"/>
      <c r="AN130" s="3"/>
      <c r="AO130" s="3"/>
      <c r="AP130" s="3"/>
      <c r="AQ130" s="3"/>
      <c r="AR130" s="3"/>
      <c r="AS130" s="3"/>
      <c r="AT130" s="3"/>
      <c r="AU130" s="3"/>
    </row>
    <row r="131" spans="1:47" ht="14.25" customHeight="1" x14ac:dyDescent="0.3">
      <c r="A131" s="42"/>
      <c r="B131" s="42"/>
      <c r="C131" s="42"/>
      <c r="D131" s="61" t="s">
        <v>33</v>
      </c>
      <c r="E131" s="62"/>
      <c r="F131" s="61"/>
      <c r="G131" s="62"/>
      <c r="H131" s="61"/>
      <c r="I131" s="62"/>
      <c r="J131" s="42"/>
      <c r="K131" s="42"/>
      <c r="L131" s="63">
        <v>0</v>
      </c>
      <c r="M131" s="64"/>
      <c r="N131" s="62"/>
      <c r="O131" s="49" t="str">
        <f t="shared" si="2"/>
        <v>PLAN</v>
      </c>
      <c r="P131" s="61" t="s">
        <v>33</v>
      </c>
      <c r="Q131" s="62"/>
      <c r="R131" s="46"/>
      <c r="S131" s="2" t="str">
        <f t="shared" si="0"/>
        <v>01</v>
      </c>
      <c r="T131" s="2">
        <v>17</v>
      </c>
      <c r="U131" s="48" t="s">
        <v>91</v>
      </c>
      <c r="V131" s="2"/>
      <c r="W131" s="2" t="str">
        <f t="shared" si="3"/>
        <v>02</v>
      </c>
      <c r="X131" s="2"/>
      <c r="Y131" s="3"/>
      <c r="Z131" s="3"/>
      <c r="AA131" s="3"/>
      <c r="AB131" s="3"/>
      <c r="AC131" s="3"/>
      <c r="AD131" s="3"/>
      <c r="AE131" s="3"/>
      <c r="AF131" s="3"/>
      <c r="AG131" s="3"/>
      <c r="AH131" s="3"/>
      <c r="AI131" s="3"/>
      <c r="AJ131" s="3"/>
      <c r="AK131" s="3"/>
      <c r="AL131" s="3"/>
      <c r="AM131" s="3"/>
      <c r="AN131" s="3"/>
      <c r="AO131" s="3"/>
      <c r="AP131" s="3"/>
      <c r="AQ131" s="3"/>
      <c r="AR131" s="3"/>
      <c r="AS131" s="3"/>
      <c r="AT131" s="3"/>
      <c r="AU131" s="3"/>
    </row>
    <row r="132" spans="1:47" ht="14.25" customHeight="1" x14ac:dyDescent="0.3">
      <c r="A132" s="42"/>
      <c r="B132" s="42"/>
      <c r="C132" s="42"/>
      <c r="D132" s="61" t="s">
        <v>33</v>
      </c>
      <c r="E132" s="62"/>
      <c r="F132" s="61"/>
      <c r="G132" s="62"/>
      <c r="H132" s="61"/>
      <c r="I132" s="62"/>
      <c r="J132" s="42"/>
      <c r="K132" s="42"/>
      <c r="L132" s="63">
        <v>0</v>
      </c>
      <c r="M132" s="64"/>
      <c r="N132" s="62"/>
      <c r="O132" s="49" t="str">
        <f t="shared" si="2"/>
        <v>PLAN</v>
      </c>
      <c r="P132" s="61" t="s">
        <v>33</v>
      </c>
      <c r="Q132" s="62"/>
      <c r="R132" s="46"/>
      <c r="S132" s="2" t="str">
        <f t="shared" si="0"/>
        <v>01</v>
      </c>
      <c r="T132" s="2">
        <v>18</v>
      </c>
      <c r="U132" s="48" t="s">
        <v>91</v>
      </c>
      <c r="V132" s="2"/>
      <c r="W132" s="2" t="str">
        <f t="shared" si="3"/>
        <v>02</v>
      </c>
      <c r="X132" s="2"/>
      <c r="Y132" s="3"/>
      <c r="Z132" s="3"/>
      <c r="AA132" s="3"/>
      <c r="AB132" s="3"/>
      <c r="AC132" s="3"/>
      <c r="AD132" s="3"/>
      <c r="AE132" s="3"/>
      <c r="AF132" s="3"/>
      <c r="AG132" s="3"/>
      <c r="AH132" s="3"/>
      <c r="AI132" s="3"/>
      <c r="AJ132" s="3"/>
      <c r="AK132" s="3"/>
      <c r="AL132" s="3"/>
      <c r="AM132" s="3"/>
      <c r="AN132" s="3"/>
      <c r="AO132" s="3"/>
      <c r="AP132" s="3"/>
      <c r="AQ132" s="3"/>
      <c r="AR132" s="3"/>
      <c r="AS132" s="3"/>
      <c r="AT132" s="3"/>
      <c r="AU132" s="3"/>
    </row>
    <row r="133" spans="1:47" ht="14.25" customHeight="1" x14ac:dyDescent="0.3">
      <c r="A133" s="42"/>
      <c r="B133" s="42"/>
      <c r="C133" s="42"/>
      <c r="D133" s="61" t="s">
        <v>33</v>
      </c>
      <c r="E133" s="62"/>
      <c r="F133" s="61"/>
      <c r="G133" s="62"/>
      <c r="H133" s="61"/>
      <c r="I133" s="62"/>
      <c r="J133" s="42"/>
      <c r="K133" s="42"/>
      <c r="L133" s="63">
        <v>0</v>
      </c>
      <c r="M133" s="64"/>
      <c r="N133" s="62"/>
      <c r="O133" s="49" t="str">
        <f t="shared" si="2"/>
        <v>PLAN</v>
      </c>
      <c r="P133" s="61" t="s">
        <v>33</v>
      </c>
      <c r="Q133" s="62"/>
      <c r="R133" s="46"/>
      <c r="S133" s="2" t="str">
        <f t="shared" si="0"/>
        <v>01</v>
      </c>
      <c r="T133" s="2">
        <v>19</v>
      </c>
      <c r="U133" s="48" t="s">
        <v>91</v>
      </c>
      <c r="V133" s="2"/>
      <c r="W133" s="2" t="str">
        <f t="shared" si="3"/>
        <v>02</v>
      </c>
      <c r="X133" s="2"/>
      <c r="Y133" s="3"/>
      <c r="Z133" s="3"/>
      <c r="AA133" s="3"/>
      <c r="AB133" s="3"/>
      <c r="AC133" s="3"/>
      <c r="AD133" s="3"/>
      <c r="AE133" s="3"/>
      <c r="AF133" s="3"/>
      <c r="AG133" s="3"/>
      <c r="AH133" s="3"/>
      <c r="AI133" s="3"/>
      <c r="AJ133" s="3"/>
      <c r="AK133" s="3"/>
      <c r="AL133" s="3"/>
      <c r="AM133" s="3"/>
      <c r="AN133" s="3"/>
      <c r="AO133" s="3"/>
      <c r="AP133" s="3"/>
      <c r="AQ133" s="3"/>
      <c r="AR133" s="3"/>
      <c r="AS133" s="3"/>
      <c r="AT133" s="3"/>
      <c r="AU133" s="3"/>
    </row>
    <row r="134" spans="1:47" ht="14.25" customHeight="1" x14ac:dyDescent="0.3">
      <c r="A134" s="42"/>
      <c r="B134" s="42"/>
      <c r="C134" s="42"/>
      <c r="D134" s="61" t="s">
        <v>33</v>
      </c>
      <c r="E134" s="62"/>
      <c r="F134" s="61"/>
      <c r="G134" s="62"/>
      <c r="H134" s="61"/>
      <c r="I134" s="62"/>
      <c r="J134" s="42"/>
      <c r="K134" s="42"/>
      <c r="L134" s="63">
        <v>0</v>
      </c>
      <c r="M134" s="64"/>
      <c r="N134" s="62"/>
      <c r="O134" s="49" t="str">
        <f t="shared" si="2"/>
        <v>PLAN</v>
      </c>
      <c r="P134" s="61" t="s">
        <v>33</v>
      </c>
      <c r="Q134" s="62"/>
      <c r="R134" s="46"/>
      <c r="S134" s="2" t="str">
        <f t="shared" si="0"/>
        <v>01</v>
      </c>
      <c r="T134" s="2">
        <v>20</v>
      </c>
      <c r="U134" s="48" t="s">
        <v>91</v>
      </c>
      <c r="V134" s="2"/>
      <c r="W134" s="2" t="str">
        <f t="shared" si="3"/>
        <v>02</v>
      </c>
      <c r="X134" s="2"/>
      <c r="Y134" s="3"/>
      <c r="Z134" s="3"/>
      <c r="AA134" s="3"/>
      <c r="AB134" s="3"/>
      <c r="AC134" s="3"/>
      <c r="AD134" s="3"/>
      <c r="AE134" s="3"/>
      <c r="AF134" s="3"/>
      <c r="AG134" s="3"/>
      <c r="AH134" s="3"/>
      <c r="AI134" s="3"/>
      <c r="AJ134" s="3"/>
      <c r="AK134" s="3"/>
      <c r="AL134" s="3"/>
      <c r="AM134" s="3"/>
      <c r="AN134" s="3"/>
      <c r="AO134" s="3"/>
      <c r="AP134" s="3"/>
      <c r="AQ134" s="3"/>
      <c r="AR134" s="3"/>
      <c r="AS134" s="3"/>
      <c r="AT134" s="3"/>
      <c r="AU134" s="3"/>
    </row>
    <row r="135" spans="1:47" ht="14.25" customHeight="1" x14ac:dyDescent="0.3">
      <c r="A135" s="42"/>
      <c r="B135" s="42"/>
      <c r="C135" s="42"/>
      <c r="D135" s="61" t="s">
        <v>33</v>
      </c>
      <c r="E135" s="62"/>
      <c r="F135" s="61"/>
      <c r="G135" s="62"/>
      <c r="H135" s="61"/>
      <c r="I135" s="62"/>
      <c r="J135" s="42"/>
      <c r="K135" s="42"/>
      <c r="L135" s="63">
        <v>0</v>
      </c>
      <c r="M135" s="64"/>
      <c r="N135" s="62"/>
      <c r="O135" s="49" t="str">
        <f t="shared" si="2"/>
        <v>PLAN</v>
      </c>
      <c r="P135" s="61" t="s">
        <v>33</v>
      </c>
      <c r="Q135" s="62"/>
      <c r="R135" s="46"/>
      <c r="S135" s="2" t="str">
        <f t="shared" si="0"/>
        <v>01</v>
      </c>
      <c r="T135" s="2">
        <v>21</v>
      </c>
      <c r="U135" s="48" t="s">
        <v>91</v>
      </c>
      <c r="V135" s="2"/>
      <c r="W135" s="2" t="str">
        <f t="shared" si="3"/>
        <v>02</v>
      </c>
      <c r="X135" s="2"/>
      <c r="Y135" s="3"/>
      <c r="Z135" s="3"/>
      <c r="AA135" s="3"/>
      <c r="AB135" s="3"/>
      <c r="AC135" s="3"/>
      <c r="AD135" s="3"/>
      <c r="AE135" s="3"/>
      <c r="AF135" s="3"/>
      <c r="AG135" s="3"/>
      <c r="AH135" s="3"/>
      <c r="AI135" s="3"/>
      <c r="AJ135" s="3"/>
      <c r="AK135" s="3"/>
      <c r="AL135" s="3"/>
      <c r="AM135" s="3"/>
      <c r="AN135" s="3"/>
      <c r="AO135" s="3"/>
      <c r="AP135" s="3"/>
      <c r="AQ135" s="3"/>
      <c r="AR135" s="3"/>
      <c r="AS135" s="3"/>
      <c r="AT135" s="3"/>
      <c r="AU135" s="3"/>
    </row>
    <row r="136" spans="1:47" ht="14.25" customHeight="1" x14ac:dyDescent="0.3">
      <c r="A136" s="42"/>
      <c r="B136" s="42"/>
      <c r="C136" s="42"/>
      <c r="D136" s="61" t="s">
        <v>33</v>
      </c>
      <c r="E136" s="62"/>
      <c r="F136" s="61"/>
      <c r="G136" s="62"/>
      <c r="H136" s="61"/>
      <c r="I136" s="62"/>
      <c r="J136" s="42"/>
      <c r="K136" s="42"/>
      <c r="L136" s="63">
        <v>0</v>
      </c>
      <c r="M136" s="64"/>
      <c r="N136" s="62"/>
      <c r="O136" s="49" t="str">
        <f t="shared" si="2"/>
        <v>PLAN</v>
      </c>
      <c r="P136" s="61" t="s">
        <v>33</v>
      </c>
      <c r="Q136" s="62"/>
      <c r="R136" s="46"/>
      <c r="S136" s="2" t="str">
        <f t="shared" si="0"/>
        <v>01</v>
      </c>
      <c r="T136" s="2">
        <v>22</v>
      </c>
      <c r="U136" s="48" t="s">
        <v>91</v>
      </c>
      <c r="V136" s="2"/>
      <c r="W136" s="2" t="str">
        <f t="shared" si="3"/>
        <v>02</v>
      </c>
      <c r="X136" s="2"/>
      <c r="Y136" s="3"/>
      <c r="Z136" s="3"/>
      <c r="AA136" s="3"/>
      <c r="AB136" s="3"/>
      <c r="AC136" s="3"/>
      <c r="AD136" s="3"/>
      <c r="AE136" s="3"/>
      <c r="AF136" s="3"/>
      <c r="AG136" s="3"/>
      <c r="AH136" s="3"/>
      <c r="AI136" s="3"/>
      <c r="AJ136" s="3"/>
      <c r="AK136" s="3"/>
      <c r="AL136" s="3"/>
      <c r="AM136" s="3"/>
      <c r="AN136" s="3"/>
      <c r="AO136" s="3"/>
      <c r="AP136" s="3"/>
      <c r="AQ136" s="3"/>
      <c r="AR136" s="3"/>
      <c r="AS136" s="3"/>
      <c r="AT136" s="3"/>
      <c r="AU136" s="3"/>
    </row>
    <row r="137" spans="1:47" ht="14.25" customHeight="1" x14ac:dyDescent="0.3">
      <c r="A137" s="42"/>
      <c r="B137" s="42"/>
      <c r="C137" s="42"/>
      <c r="D137" s="61" t="s">
        <v>33</v>
      </c>
      <c r="E137" s="62"/>
      <c r="F137" s="61"/>
      <c r="G137" s="62"/>
      <c r="H137" s="61"/>
      <c r="I137" s="62"/>
      <c r="J137" s="42"/>
      <c r="K137" s="42"/>
      <c r="L137" s="63">
        <v>0</v>
      </c>
      <c r="M137" s="64"/>
      <c r="N137" s="62"/>
      <c r="O137" s="49" t="str">
        <f t="shared" si="2"/>
        <v>PLAN</v>
      </c>
      <c r="P137" s="61" t="s">
        <v>33</v>
      </c>
      <c r="Q137" s="62"/>
      <c r="R137" s="46"/>
      <c r="S137" s="2" t="str">
        <f t="shared" si="0"/>
        <v>01</v>
      </c>
      <c r="T137" s="2">
        <v>23</v>
      </c>
      <c r="U137" s="48" t="s">
        <v>91</v>
      </c>
      <c r="V137" s="2"/>
      <c r="W137" s="2" t="str">
        <f t="shared" si="3"/>
        <v>02</v>
      </c>
      <c r="X137" s="2"/>
      <c r="Y137" s="3"/>
      <c r="Z137" s="3"/>
      <c r="AA137" s="3"/>
      <c r="AB137" s="3"/>
      <c r="AC137" s="3"/>
      <c r="AD137" s="3"/>
      <c r="AE137" s="3"/>
      <c r="AF137" s="3"/>
      <c r="AG137" s="3"/>
      <c r="AH137" s="3"/>
      <c r="AI137" s="3"/>
      <c r="AJ137" s="3"/>
      <c r="AK137" s="3"/>
      <c r="AL137" s="3"/>
      <c r="AM137" s="3"/>
      <c r="AN137" s="3"/>
      <c r="AO137" s="3"/>
      <c r="AP137" s="3"/>
      <c r="AQ137" s="3"/>
      <c r="AR137" s="3"/>
      <c r="AS137" s="3"/>
      <c r="AT137" s="3"/>
      <c r="AU137" s="3"/>
    </row>
    <row r="138" spans="1:47" ht="14.25" customHeight="1" x14ac:dyDescent="0.3">
      <c r="A138" s="42"/>
      <c r="B138" s="42"/>
      <c r="C138" s="42"/>
      <c r="D138" s="61" t="s">
        <v>33</v>
      </c>
      <c r="E138" s="62"/>
      <c r="F138" s="61"/>
      <c r="G138" s="62"/>
      <c r="H138" s="61"/>
      <c r="I138" s="62"/>
      <c r="J138" s="42"/>
      <c r="K138" s="42"/>
      <c r="L138" s="63">
        <v>0</v>
      </c>
      <c r="M138" s="64"/>
      <c r="N138" s="62"/>
      <c r="O138" s="49" t="str">
        <f t="shared" si="2"/>
        <v>PLAN</v>
      </c>
      <c r="P138" s="61" t="s">
        <v>33</v>
      </c>
      <c r="Q138" s="62"/>
      <c r="R138" s="46"/>
      <c r="S138" s="2" t="str">
        <f t="shared" si="0"/>
        <v>01</v>
      </c>
      <c r="T138" s="2">
        <v>24</v>
      </c>
      <c r="U138" s="48" t="s">
        <v>91</v>
      </c>
      <c r="V138" s="2"/>
      <c r="W138" s="2" t="str">
        <f t="shared" si="3"/>
        <v>02</v>
      </c>
      <c r="X138" s="2"/>
      <c r="Y138" s="3"/>
      <c r="Z138" s="3"/>
      <c r="AA138" s="3"/>
      <c r="AB138" s="3"/>
      <c r="AC138" s="3"/>
      <c r="AD138" s="3"/>
      <c r="AE138" s="3"/>
      <c r="AF138" s="3"/>
      <c r="AG138" s="3"/>
      <c r="AH138" s="3"/>
      <c r="AI138" s="3"/>
      <c r="AJ138" s="3"/>
      <c r="AK138" s="3"/>
      <c r="AL138" s="3"/>
      <c r="AM138" s="3"/>
      <c r="AN138" s="3"/>
      <c r="AO138" s="3"/>
      <c r="AP138" s="3"/>
      <c r="AQ138" s="3"/>
      <c r="AR138" s="3"/>
      <c r="AS138" s="3"/>
      <c r="AT138" s="3"/>
      <c r="AU138" s="3"/>
    </row>
    <row r="139" spans="1:47" ht="14.25" customHeight="1" x14ac:dyDescent="0.3">
      <c r="A139" s="42"/>
      <c r="B139" s="42"/>
      <c r="C139" s="42"/>
      <c r="D139" s="61" t="s">
        <v>33</v>
      </c>
      <c r="E139" s="62"/>
      <c r="F139" s="61"/>
      <c r="G139" s="62"/>
      <c r="H139" s="61"/>
      <c r="I139" s="62"/>
      <c r="J139" s="42"/>
      <c r="K139" s="42"/>
      <c r="L139" s="63">
        <v>0</v>
      </c>
      <c r="M139" s="64"/>
      <c r="N139" s="62"/>
      <c r="O139" s="49" t="str">
        <f t="shared" si="2"/>
        <v>PLAN</v>
      </c>
      <c r="P139" s="61" t="s">
        <v>33</v>
      </c>
      <c r="Q139" s="62"/>
      <c r="R139" s="46"/>
      <c r="S139" s="2" t="str">
        <f t="shared" si="0"/>
        <v>01</v>
      </c>
      <c r="T139" s="2">
        <v>25</v>
      </c>
      <c r="U139" s="48" t="s">
        <v>91</v>
      </c>
      <c r="V139" s="2"/>
      <c r="W139" s="2" t="str">
        <f t="shared" si="3"/>
        <v>02</v>
      </c>
      <c r="X139" s="2"/>
      <c r="Y139" s="3"/>
      <c r="Z139" s="3"/>
      <c r="AA139" s="3"/>
      <c r="AB139" s="3"/>
      <c r="AC139" s="3"/>
      <c r="AD139" s="3"/>
      <c r="AE139" s="3"/>
      <c r="AF139" s="3"/>
      <c r="AG139" s="3"/>
      <c r="AH139" s="3"/>
      <c r="AI139" s="3"/>
      <c r="AJ139" s="3"/>
      <c r="AK139" s="3"/>
      <c r="AL139" s="3"/>
      <c r="AM139" s="3"/>
      <c r="AN139" s="3"/>
      <c r="AO139" s="3"/>
      <c r="AP139" s="3"/>
      <c r="AQ139" s="3"/>
      <c r="AR139" s="3"/>
      <c r="AS139" s="3"/>
      <c r="AT139" s="3"/>
      <c r="AU139" s="3"/>
    </row>
    <row r="140" spans="1:47" ht="14.25" customHeight="1" x14ac:dyDescent="0.3">
      <c r="A140" s="42"/>
      <c r="B140" s="42"/>
      <c r="C140" s="42"/>
      <c r="D140" s="61" t="s">
        <v>33</v>
      </c>
      <c r="E140" s="62"/>
      <c r="F140" s="61"/>
      <c r="G140" s="62"/>
      <c r="H140" s="61"/>
      <c r="I140" s="62"/>
      <c r="J140" s="42"/>
      <c r="K140" s="42"/>
      <c r="L140" s="63">
        <v>0</v>
      </c>
      <c r="M140" s="64"/>
      <c r="N140" s="62"/>
      <c r="O140" s="49" t="str">
        <f t="shared" si="2"/>
        <v>PLAN</v>
      </c>
      <c r="P140" s="61" t="s">
        <v>33</v>
      </c>
      <c r="Q140" s="62"/>
      <c r="R140" s="46"/>
      <c r="S140" s="2" t="str">
        <f t="shared" si="0"/>
        <v>01</v>
      </c>
      <c r="T140" s="2">
        <v>26</v>
      </c>
      <c r="U140" s="48" t="s">
        <v>91</v>
      </c>
      <c r="V140" s="2"/>
      <c r="W140" s="2" t="str">
        <f t="shared" si="3"/>
        <v>02</v>
      </c>
      <c r="X140" s="2"/>
      <c r="Y140" s="3"/>
      <c r="Z140" s="3"/>
      <c r="AA140" s="3"/>
      <c r="AB140" s="3"/>
      <c r="AC140" s="3"/>
      <c r="AD140" s="3"/>
      <c r="AE140" s="3"/>
      <c r="AF140" s="3"/>
      <c r="AG140" s="3"/>
      <c r="AH140" s="3"/>
      <c r="AI140" s="3"/>
      <c r="AJ140" s="3"/>
      <c r="AK140" s="3"/>
      <c r="AL140" s="3"/>
      <c r="AM140" s="3"/>
      <c r="AN140" s="3"/>
      <c r="AO140" s="3"/>
      <c r="AP140" s="3"/>
      <c r="AQ140" s="3"/>
      <c r="AR140" s="3"/>
      <c r="AS140" s="3"/>
      <c r="AT140" s="3"/>
      <c r="AU140" s="3"/>
    </row>
    <row r="141" spans="1:47" ht="14.25" customHeight="1" x14ac:dyDescent="0.3">
      <c r="A141" s="42"/>
      <c r="B141" s="42"/>
      <c r="C141" s="42"/>
      <c r="D141" s="61" t="s">
        <v>33</v>
      </c>
      <c r="E141" s="62"/>
      <c r="F141" s="61"/>
      <c r="G141" s="62"/>
      <c r="H141" s="61"/>
      <c r="I141" s="62"/>
      <c r="J141" s="42"/>
      <c r="K141" s="42"/>
      <c r="L141" s="63">
        <v>0</v>
      </c>
      <c r="M141" s="64"/>
      <c r="N141" s="62"/>
      <c r="O141" s="49" t="str">
        <f t="shared" si="2"/>
        <v>PLAN</v>
      </c>
      <c r="P141" s="61" t="s">
        <v>33</v>
      </c>
      <c r="Q141" s="62"/>
      <c r="R141" s="46"/>
      <c r="S141" s="2" t="str">
        <f t="shared" si="0"/>
        <v>01</v>
      </c>
      <c r="T141" s="2">
        <v>27</v>
      </c>
      <c r="U141" s="48" t="s">
        <v>91</v>
      </c>
      <c r="V141" s="2"/>
      <c r="W141" s="2" t="str">
        <f t="shared" si="3"/>
        <v>02</v>
      </c>
      <c r="X141" s="2"/>
      <c r="Y141" s="3"/>
      <c r="Z141" s="3"/>
      <c r="AA141" s="3"/>
      <c r="AB141" s="3"/>
      <c r="AC141" s="3"/>
      <c r="AD141" s="3"/>
      <c r="AE141" s="3"/>
      <c r="AF141" s="3"/>
      <c r="AG141" s="3"/>
      <c r="AH141" s="3"/>
      <c r="AI141" s="3"/>
      <c r="AJ141" s="3"/>
      <c r="AK141" s="3"/>
      <c r="AL141" s="3"/>
      <c r="AM141" s="3"/>
      <c r="AN141" s="3"/>
      <c r="AO141" s="3"/>
      <c r="AP141" s="3"/>
      <c r="AQ141" s="3"/>
      <c r="AR141" s="3"/>
      <c r="AS141" s="3"/>
      <c r="AT141" s="3"/>
      <c r="AU141" s="3"/>
    </row>
    <row r="142" spans="1:47" ht="14.25" customHeight="1" x14ac:dyDescent="0.3">
      <c r="A142" s="42"/>
      <c r="B142" s="42"/>
      <c r="C142" s="42"/>
      <c r="D142" s="61" t="s">
        <v>33</v>
      </c>
      <c r="E142" s="62"/>
      <c r="F142" s="61"/>
      <c r="G142" s="62"/>
      <c r="H142" s="61"/>
      <c r="I142" s="62"/>
      <c r="J142" s="42"/>
      <c r="K142" s="42"/>
      <c r="L142" s="63">
        <v>0</v>
      </c>
      <c r="M142" s="64"/>
      <c r="N142" s="62"/>
      <c r="O142" s="49" t="str">
        <f t="shared" si="2"/>
        <v>PLAN</v>
      </c>
      <c r="P142" s="61" t="s">
        <v>33</v>
      </c>
      <c r="Q142" s="62"/>
      <c r="R142" s="46"/>
      <c r="S142" s="2" t="str">
        <f t="shared" si="0"/>
        <v>01</v>
      </c>
      <c r="T142" s="2">
        <v>28</v>
      </c>
      <c r="U142" s="48" t="s">
        <v>91</v>
      </c>
      <c r="V142" s="2"/>
      <c r="W142" s="2" t="str">
        <f t="shared" si="3"/>
        <v>02</v>
      </c>
      <c r="X142" s="2"/>
      <c r="Y142" s="3"/>
      <c r="Z142" s="3"/>
      <c r="AA142" s="3"/>
      <c r="AB142" s="3"/>
      <c r="AC142" s="3"/>
      <c r="AD142" s="3"/>
      <c r="AE142" s="3"/>
      <c r="AF142" s="3"/>
      <c r="AG142" s="3"/>
      <c r="AH142" s="3"/>
      <c r="AI142" s="3"/>
      <c r="AJ142" s="3"/>
      <c r="AK142" s="3"/>
      <c r="AL142" s="3"/>
      <c r="AM142" s="3"/>
      <c r="AN142" s="3"/>
      <c r="AO142" s="3"/>
      <c r="AP142" s="3"/>
      <c r="AQ142" s="3"/>
      <c r="AR142" s="3"/>
      <c r="AS142" s="3"/>
      <c r="AT142" s="3"/>
      <c r="AU142" s="3"/>
    </row>
    <row r="143" spans="1:47" ht="14.25" customHeight="1" x14ac:dyDescent="0.3">
      <c r="A143" s="42"/>
      <c r="B143" s="42"/>
      <c r="C143" s="42"/>
      <c r="D143" s="61" t="s">
        <v>33</v>
      </c>
      <c r="E143" s="62"/>
      <c r="F143" s="61"/>
      <c r="G143" s="62"/>
      <c r="H143" s="61"/>
      <c r="I143" s="62"/>
      <c r="J143" s="42"/>
      <c r="K143" s="42"/>
      <c r="L143" s="63">
        <v>0</v>
      </c>
      <c r="M143" s="64"/>
      <c r="N143" s="62"/>
      <c r="O143" s="49" t="str">
        <f t="shared" si="2"/>
        <v>PLAN</v>
      </c>
      <c r="P143" s="61" t="s">
        <v>33</v>
      </c>
      <c r="Q143" s="62"/>
      <c r="R143" s="46"/>
      <c r="S143" s="2" t="str">
        <f t="shared" si="0"/>
        <v>01</v>
      </c>
      <c r="T143" s="2">
        <v>29</v>
      </c>
      <c r="U143" s="48" t="s">
        <v>91</v>
      </c>
      <c r="V143" s="2"/>
      <c r="W143" s="2" t="str">
        <f t="shared" si="3"/>
        <v>02</v>
      </c>
      <c r="X143" s="2"/>
      <c r="Y143" s="3"/>
      <c r="Z143" s="3"/>
      <c r="AA143" s="3"/>
      <c r="AB143" s="3"/>
      <c r="AC143" s="3"/>
      <c r="AD143" s="3"/>
      <c r="AE143" s="3"/>
      <c r="AF143" s="3"/>
      <c r="AG143" s="3"/>
      <c r="AH143" s="3"/>
      <c r="AI143" s="3"/>
      <c r="AJ143" s="3"/>
      <c r="AK143" s="3"/>
      <c r="AL143" s="3"/>
      <c r="AM143" s="3"/>
      <c r="AN143" s="3"/>
      <c r="AO143" s="3"/>
      <c r="AP143" s="3"/>
      <c r="AQ143" s="3"/>
      <c r="AR143" s="3"/>
      <c r="AS143" s="3"/>
      <c r="AT143" s="3"/>
      <c r="AU143" s="3"/>
    </row>
    <row r="144" spans="1:47" ht="14.25" customHeight="1" x14ac:dyDescent="0.3">
      <c r="A144" s="42"/>
      <c r="B144" s="42"/>
      <c r="C144" s="42"/>
      <c r="D144" s="61" t="s">
        <v>33</v>
      </c>
      <c r="E144" s="62"/>
      <c r="F144" s="61"/>
      <c r="G144" s="62"/>
      <c r="H144" s="61"/>
      <c r="I144" s="62"/>
      <c r="J144" s="42"/>
      <c r="K144" s="42"/>
      <c r="L144" s="63">
        <v>0</v>
      </c>
      <c r="M144" s="64"/>
      <c r="N144" s="62"/>
      <c r="O144" s="49" t="str">
        <f t="shared" si="2"/>
        <v>PLAN</v>
      </c>
      <c r="P144" s="61" t="s">
        <v>33</v>
      </c>
      <c r="Q144" s="62"/>
      <c r="R144" s="46"/>
      <c r="S144" s="2" t="str">
        <f t="shared" si="0"/>
        <v>01</v>
      </c>
      <c r="T144" s="2">
        <v>30</v>
      </c>
      <c r="U144" s="48" t="s">
        <v>91</v>
      </c>
      <c r="V144" s="2"/>
      <c r="W144" s="2" t="str">
        <f t="shared" si="3"/>
        <v>02</v>
      </c>
      <c r="X144" s="2"/>
      <c r="Y144" s="3"/>
      <c r="Z144" s="3"/>
      <c r="AA144" s="3"/>
      <c r="AB144" s="3"/>
      <c r="AC144" s="3"/>
      <c r="AD144" s="3"/>
      <c r="AE144" s="3"/>
      <c r="AF144" s="3"/>
      <c r="AG144" s="3"/>
      <c r="AH144" s="3"/>
      <c r="AI144" s="3"/>
      <c r="AJ144" s="3"/>
      <c r="AK144" s="3"/>
      <c r="AL144" s="3"/>
      <c r="AM144" s="3"/>
      <c r="AN144" s="3"/>
      <c r="AO144" s="3"/>
      <c r="AP144" s="3"/>
      <c r="AQ144" s="3"/>
      <c r="AR144" s="3"/>
      <c r="AS144" s="3"/>
      <c r="AT144" s="3"/>
      <c r="AU144" s="3"/>
    </row>
    <row r="145" spans="1:47" ht="14.25" customHeight="1" x14ac:dyDescent="0.3">
      <c r="A145" s="42"/>
      <c r="B145" s="42"/>
      <c r="C145" s="42"/>
      <c r="D145" s="61" t="s">
        <v>33</v>
      </c>
      <c r="E145" s="62"/>
      <c r="F145" s="61"/>
      <c r="G145" s="62"/>
      <c r="H145" s="61"/>
      <c r="I145" s="62"/>
      <c r="J145" s="42"/>
      <c r="K145" s="42"/>
      <c r="L145" s="63">
        <v>0</v>
      </c>
      <c r="M145" s="64"/>
      <c r="N145" s="62"/>
      <c r="O145" s="49" t="str">
        <f t="shared" si="2"/>
        <v>PLAN</v>
      </c>
      <c r="P145" s="61" t="s">
        <v>33</v>
      </c>
      <c r="Q145" s="62"/>
      <c r="R145" s="46"/>
      <c r="S145" s="2" t="str">
        <f t="shared" si="0"/>
        <v>01</v>
      </c>
      <c r="T145" s="2">
        <v>31</v>
      </c>
      <c r="U145" s="48" t="s">
        <v>91</v>
      </c>
      <c r="V145" s="2"/>
      <c r="W145" s="2" t="str">
        <f t="shared" si="3"/>
        <v>02</v>
      </c>
      <c r="X145" s="2"/>
      <c r="Y145" s="3"/>
      <c r="Z145" s="3"/>
      <c r="AA145" s="3"/>
      <c r="AB145" s="3"/>
      <c r="AC145" s="3"/>
      <c r="AD145" s="3"/>
      <c r="AE145" s="3"/>
      <c r="AF145" s="3"/>
      <c r="AG145" s="3"/>
      <c r="AH145" s="3"/>
      <c r="AI145" s="3"/>
      <c r="AJ145" s="3"/>
      <c r="AK145" s="3"/>
      <c r="AL145" s="3"/>
      <c r="AM145" s="3"/>
      <c r="AN145" s="3"/>
      <c r="AO145" s="3"/>
      <c r="AP145" s="3"/>
      <c r="AQ145" s="3"/>
      <c r="AR145" s="3"/>
      <c r="AS145" s="3"/>
      <c r="AT145" s="3"/>
      <c r="AU145" s="3"/>
    </row>
    <row r="146" spans="1:47" ht="14.25" customHeight="1" x14ac:dyDescent="0.3">
      <c r="A146" s="42"/>
      <c r="B146" s="42"/>
      <c r="C146" s="42"/>
      <c r="D146" s="61" t="s">
        <v>33</v>
      </c>
      <c r="E146" s="62"/>
      <c r="F146" s="61"/>
      <c r="G146" s="62"/>
      <c r="H146" s="61"/>
      <c r="I146" s="62"/>
      <c r="J146" s="42"/>
      <c r="K146" s="42"/>
      <c r="L146" s="63">
        <v>0</v>
      </c>
      <c r="M146" s="64"/>
      <c r="N146" s="62"/>
      <c r="O146" s="49" t="str">
        <f t="shared" si="2"/>
        <v>PLAN</v>
      </c>
      <c r="P146" s="61" t="s">
        <v>33</v>
      </c>
      <c r="Q146" s="62"/>
      <c r="R146" s="46"/>
      <c r="S146" s="2" t="str">
        <f t="shared" si="0"/>
        <v>01</v>
      </c>
      <c r="T146" s="2">
        <v>32</v>
      </c>
      <c r="U146" s="48" t="s">
        <v>91</v>
      </c>
      <c r="V146" s="2"/>
      <c r="W146" s="2" t="str">
        <f t="shared" si="3"/>
        <v>02</v>
      </c>
      <c r="X146" s="2"/>
      <c r="Y146" s="3"/>
      <c r="Z146" s="3"/>
      <c r="AA146" s="3"/>
      <c r="AB146" s="3"/>
      <c r="AC146" s="3"/>
      <c r="AD146" s="3"/>
      <c r="AE146" s="3"/>
      <c r="AF146" s="3"/>
      <c r="AG146" s="3"/>
      <c r="AH146" s="3"/>
      <c r="AI146" s="3"/>
      <c r="AJ146" s="3"/>
      <c r="AK146" s="3"/>
      <c r="AL146" s="3"/>
      <c r="AM146" s="3"/>
      <c r="AN146" s="3"/>
      <c r="AO146" s="3"/>
      <c r="AP146" s="3"/>
      <c r="AQ146" s="3"/>
      <c r="AR146" s="3"/>
      <c r="AS146" s="3"/>
      <c r="AT146" s="3"/>
      <c r="AU146" s="3"/>
    </row>
    <row r="147" spans="1:47" ht="14.25" customHeight="1" x14ac:dyDescent="0.3">
      <c r="A147" s="42"/>
      <c r="B147" s="42"/>
      <c r="C147" s="42"/>
      <c r="D147" s="61" t="s">
        <v>33</v>
      </c>
      <c r="E147" s="62"/>
      <c r="F147" s="61"/>
      <c r="G147" s="62"/>
      <c r="H147" s="61"/>
      <c r="I147" s="62"/>
      <c r="J147" s="42"/>
      <c r="K147" s="42"/>
      <c r="L147" s="63">
        <v>0</v>
      </c>
      <c r="M147" s="64"/>
      <c r="N147" s="62"/>
      <c r="O147" s="49" t="str">
        <f t="shared" si="2"/>
        <v>PLAN</v>
      </c>
      <c r="P147" s="61" t="s">
        <v>33</v>
      </c>
      <c r="Q147" s="62"/>
      <c r="R147" s="46"/>
      <c r="S147" s="2" t="str">
        <f t="shared" si="0"/>
        <v>01</v>
      </c>
      <c r="T147" s="2">
        <v>33</v>
      </c>
      <c r="U147" s="48" t="s">
        <v>91</v>
      </c>
      <c r="V147" s="2"/>
      <c r="W147" s="2" t="str">
        <f t="shared" si="3"/>
        <v>02</v>
      </c>
      <c r="X147" s="2"/>
      <c r="Y147" s="3"/>
      <c r="Z147" s="3"/>
      <c r="AA147" s="3"/>
      <c r="AB147" s="3"/>
      <c r="AC147" s="3"/>
      <c r="AD147" s="3"/>
      <c r="AE147" s="3"/>
      <c r="AF147" s="3"/>
      <c r="AG147" s="3"/>
      <c r="AH147" s="3"/>
      <c r="AI147" s="3"/>
      <c r="AJ147" s="3"/>
      <c r="AK147" s="3"/>
      <c r="AL147" s="3"/>
      <c r="AM147" s="3"/>
      <c r="AN147" s="3"/>
      <c r="AO147" s="3"/>
      <c r="AP147" s="3"/>
      <c r="AQ147" s="3"/>
      <c r="AR147" s="3"/>
      <c r="AS147" s="3"/>
      <c r="AT147" s="3"/>
      <c r="AU147" s="3"/>
    </row>
    <row r="148" spans="1:47" ht="14.25" customHeight="1" x14ac:dyDescent="0.3">
      <c r="A148" s="42"/>
      <c r="B148" s="42"/>
      <c r="C148" s="42"/>
      <c r="D148" s="61" t="s">
        <v>33</v>
      </c>
      <c r="E148" s="62"/>
      <c r="F148" s="61"/>
      <c r="G148" s="62"/>
      <c r="H148" s="61"/>
      <c r="I148" s="62"/>
      <c r="J148" s="42"/>
      <c r="K148" s="42"/>
      <c r="L148" s="63">
        <v>0</v>
      </c>
      <c r="M148" s="64"/>
      <c r="N148" s="62"/>
      <c r="O148" s="49" t="str">
        <f t="shared" si="2"/>
        <v>PLAN</v>
      </c>
      <c r="P148" s="61" t="s">
        <v>33</v>
      </c>
      <c r="Q148" s="62"/>
      <c r="R148" s="46"/>
      <c r="S148" s="2" t="str">
        <f t="shared" si="0"/>
        <v>01</v>
      </c>
      <c r="T148" s="2">
        <v>34</v>
      </c>
      <c r="U148" s="48" t="s">
        <v>91</v>
      </c>
      <c r="V148" s="2"/>
      <c r="W148" s="2" t="str">
        <f t="shared" si="3"/>
        <v>02</v>
      </c>
      <c r="X148" s="2"/>
      <c r="Y148" s="3"/>
      <c r="Z148" s="3"/>
      <c r="AA148" s="3"/>
      <c r="AB148" s="3"/>
      <c r="AC148" s="3"/>
      <c r="AD148" s="3"/>
      <c r="AE148" s="3"/>
      <c r="AF148" s="3"/>
      <c r="AG148" s="3"/>
      <c r="AH148" s="3"/>
      <c r="AI148" s="3"/>
      <c r="AJ148" s="3"/>
      <c r="AK148" s="3"/>
      <c r="AL148" s="3"/>
      <c r="AM148" s="3"/>
      <c r="AN148" s="3"/>
      <c r="AO148" s="3"/>
      <c r="AP148" s="3"/>
      <c r="AQ148" s="3"/>
      <c r="AR148" s="3"/>
      <c r="AS148" s="3"/>
      <c r="AT148" s="3"/>
      <c r="AU148" s="3"/>
    </row>
    <row r="149" spans="1:47" ht="14.25" customHeight="1" x14ac:dyDescent="0.3">
      <c r="A149" s="42"/>
      <c r="B149" s="42"/>
      <c r="C149" s="42"/>
      <c r="D149" s="61" t="s">
        <v>33</v>
      </c>
      <c r="E149" s="62"/>
      <c r="F149" s="61"/>
      <c r="G149" s="62"/>
      <c r="H149" s="61"/>
      <c r="I149" s="62"/>
      <c r="J149" s="42"/>
      <c r="K149" s="42"/>
      <c r="L149" s="63">
        <v>0</v>
      </c>
      <c r="M149" s="64"/>
      <c r="N149" s="62"/>
      <c r="O149" s="49" t="str">
        <f t="shared" si="2"/>
        <v>PLAN</v>
      </c>
      <c r="P149" s="61" t="s">
        <v>33</v>
      </c>
      <c r="Q149" s="62"/>
      <c r="R149" s="46"/>
      <c r="S149" s="2" t="str">
        <f t="shared" si="0"/>
        <v>01</v>
      </c>
      <c r="T149" s="2">
        <v>35</v>
      </c>
      <c r="U149" s="48" t="s">
        <v>91</v>
      </c>
      <c r="V149" s="2"/>
      <c r="W149" s="2" t="str">
        <f t="shared" si="3"/>
        <v>02</v>
      </c>
      <c r="X149" s="2"/>
      <c r="Y149" s="3"/>
      <c r="Z149" s="3"/>
      <c r="AA149" s="3"/>
      <c r="AB149" s="3"/>
      <c r="AC149" s="3"/>
      <c r="AD149" s="3"/>
      <c r="AE149" s="3"/>
      <c r="AF149" s="3"/>
      <c r="AG149" s="3"/>
      <c r="AH149" s="3"/>
      <c r="AI149" s="3"/>
      <c r="AJ149" s="3"/>
      <c r="AK149" s="3"/>
      <c r="AL149" s="3"/>
      <c r="AM149" s="3"/>
      <c r="AN149" s="3"/>
      <c r="AO149" s="3"/>
      <c r="AP149" s="3"/>
      <c r="AQ149" s="3"/>
      <c r="AR149" s="3"/>
      <c r="AS149" s="3"/>
      <c r="AT149" s="3"/>
      <c r="AU149" s="3"/>
    </row>
    <row r="150" spans="1:47" ht="14.25" customHeight="1" x14ac:dyDescent="0.3">
      <c r="A150" s="42"/>
      <c r="B150" s="42"/>
      <c r="C150" s="42"/>
      <c r="D150" s="61" t="s">
        <v>33</v>
      </c>
      <c r="E150" s="62"/>
      <c r="F150" s="61"/>
      <c r="G150" s="62"/>
      <c r="H150" s="61"/>
      <c r="I150" s="62"/>
      <c r="J150" s="42"/>
      <c r="K150" s="42"/>
      <c r="L150" s="63">
        <v>0</v>
      </c>
      <c r="M150" s="64"/>
      <c r="N150" s="62"/>
      <c r="O150" s="49" t="str">
        <f t="shared" si="2"/>
        <v>PLAN</v>
      </c>
      <c r="P150" s="61" t="s">
        <v>33</v>
      </c>
      <c r="Q150" s="62"/>
      <c r="R150" s="46"/>
      <c r="S150" s="2" t="str">
        <f t="shared" si="0"/>
        <v>01</v>
      </c>
      <c r="T150" s="2">
        <v>36</v>
      </c>
      <c r="U150" s="48" t="s">
        <v>91</v>
      </c>
      <c r="V150" s="2"/>
      <c r="W150" s="2" t="str">
        <f t="shared" si="3"/>
        <v>02</v>
      </c>
      <c r="X150" s="2"/>
      <c r="Y150" s="3"/>
      <c r="Z150" s="3"/>
      <c r="AA150" s="3"/>
      <c r="AB150" s="3"/>
      <c r="AC150" s="3"/>
      <c r="AD150" s="3"/>
      <c r="AE150" s="3"/>
      <c r="AF150" s="3"/>
      <c r="AG150" s="3"/>
      <c r="AH150" s="3"/>
      <c r="AI150" s="3"/>
      <c r="AJ150" s="3"/>
      <c r="AK150" s="3"/>
      <c r="AL150" s="3"/>
      <c r="AM150" s="3"/>
      <c r="AN150" s="3"/>
      <c r="AO150" s="3"/>
      <c r="AP150" s="3"/>
      <c r="AQ150" s="3"/>
      <c r="AR150" s="3"/>
      <c r="AS150" s="3"/>
      <c r="AT150" s="3"/>
      <c r="AU150" s="3"/>
    </row>
    <row r="151" spans="1:47" ht="14.25" customHeight="1" x14ac:dyDescent="0.3">
      <c r="A151" s="42"/>
      <c r="B151" s="42"/>
      <c r="C151" s="42"/>
      <c r="D151" s="61" t="s">
        <v>33</v>
      </c>
      <c r="E151" s="62"/>
      <c r="F151" s="61"/>
      <c r="G151" s="62"/>
      <c r="H151" s="61"/>
      <c r="I151" s="62"/>
      <c r="J151" s="42"/>
      <c r="K151" s="42"/>
      <c r="L151" s="63">
        <v>0</v>
      </c>
      <c r="M151" s="64"/>
      <c r="N151" s="62"/>
      <c r="O151" s="49" t="str">
        <f t="shared" si="2"/>
        <v>PLAN</v>
      </c>
      <c r="P151" s="61" t="s">
        <v>33</v>
      </c>
      <c r="Q151" s="62"/>
      <c r="R151" s="46"/>
      <c r="S151" s="2" t="str">
        <f t="shared" si="0"/>
        <v>01</v>
      </c>
      <c r="T151" s="2">
        <v>37</v>
      </c>
      <c r="U151" s="48" t="s">
        <v>91</v>
      </c>
      <c r="V151" s="2"/>
      <c r="W151" s="2" t="str">
        <f t="shared" si="3"/>
        <v>02</v>
      </c>
      <c r="X151" s="2"/>
      <c r="Y151" s="3"/>
      <c r="Z151" s="3"/>
      <c r="AA151" s="3"/>
      <c r="AB151" s="3"/>
      <c r="AC151" s="3"/>
      <c r="AD151" s="3"/>
      <c r="AE151" s="3"/>
      <c r="AF151" s="3"/>
      <c r="AG151" s="3"/>
      <c r="AH151" s="3"/>
      <c r="AI151" s="3"/>
      <c r="AJ151" s="3"/>
      <c r="AK151" s="3"/>
      <c r="AL151" s="3"/>
      <c r="AM151" s="3"/>
      <c r="AN151" s="3"/>
      <c r="AO151" s="3"/>
      <c r="AP151" s="3"/>
      <c r="AQ151" s="3"/>
      <c r="AR151" s="3"/>
      <c r="AS151" s="3"/>
      <c r="AT151" s="3"/>
      <c r="AU151" s="3"/>
    </row>
    <row r="152" spans="1:47" ht="14.25" customHeight="1" x14ac:dyDescent="0.3">
      <c r="A152" s="42"/>
      <c r="B152" s="42"/>
      <c r="C152" s="42"/>
      <c r="D152" s="61" t="s">
        <v>33</v>
      </c>
      <c r="E152" s="62"/>
      <c r="F152" s="61"/>
      <c r="G152" s="62"/>
      <c r="H152" s="61"/>
      <c r="I152" s="62"/>
      <c r="J152" s="42"/>
      <c r="K152" s="42"/>
      <c r="L152" s="63">
        <v>0</v>
      </c>
      <c r="M152" s="64"/>
      <c r="N152" s="62"/>
      <c r="O152" s="49" t="str">
        <f t="shared" si="2"/>
        <v>PLAN</v>
      </c>
      <c r="P152" s="61" t="s">
        <v>33</v>
      </c>
      <c r="Q152" s="62"/>
      <c r="R152" s="46"/>
      <c r="S152" s="2" t="str">
        <f t="shared" si="0"/>
        <v>01</v>
      </c>
      <c r="T152" s="2">
        <v>38</v>
      </c>
      <c r="U152" s="48" t="s">
        <v>91</v>
      </c>
      <c r="V152" s="2"/>
      <c r="W152" s="2" t="str">
        <f t="shared" si="3"/>
        <v>02</v>
      </c>
      <c r="X152" s="2"/>
      <c r="Y152" s="3"/>
      <c r="Z152" s="3"/>
      <c r="AA152" s="3"/>
      <c r="AB152" s="3"/>
      <c r="AC152" s="3"/>
      <c r="AD152" s="3"/>
      <c r="AE152" s="3"/>
      <c r="AF152" s="3"/>
      <c r="AG152" s="3"/>
      <c r="AH152" s="3"/>
      <c r="AI152" s="3"/>
      <c r="AJ152" s="3"/>
      <c r="AK152" s="3"/>
      <c r="AL152" s="3"/>
      <c r="AM152" s="3"/>
      <c r="AN152" s="3"/>
      <c r="AO152" s="3"/>
      <c r="AP152" s="3"/>
      <c r="AQ152" s="3"/>
      <c r="AR152" s="3"/>
      <c r="AS152" s="3"/>
      <c r="AT152" s="3"/>
      <c r="AU152" s="3"/>
    </row>
    <row r="153" spans="1:47" ht="14.25" customHeight="1" x14ac:dyDescent="0.3">
      <c r="A153" s="42"/>
      <c r="B153" s="42"/>
      <c r="C153" s="42"/>
      <c r="D153" s="61" t="s">
        <v>33</v>
      </c>
      <c r="E153" s="62"/>
      <c r="F153" s="61"/>
      <c r="G153" s="62"/>
      <c r="H153" s="61"/>
      <c r="I153" s="62"/>
      <c r="J153" s="42"/>
      <c r="K153" s="42"/>
      <c r="L153" s="63">
        <v>0</v>
      </c>
      <c r="M153" s="64"/>
      <c r="N153" s="62"/>
      <c r="O153" s="49" t="str">
        <f t="shared" si="2"/>
        <v>PLAN</v>
      </c>
      <c r="P153" s="61" t="s">
        <v>33</v>
      </c>
      <c r="Q153" s="62"/>
      <c r="R153" s="46"/>
      <c r="S153" s="2" t="str">
        <f t="shared" si="0"/>
        <v>01</v>
      </c>
      <c r="T153" s="2">
        <v>39</v>
      </c>
      <c r="U153" s="48" t="s">
        <v>91</v>
      </c>
      <c r="V153" s="2"/>
      <c r="W153" s="2" t="str">
        <f t="shared" si="3"/>
        <v>02</v>
      </c>
      <c r="X153" s="2"/>
      <c r="Y153" s="3"/>
      <c r="Z153" s="3"/>
      <c r="AA153" s="3"/>
      <c r="AB153" s="3"/>
      <c r="AC153" s="3"/>
      <c r="AD153" s="3"/>
      <c r="AE153" s="3"/>
      <c r="AF153" s="3"/>
      <c r="AG153" s="3"/>
      <c r="AH153" s="3"/>
      <c r="AI153" s="3"/>
      <c r="AJ153" s="3"/>
      <c r="AK153" s="3"/>
      <c r="AL153" s="3"/>
      <c r="AM153" s="3"/>
      <c r="AN153" s="3"/>
      <c r="AO153" s="3"/>
      <c r="AP153" s="3"/>
      <c r="AQ153" s="3"/>
      <c r="AR153" s="3"/>
      <c r="AS153" s="3"/>
      <c r="AT153" s="3"/>
      <c r="AU153" s="3"/>
    </row>
    <row r="154" spans="1:47" ht="14.25" customHeight="1" x14ac:dyDescent="0.3">
      <c r="A154" s="42"/>
      <c r="B154" s="42"/>
      <c r="C154" s="42"/>
      <c r="D154" s="61" t="s">
        <v>33</v>
      </c>
      <c r="E154" s="62"/>
      <c r="F154" s="61"/>
      <c r="G154" s="62"/>
      <c r="H154" s="61"/>
      <c r="I154" s="62"/>
      <c r="J154" s="42"/>
      <c r="K154" s="42"/>
      <c r="L154" s="63">
        <v>0</v>
      </c>
      <c r="M154" s="64"/>
      <c r="N154" s="62"/>
      <c r="O154" s="49" t="str">
        <f t="shared" si="2"/>
        <v>PLAN</v>
      </c>
      <c r="P154" s="61" t="s">
        <v>33</v>
      </c>
      <c r="Q154" s="62"/>
      <c r="R154" s="46"/>
      <c r="S154" s="2" t="str">
        <f t="shared" si="0"/>
        <v>01</v>
      </c>
      <c r="T154" s="2">
        <v>40</v>
      </c>
      <c r="U154" s="48" t="s">
        <v>91</v>
      </c>
      <c r="V154" s="2"/>
      <c r="W154" s="2" t="str">
        <f t="shared" si="3"/>
        <v>02</v>
      </c>
      <c r="X154" s="2"/>
      <c r="Y154" s="3"/>
      <c r="Z154" s="3"/>
      <c r="AA154" s="3"/>
      <c r="AB154" s="3"/>
      <c r="AC154" s="3"/>
      <c r="AD154" s="3"/>
      <c r="AE154" s="3"/>
      <c r="AF154" s="3"/>
      <c r="AG154" s="3"/>
      <c r="AH154" s="3"/>
      <c r="AI154" s="3"/>
      <c r="AJ154" s="3"/>
      <c r="AK154" s="3"/>
      <c r="AL154" s="3"/>
      <c r="AM154" s="3"/>
      <c r="AN154" s="3"/>
      <c r="AO154" s="3"/>
      <c r="AP154" s="3"/>
      <c r="AQ154" s="3"/>
      <c r="AR154" s="3"/>
      <c r="AS154" s="3"/>
      <c r="AT154" s="3"/>
      <c r="AU154" s="3"/>
    </row>
    <row r="155" spans="1:47" ht="14.25" customHeight="1" x14ac:dyDescent="0.3">
      <c r="A155" s="42"/>
      <c r="B155" s="42"/>
      <c r="C155" s="42"/>
      <c r="D155" s="61" t="s">
        <v>33</v>
      </c>
      <c r="E155" s="62"/>
      <c r="F155" s="61"/>
      <c r="G155" s="62"/>
      <c r="H155" s="61"/>
      <c r="I155" s="62"/>
      <c r="J155" s="42"/>
      <c r="K155" s="42"/>
      <c r="L155" s="63">
        <v>0</v>
      </c>
      <c r="M155" s="64"/>
      <c r="N155" s="62"/>
      <c r="O155" s="49" t="str">
        <f t="shared" si="2"/>
        <v>PLAN</v>
      </c>
      <c r="P155" s="61" t="s">
        <v>33</v>
      </c>
      <c r="Q155" s="62"/>
      <c r="R155" s="46"/>
      <c r="S155" s="2" t="str">
        <f t="shared" si="0"/>
        <v>01</v>
      </c>
      <c r="T155" s="2">
        <v>41</v>
      </c>
      <c r="U155" s="48" t="s">
        <v>91</v>
      </c>
      <c r="V155" s="2"/>
      <c r="W155" s="2" t="str">
        <f t="shared" si="3"/>
        <v>02</v>
      </c>
      <c r="X155" s="2"/>
      <c r="Y155" s="3"/>
      <c r="Z155" s="3"/>
      <c r="AA155" s="3"/>
      <c r="AB155" s="3"/>
      <c r="AC155" s="3"/>
      <c r="AD155" s="3"/>
      <c r="AE155" s="3"/>
      <c r="AF155" s="3"/>
      <c r="AG155" s="3"/>
      <c r="AH155" s="3"/>
      <c r="AI155" s="3"/>
      <c r="AJ155" s="3"/>
      <c r="AK155" s="3"/>
      <c r="AL155" s="3"/>
      <c r="AM155" s="3"/>
      <c r="AN155" s="3"/>
      <c r="AO155" s="3"/>
      <c r="AP155" s="3"/>
      <c r="AQ155" s="3"/>
      <c r="AR155" s="3"/>
      <c r="AS155" s="3"/>
      <c r="AT155" s="3"/>
      <c r="AU155" s="3"/>
    </row>
    <row r="156" spans="1:47" ht="14.25" customHeight="1" x14ac:dyDescent="0.3">
      <c r="A156" s="42"/>
      <c r="B156" s="42"/>
      <c r="C156" s="42"/>
      <c r="D156" s="61" t="s">
        <v>33</v>
      </c>
      <c r="E156" s="62"/>
      <c r="F156" s="61"/>
      <c r="G156" s="62"/>
      <c r="H156" s="61"/>
      <c r="I156" s="62"/>
      <c r="J156" s="42"/>
      <c r="K156" s="42"/>
      <c r="L156" s="63">
        <v>0</v>
      </c>
      <c r="M156" s="64"/>
      <c r="N156" s="62"/>
      <c r="O156" s="49" t="str">
        <f t="shared" si="2"/>
        <v>PLAN</v>
      </c>
      <c r="P156" s="61" t="s">
        <v>33</v>
      </c>
      <c r="Q156" s="62"/>
      <c r="R156" s="46"/>
      <c r="S156" s="2" t="str">
        <f t="shared" si="0"/>
        <v>01</v>
      </c>
      <c r="T156" s="2">
        <v>42</v>
      </c>
      <c r="U156" s="48" t="s">
        <v>91</v>
      </c>
      <c r="V156" s="2"/>
      <c r="W156" s="2" t="str">
        <f t="shared" si="3"/>
        <v>02</v>
      </c>
      <c r="X156" s="2"/>
      <c r="Y156" s="3"/>
      <c r="Z156" s="3"/>
      <c r="AA156" s="3"/>
      <c r="AB156" s="3"/>
      <c r="AC156" s="3"/>
      <c r="AD156" s="3"/>
      <c r="AE156" s="3"/>
      <c r="AF156" s="3"/>
      <c r="AG156" s="3"/>
      <c r="AH156" s="3"/>
      <c r="AI156" s="3"/>
      <c r="AJ156" s="3"/>
      <c r="AK156" s="3"/>
      <c r="AL156" s="3"/>
      <c r="AM156" s="3"/>
      <c r="AN156" s="3"/>
      <c r="AO156" s="3"/>
      <c r="AP156" s="3"/>
      <c r="AQ156" s="3"/>
      <c r="AR156" s="3"/>
      <c r="AS156" s="3"/>
      <c r="AT156" s="3"/>
      <c r="AU156" s="3"/>
    </row>
    <row r="157" spans="1:47" ht="14.25" customHeight="1" x14ac:dyDescent="0.3">
      <c r="A157" s="42"/>
      <c r="B157" s="42"/>
      <c r="C157" s="42"/>
      <c r="D157" s="61" t="s">
        <v>33</v>
      </c>
      <c r="E157" s="62"/>
      <c r="F157" s="61"/>
      <c r="G157" s="62"/>
      <c r="H157" s="61"/>
      <c r="I157" s="62"/>
      <c r="J157" s="42"/>
      <c r="K157" s="42"/>
      <c r="L157" s="63">
        <v>0</v>
      </c>
      <c r="M157" s="64"/>
      <c r="N157" s="62"/>
      <c r="O157" s="49" t="str">
        <f t="shared" si="2"/>
        <v>PLAN</v>
      </c>
      <c r="P157" s="61" t="s">
        <v>33</v>
      </c>
      <c r="Q157" s="62"/>
      <c r="R157" s="46"/>
      <c r="S157" s="2" t="str">
        <f t="shared" si="0"/>
        <v>01</v>
      </c>
      <c r="T157" s="2">
        <v>43</v>
      </c>
      <c r="U157" s="48" t="s">
        <v>91</v>
      </c>
      <c r="V157" s="2"/>
      <c r="W157" s="2" t="str">
        <f t="shared" si="3"/>
        <v>02</v>
      </c>
      <c r="X157" s="2"/>
      <c r="Y157" s="3"/>
      <c r="Z157" s="3"/>
      <c r="AA157" s="3"/>
      <c r="AB157" s="3"/>
      <c r="AC157" s="3"/>
      <c r="AD157" s="3"/>
      <c r="AE157" s="3"/>
      <c r="AF157" s="3"/>
      <c r="AG157" s="3"/>
      <c r="AH157" s="3"/>
      <c r="AI157" s="3"/>
      <c r="AJ157" s="3"/>
      <c r="AK157" s="3"/>
      <c r="AL157" s="3"/>
      <c r="AM157" s="3"/>
      <c r="AN157" s="3"/>
      <c r="AO157" s="3"/>
      <c r="AP157" s="3"/>
      <c r="AQ157" s="3"/>
      <c r="AR157" s="3"/>
      <c r="AS157" s="3"/>
      <c r="AT157" s="3"/>
      <c r="AU157" s="3"/>
    </row>
    <row r="158" spans="1:47" ht="14.25" customHeight="1" x14ac:dyDescent="0.3">
      <c r="A158" s="42"/>
      <c r="B158" s="42"/>
      <c r="C158" s="42"/>
      <c r="D158" s="61" t="s">
        <v>33</v>
      </c>
      <c r="E158" s="62"/>
      <c r="F158" s="61"/>
      <c r="G158" s="62"/>
      <c r="H158" s="61"/>
      <c r="I158" s="62"/>
      <c r="J158" s="42"/>
      <c r="K158" s="42"/>
      <c r="L158" s="63">
        <v>0</v>
      </c>
      <c r="M158" s="64"/>
      <c r="N158" s="62"/>
      <c r="O158" s="49" t="str">
        <f t="shared" si="2"/>
        <v>PLAN</v>
      </c>
      <c r="P158" s="61" t="s">
        <v>33</v>
      </c>
      <c r="Q158" s="62"/>
      <c r="R158" s="46"/>
      <c r="S158" s="2" t="str">
        <f t="shared" si="0"/>
        <v>01</v>
      </c>
      <c r="T158" s="2">
        <v>44</v>
      </c>
      <c r="U158" s="48" t="s">
        <v>91</v>
      </c>
      <c r="V158" s="2"/>
      <c r="W158" s="2" t="str">
        <f t="shared" si="3"/>
        <v>02</v>
      </c>
      <c r="X158" s="2"/>
      <c r="Y158" s="3"/>
      <c r="Z158" s="3"/>
      <c r="AA158" s="3"/>
      <c r="AB158" s="3"/>
      <c r="AC158" s="3"/>
      <c r="AD158" s="3"/>
      <c r="AE158" s="3"/>
      <c r="AF158" s="3"/>
      <c r="AG158" s="3"/>
      <c r="AH158" s="3"/>
      <c r="AI158" s="3"/>
      <c r="AJ158" s="3"/>
      <c r="AK158" s="3"/>
      <c r="AL158" s="3"/>
      <c r="AM158" s="3"/>
      <c r="AN158" s="3"/>
      <c r="AO158" s="3"/>
      <c r="AP158" s="3"/>
      <c r="AQ158" s="3"/>
      <c r="AR158" s="3"/>
      <c r="AS158" s="3"/>
      <c r="AT158" s="3"/>
      <c r="AU158" s="3"/>
    </row>
    <row r="159" spans="1:47" ht="14.25" customHeight="1" x14ac:dyDescent="0.3">
      <c r="A159" s="42"/>
      <c r="B159" s="42"/>
      <c r="C159" s="42"/>
      <c r="D159" s="61" t="s">
        <v>33</v>
      </c>
      <c r="E159" s="62"/>
      <c r="F159" s="61"/>
      <c r="G159" s="62"/>
      <c r="H159" s="61"/>
      <c r="I159" s="62"/>
      <c r="J159" s="42"/>
      <c r="K159" s="42"/>
      <c r="L159" s="63">
        <v>0</v>
      </c>
      <c r="M159" s="64"/>
      <c r="N159" s="62"/>
      <c r="O159" s="49" t="str">
        <f t="shared" si="2"/>
        <v>PLAN</v>
      </c>
      <c r="P159" s="61" t="s">
        <v>33</v>
      </c>
      <c r="Q159" s="62"/>
      <c r="R159" s="46"/>
      <c r="S159" s="2" t="str">
        <f t="shared" si="0"/>
        <v>01</v>
      </c>
      <c r="T159" s="2">
        <v>45</v>
      </c>
      <c r="U159" s="48" t="s">
        <v>91</v>
      </c>
      <c r="V159" s="2"/>
      <c r="W159" s="2" t="str">
        <f t="shared" si="3"/>
        <v>02</v>
      </c>
      <c r="X159" s="2"/>
      <c r="Y159" s="3"/>
      <c r="Z159" s="3"/>
      <c r="AA159" s="3"/>
      <c r="AB159" s="3"/>
      <c r="AC159" s="3"/>
      <c r="AD159" s="3"/>
      <c r="AE159" s="3"/>
      <c r="AF159" s="3"/>
      <c r="AG159" s="3"/>
      <c r="AH159" s="3"/>
      <c r="AI159" s="3"/>
      <c r="AJ159" s="3"/>
      <c r="AK159" s="3"/>
      <c r="AL159" s="3"/>
      <c r="AM159" s="3"/>
      <c r="AN159" s="3"/>
      <c r="AO159" s="3"/>
      <c r="AP159" s="3"/>
      <c r="AQ159" s="3"/>
      <c r="AR159" s="3"/>
      <c r="AS159" s="3"/>
      <c r="AT159" s="3"/>
      <c r="AU159" s="3"/>
    </row>
    <row r="160" spans="1:47" ht="14.25" customHeight="1" x14ac:dyDescent="0.3">
      <c r="A160" s="42"/>
      <c r="B160" s="42"/>
      <c r="C160" s="42"/>
      <c r="D160" s="61" t="s">
        <v>33</v>
      </c>
      <c r="E160" s="62"/>
      <c r="F160" s="61"/>
      <c r="G160" s="62"/>
      <c r="H160" s="61"/>
      <c r="I160" s="62"/>
      <c r="J160" s="42"/>
      <c r="K160" s="42"/>
      <c r="L160" s="63">
        <v>0</v>
      </c>
      <c r="M160" s="64"/>
      <c r="N160" s="62"/>
      <c r="O160" s="49" t="str">
        <f t="shared" si="2"/>
        <v>PLAN</v>
      </c>
      <c r="P160" s="61" t="s">
        <v>33</v>
      </c>
      <c r="Q160" s="62"/>
      <c r="R160" s="46"/>
      <c r="S160" s="2" t="str">
        <f t="shared" si="0"/>
        <v>01</v>
      </c>
      <c r="T160" s="2">
        <v>46</v>
      </c>
      <c r="U160" s="48" t="s">
        <v>91</v>
      </c>
      <c r="V160" s="2"/>
      <c r="W160" s="2" t="str">
        <f t="shared" si="3"/>
        <v>02</v>
      </c>
      <c r="X160" s="2"/>
      <c r="Y160" s="3"/>
      <c r="Z160" s="3"/>
      <c r="AA160" s="3"/>
      <c r="AB160" s="3"/>
      <c r="AC160" s="3"/>
      <c r="AD160" s="3"/>
      <c r="AE160" s="3"/>
      <c r="AF160" s="3"/>
      <c r="AG160" s="3"/>
      <c r="AH160" s="3"/>
      <c r="AI160" s="3"/>
      <c r="AJ160" s="3"/>
      <c r="AK160" s="3"/>
      <c r="AL160" s="3"/>
      <c r="AM160" s="3"/>
      <c r="AN160" s="3"/>
      <c r="AO160" s="3"/>
      <c r="AP160" s="3"/>
      <c r="AQ160" s="3"/>
      <c r="AR160" s="3"/>
      <c r="AS160" s="3"/>
      <c r="AT160" s="3"/>
      <c r="AU160" s="3"/>
    </row>
    <row r="161" spans="1:47" ht="14.25" customHeight="1" x14ac:dyDescent="0.3">
      <c r="A161" s="42"/>
      <c r="B161" s="42"/>
      <c r="C161" s="42"/>
      <c r="D161" s="61" t="s">
        <v>33</v>
      </c>
      <c r="E161" s="62"/>
      <c r="F161" s="61"/>
      <c r="G161" s="62"/>
      <c r="H161" s="61"/>
      <c r="I161" s="62"/>
      <c r="J161" s="42"/>
      <c r="K161" s="42"/>
      <c r="L161" s="63">
        <v>0</v>
      </c>
      <c r="M161" s="64"/>
      <c r="N161" s="62"/>
      <c r="O161" s="49" t="str">
        <f t="shared" si="2"/>
        <v>PLAN</v>
      </c>
      <c r="P161" s="61" t="s">
        <v>33</v>
      </c>
      <c r="Q161" s="62"/>
      <c r="R161" s="46"/>
      <c r="S161" s="2" t="str">
        <f t="shared" si="0"/>
        <v>01</v>
      </c>
      <c r="T161" s="2">
        <v>47</v>
      </c>
      <c r="U161" s="48" t="s">
        <v>91</v>
      </c>
      <c r="V161" s="2"/>
      <c r="W161" s="2" t="str">
        <f t="shared" si="3"/>
        <v>02</v>
      </c>
      <c r="X161" s="2"/>
      <c r="Y161" s="3"/>
      <c r="Z161" s="3"/>
      <c r="AA161" s="3"/>
      <c r="AB161" s="3"/>
      <c r="AC161" s="3"/>
      <c r="AD161" s="3"/>
      <c r="AE161" s="3"/>
      <c r="AF161" s="3"/>
      <c r="AG161" s="3"/>
      <c r="AH161" s="3"/>
      <c r="AI161" s="3"/>
      <c r="AJ161" s="3"/>
      <c r="AK161" s="3"/>
      <c r="AL161" s="3"/>
      <c r="AM161" s="3"/>
      <c r="AN161" s="3"/>
      <c r="AO161" s="3"/>
      <c r="AP161" s="3"/>
      <c r="AQ161" s="3"/>
      <c r="AR161" s="3"/>
      <c r="AS161" s="3"/>
      <c r="AT161" s="3"/>
      <c r="AU161" s="3"/>
    </row>
    <row r="162" spans="1:47" ht="14.25" customHeight="1" x14ac:dyDescent="0.3">
      <c r="A162" s="42"/>
      <c r="B162" s="42"/>
      <c r="C162" s="42"/>
      <c r="D162" s="61" t="s">
        <v>33</v>
      </c>
      <c r="E162" s="62"/>
      <c r="F162" s="61"/>
      <c r="G162" s="62"/>
      <c r="H162" s="61"/>
      <c r="I162" s="62"/>
      <c r="J162" s="42"/>
      <c r="K162" s="42"/>
      <c r="L162" s="63">
        <v>0</v>
      </c>
      <c r="M162" s="64"/>
      <c r="N162" s="62"/>
      <c r="O162" s="49" t="str">
        <f t="shared" si="2"/>
        <v>PLAN</v>
      </c>
      <c r="P162" s="61" t="s">
        <v>33</v>
      </c>
      <c r="Q162" s="62"/>
      <c r="R162" s="46"/>
      <c r="S162" s="2" t="str">
        <f t="shared" si="0"/>
        <v>01</v>
      </c>
      <c r="T162" s="2">
        <v>48</v>
      </c>
      <c r="U162" s="48" t="s">
        <v>91</v>
      </c>
      <c r="V162" s="2"/>
      <c r="W162" s="2" t="str">
        <f t="shared" si="3"/>
        <v>02</v>
      </c>
      <c r="X162" s="2"/>
      <c r="Y162" s="3"/>
      <c r="Z162" s="3"/>
      <c r="AA162" s="3"/>
      <c r="AB162" s="3"/>
      <c r="AC162" s="3"/>
      <c r="AD162" s="3"/>
      <c r="AE162" s="3"/>
      <c r="AF162" s="3"/>
      <c r="AG162" s="3"/>
      <c r="AH162" s="3"/>
      <c r="AI162" s="3"/>
      <c r="AJ162" s="3"/>
      <c r="AK162" s="3"/>
      <c r="AL162" s="3"/>
      <c r="AM162" s="3"/>
      <c r="AN162" s="3"/>
      <c r="AO162" s="3"/>
      <c r="AP162" s="3"/>
      <c r="AQ162" s="3"/>
      <c r="AR162" s="3"/>
      <c r="AS162" s="3"/>
      <c r="AT162" s="3"/>
      <c r="AU162" s="3"/>
    </row>
    <row r="163" spans="1:47" ht="14.25" customHeight="1" x14ac:dyDescent="0.3">
      <c r="A163" s="42"/>
      <c r="B163" s="42"/>
      <c r="C163" s="42"/>
      <c r="D163" s="61" t="s">
        <v>33</v>
      </c>
      <c r="E163" s="62"/>
      <c r="F163" s="61"/>
      <c r="G163" s="62"/>
      <c r="H163" s="61"/>
      <c r="I163" s="62"/>
      <c r="J163" s="42"/>
      <c r="K163" s="42"/>
      <c r="L163" s="63">
        <v>0</v>
      </c>
      <c r="M163" s="64"/>
      <c r="N163" s="62"/>
      <c r="O163" s="49" t="str">
        <f t="shared" si="2"/>
        <v>PLAN</v>
      </c>
      <c r="P163" s="61" t="s">
        <v>33</v>
      </c>
      <c r="Q163" s="62"/>
      <c r="R163" s="46"/>
      <c r="S163" s="2" t="str">
        <f t="shared" si="0"/>
        <v>01</v>
      </c>
      <c r="T163" s="2">
        <v>49</v>
      </c>
      <c r="U163" s="48" t="s">
        <v>91</v>
      </c>
      <c r="V163" s="2"/>
      <c r="W163" s="2" t="str">
        <f t="shared" si="3"/>
        <v>02</v>
      </c>
      <c r="X163" s="2"/>
      <c r="Y163" s="3"/>
      <c r="Z163" s="3"/>
      <c r="AA163" s="3"/>
      <c r="AB163" s="3"/>
      <c r="AC163" s="3"/>
      <c r="AD163" s="3"/>
      <c r="AE163" s="3"/>
      <c r="AF163" s="3"/>
      <c r="AG163" s="3"/>
      <c r="AH163" s="3"/>
      <c r="AI163" s="3"/>
      <c r="AJ163" s="3"/>
      <c r="AK163" s="3"/>
      <c r="AL163" s="3"/>
      <c r="AM163" s="3"/>
      <c r="AN163" s="3"/>
      <c r="AO163" s="3"/>
      <c r="AP163" s="3"/>
      <c r="AQ163" s="3"/>
      <c r="AR163" s="3"/>
      <c r="AS163" s="3"/>
      <c r="AT163" s="3"/>
      <c r="AU163" s="3"/>
    </row>
    <row r="164" spans="1:47" ht="14.25" customHeight="1" x14ac:dyDescent="0.3">
      <c r="A164" s="42"/>
      <c r="B164" s="42"/>
      <c r="C164" s="42"/>
      <c r="D164" s="61" t="s">
        <v>33</v>
      </c>
      <c r="E164" s="62"/>
      <c r="F164" s="61"/>
      <c r="G164" s="62"/>
      <c r="H164" s="61"/>
      <c r="I164" s="62"/>
      <c r="J164" s="42"/>
      <c r="K164" s="42"/>
      <c r="L164" s="63">
        <v>0</v>
      </c>
      <c r="M164" s="64"/>
      <c r="N164" s="62"/>
      <c r="O164" s="49" t="str">
        <f t="shared" si="2"/>
        <v>PLAN</v>
      </c>
      <c r="P164" s="61" t="s">
        <v>33</v>
      </c>
      <c r="Q164" s="62"/>
      <c r="R164" s="46"/>
      <c r="S164" s="2" t="str">
        <f t="shared" si="0"/>
        <v>01</v>
      </c>
      <c r="T164" s="2">
        <v>50</v>
      </c>
      <c r="U164" s="48" t="s">
        <v>91</v>
      </c>
      <c r="V164" s="2"/>
      <c r="W164" s="2" t="str">
        <f t="shared" si="3"/>
        <v>02</v>
      </c>
      <c r="X164" s="2"/>
      <c r="Y164" s="3"/>
      <c r="Z164" s="3"/>
      <c r="AA164" s="3"/>
      <c r="AB164" s="3"/>
      <c r="AC164" s="3"/>
      <c r="AD164" s="3"/>
      <c r="AE164" s="3"/>
      <c r="AF164" s="3"/>
      <c r="AG164" s="3"/>
      <c r="AH164" s="3"/>
      <c r="AI164" s="3"/>
      <c r="AJ164" s="3"/>
      <c r="AK164" s="3"/>
      <c r="AL164" s="3"/>
      <c r="AM164" s="3"/>
      <c r="AN164" s="3"/>
      <c r="AO164" s="3"/>
      <c r="AP164" s="3"/>
      <c r="AQ164" s="3"/>
      <c r="AR164" s="3"/>
      <c r="AS164" s="3"/>
      <c r="AT164" s="3"/>
      <c r="AU164" s="3"/>
    </row>
    <row r="165" spans="1:47" ht="14.25" customHeight="1" x14ac:dyDescent="0.3">
      <c r="A165" s="42"/>
      <c r="B165" s="42"/>
      <c r="C165" s="42"/>
      <c r="D165" s="61" t="s">
        <v>33</v>
      </c>
      <c r="E165" s="62"/>
      <c r="F165" s="61"/>
      <c r="G165" s="62"/>
      <c r="H165" s="61"/>
      <c r="I165" s="62"/>
      <c r="J165" s="42"/>
      <c r="K165" s="42"/>
      <c r="L165" s="63">
        <v>0</v>
      </c>
      <c r="M165" s="64"/>
      <c r="N165" s="62"/>
      <c r="O165" s="49" t="str">
        <f t="shared" si="2"/>
        <v>PLAN</v>
      </c>
      <c r="P165" s="61" t="s">
        <v>33</v>
      </c>
      <c r="Q165" s="62"/>
      <c r="R165" s="46"/>
      <c r="S165" s="2" t="str">
        <f t="shared" si="0"/>
        <v>01</v>
      </c>
      <c r="T165" s="2">
        <v>51</v>
      </c>
      <c r="U165" s="48" t="s">
        <v>91</v>
      </c>
      <c r="V165" s="2"/>
      <c r="W165" s="2" t="str">
        <f t="shared" si="3"/>
        <v>02</v>
      </c>
      <c r="X165" s="2"/>
      <c r="Y165" s="3"/>
      <c r="Z165" s="3"/>
      <c r="AA165" s="3"/>
      <c r="AB165" s="3"/>
      <c r="AC165" s="3"/>
      <c r="AD165" s="3"/>
      <c r="AE165" s="3"/>
      <c r="AF165" s="3"/>
      <c r="AG165" s="3"/>
      <c r="AH165" s="3"/>
      <c r="AI165" s="3"/>
      <c r="AJ165" s="3"/>
      <c r="AK165" s="3"/>
      <c r="AL165" s="3"/>
      <c r="AM165" s="3"/>
      <c r="AN165" s="3"/>
      <c r="AO165" s="3"/>
      <c r="AP165" s="3"/>
      <c r="AQ165" s="3"/>
      <c r="AR165" s="3"/>
      <c r="AS165" s="3"/>
      <c r="AT165" s="3"/>
      <c r="AU165" s="3"/>
    </row>
    <row r="166" spans="1:47" ht="14.25" customHeight="1" x14ac:dyDescent="0.3">
      <c r="A166" s="42"/>
      <c r="B166" s="42"/>
      <c r="C166" s="42"/>
      <c r="D166" s="61" t="s">
        <v>33</v>
      </c>
      <c r="E166" s="62"/>
      <c r="F166" s="61"/>
      <c r="G166" s="62"/>
      <c r="H166" s="61"/>
      <c r="I166" s="62"/>
      <c r="J166" s="42"/>
      <c r="K166" s="42"/>
      <c r="L166" s="63">
        <v>0</v>
      </c>
      <c r="M166" s="64"/>
      <c r="N166" s="62"/>
      <c r="O166" s="49" t="str">
        <f t="shared" si="2"/>
        <v>PLAN</v>
      </c>
      <c r="P166" s="61" t="s">
        <v>33</v>
      </c>
      <c r="Q166" s="62"/>
      <c r="R166" s="46"/>
      <c r="S166" s="2" t="str">
        <f t="shared" si="0"/>
        <v>01</v>
      </c>
      <c r="T166" s="2">
        <v>52</v>
      </c>
      <c r="U166" s="48" t="s">
        <v>91</v>
      </c>
      <c r="V166" s="2"/>
      <c r="W166" s="2" t="str">
        <f t="shared" si="3"/>
        <v>02</v>
      </c>
      <c r="X166" s="2"/>
      <c r="Y166" s="3"/>
      <c r="Z166" s="3"/>
      <c r="AA166" s="3"/>
      <c r="AB166" s="3"/>
      <c r="AC166" s="3"/>
      <c r="AD166" s="3"/>
      <c r="AE166" s="3"/>
      <c r="AF166" s="3"/>
      <c r="AG166" s="3"/>
      <c r="AH166" s="3"/>
      <c r="AI166" s="3"/>
      <c r="AJ166" s="3"/>
      <c r="AK166" s="3"/>
      <c r="AL166" s="3"/>
      <c r="AM166" s="3"/>
      <c r="AN166" s="3"/>
      <c r="AO166" s="3"/>
      <c r="AP166" s="3"/>
      <c r="AQ166" s="3"/>
      <c r="AR166" s="3"/>
      <c r="AS166" s="3"/>
      <c r="AT166" s="3"/>
      <c r="AU166" s="3"/>
    </row>
    <row r="167" spans="1:47" ht="14.25" customHeight="1" x14ac:dyDescent="0.3">
      <c r="A167" s="42"/>
      <c r="B167" s="42"/>
      <c r="C167" s="42"/>
      <c r="D167" s="61" t="s">
        <v>33</v>
      </c>
      <c r="E167" s="62"/>
      <c r="F167" s="61"/>
      <c r="G167" s="62"/>
      <c r="H167" s="61"/>
      <c r="I167" s="62"/>
      <c r="J167" s="42"/>
      <c r="K167" s="42"/>
      <c r="L167" s="63">
        <v>0</v>
      </c>
      <c r="M167" s="64"/>
      <c r="N167" s="62"/>
      <c r="O167" s="49" t="str">
        <f t="shared" si="2"/>
        <v>PLAN</v>
      </c>
      <c r="P167" s="61" t="s">
        <v>33</v>
      </c>
      <c r="Q167" s="62"/>
      <c r="R167" s="46"/>
      <c r="S167" s="2" t="str">
        <f t="shared" si="0"/>
        <v>01</v>
      </c>
      <c r="T167" s="2">
        <v>53</v>
      </c>
      <c r="U167" s="48" t="s">
        <v>91</v>
      </c>
      <c r="V167" s="2"/>
      <c r="W167" s="2" t="str">
        <f t="shared" si="3"/>
        <v>02</v>
      </c>
      <c r="X167" s="2"/>
      <c r="Y167" s="3"/>
      <c r="Z167" s="3"/>
      <c r="AA167" s="3"/>
      <c r="AB167" s="3"/>
      <c r="AC167" s="3"/>
      <c r="AD167" s="3"/>
      <c r="AE167" s="3"/>
      <c r="AF167" s="3"/>
      <c r="AG167" s="3"/>
      <c r="AH167" s="3"/>
      <c r="AI167" s="3"/>
      <c r="AJ167" s="3"/>
      <c r="AK167" s="3"/>
      <c r="AL167" s="3"/>
      <c r="AM167" s="3"/>
      <c r="AN167" s="3"/>
      <c r="AO167" s="3"/>
      <c r="AP167" s="3"/>
      <c r="AQ167" s="3"/>
      <c r="AR167" s="3"/>
      <c r="AS167" s="3"/>
      <c r="AT167" s="3"/>
      <c r="AU167" s="3"/>
    </row>
    <row r="168" spans="1:47" ht="14.25" customHeight="1" x14ac:dyDescent="0.3">
      <c r="A168" s="42"/>
      <c r="B168" s="42"/>
      <c r="C168" s="42"/>
      <c r="D168" s="61" t="s">
        <v>33</v>
      </c>
      <c r="E168" s="62"/>
      <c r="F168" s="61"/>
      <c r="G168" s="62"/>
      <c r="H168" s="61"/>
      <c r="I168" s="62"/>
      <c r="J168" s="42"/>
      <c r="K168" s="42"/>
      <c r="L168" s="63">
        <v>0</v>
      </c>
      <c r="M168" s="64"/>
      <c r="N168" s="62"/>
      <c r="O168" s="49" t="str">
        <f t="shared" si="2"/>
        <v>PLAN</v>
      </c>
      <c r="P168" s="61" t="s">
        <v>33</v>
      </c>
      <c r="Q168" s="62"/>
      <c r="R168" s="46"/>
      <c r="S168" s="2" t="str">
        <f t="shared" si="0"/>
        <v>01</v>
      </c>
      <c r="T168" s="2">
        <v>54</v>
      </c>
      <c r="U168" s="48" t="s">
        <v>91</v>
      </c>
      <c r="V168" s="2"/>
      <c r="W168" s="2" t="str">
        <f t="shared" si="3"/>
        <v>02</v>
      </c>
      <c r="X168" s="2"/>
      <c r="Y168" s="3"/>
      <c r="Z168" s="3"/>
      <c r="AA168" s="3"/>
      <c r="AB168" s="3"/>
      <c r="AC168" s="3"/>
      <c r="AD168" s="3"/>
      <c r="AE168" s="3"/>
      <c r="AF168" s="3"/>
      <c r="AG168" s="3"/>
      <c r="AH168" s="3"/>
      <c r="AI168" s="3"/>
      <c r="AJ168" s="3"/>
      <c r="AK168" s="3"/>
      <c r="AL168" s="3"/>
      <c r="AM168" s="3"/>
      <c r="AN168" s="3"/>
      <c r="AO168" s="3"/>
      <c r="AP168" s="3"/>
      <c r="AQ168" s="3"/>
      <c r="AR168" s="3"/>
      <c r="AS168" s="3"/>
      <c r="AT168" s="3"/>
      <c r="AU168" s="3"/>
    </row>
    <row r="169" spans="1:47" ht="14.25" customHeight="1" x14ac:dyDescent="0.3">
      <c r="A169" s="42"/>
      <c r="B169" s="42"/>
      <c r="C169" s="42"/>
      <c r="D169" s="61" t="s">
        <v>33</v>
      </c>
      <c r="E169" s="62"/>
      <c r="F169" s="61"/>
      <c r="G169" s="62"/>
      <c r="H169" s="61"/>
      <c r="I169" s="62"/>
      <c r="J169" s="42"/>
      <c r="K169" s="42"/>
      <c r="L169" s="63">
        <v>0</v>
      </c>
      <c r="M169" s="64"/>
      <c r="N169" s="62"/>
      <c r="O169" s="49" t="str">
        <f t="shared" si="2"/>
        <v>PLAN</v>
      </c>
      <c r="P169" s="61" t="s">
        <v>33</v>
      </c>
      <c r="Q169" s="62"/>
      <c r="R169" s="46"/>
      <c r="S169" s="2" t="str">
        <f t="shared" si="0"/>
        <v>01</v>
      </c>
      <c r="T169" s="2">
        <v>55</v>
      </c>
      <c r="U169" s="48" t="s">
        <v>91</v>
      </c>
      <c r="V169" s="2"/>
      <c r="W169" s="2" t="str">
        <f t="shared" si="3"/>
        <v>02</v>
      </c>
      <c r="X169" s="2"/>
      <c r="Y169" s="3"/>
      <c r="Z169" s="3"/>
      <c r="AA169" s="3"/>
      <c r="AB169" s="3"/>
      <c r="AC169" s="3"/>
      <c r="AD169" s="3"/>
      <c r="AE169" s="3"/>
      <c r="AF169" s="3"/>
      <c r="AG169" s="3"/>
      <c r="AH169" s="3"/>
      <c r="AI169" s="3"/>
      <c r="AJ169" s="3"/>
      <c r="AK169" s="3"/>
      <c r="AL169" s="3"/>
      <c r="AM169" s="3"/>
      <c r="AN169" s="3"/>
      <c r="AO169" s="3"/>
      <c r="AP169" s="3"/>
      <c r="AQ169" s="3"/>
      <c r="AR169" s="3"/>
      <c r="AS169" s="3"/>
      <c r="AT169" s="3"/>
      <c r="AU169" s="3"/>
    </row>
    <row r="170" spans="1:47" ht="14.25" customHeight="1" x14ac:dyDescent="0.3">
      <c r="A170" s="42"/>
      <c r="B170" s="42"/>
      <c r="C170" s="42"/>
      <c r="D170" s="61" t="s">
        <v>33</v>
      </c>
      <c r="E170" s="62"/>
      <c r="F170" s="61"/>
      <c r="G170" s="62"/>
      <c r="H170" s="61"/>
      <c r="I170" s="62"/>
      <c r="J170" s="42"/>
      <c r="K170" s="42"/>
      <c r="L170" s="63">
        <v>0</v>
      </c>
      <c r="M170" s="64"/>
      <c r="N170" s="62"/>
      <c r="O170" s="49" t="str">
        <f t="shared" si="2"/>
        <v>PLAN</v>
      </c>
      <c r="P170" s="61" t="s">
        <v>33</v>
      </c>
      <c r="Q170" s="62"/>
      <c r="R170" s="46"/>
      <c r="S170" s="2" t="str">
        <f t="shared" si="0"/>
        <v>01</v>
      </c>
      <c r="T170" s="2">
        <v>56</v>
      </c>
      <c r="U170" s="48" t="s">
        <v>91</v>
      </c>
      <c r="V170" s="2"/>
      <c r="W170" s="2" t="str">
        <f t="shared" si="3"/>
        <v>02</v>
      </c>
      <c r="X170" s="2"/>
      <c r="Y170" s="3"/>
      <c r="Z170" s="3"/>
      <c r="AA170" s="3"/>
      <c r="AB170" s="3"/>
      <c r="AC170" s="3"/>
      <c r="AD170" s="3"/>
      <c r="AE170" s="3"/>
      <c r="AF170" s="3"/>
      <c r="AG170" s="3"/>
      <c r="AH170" s="3"/>
      <c r="AI170" s="3"/>
      <c r="AJ170" s="3"/>
      <c r="AK170" s="3"/>
      <c r="AL170" s="3"/>
      <c r="AM170" s="3"/>
      <c r="AN170" s="3"/>
      <c r="AO170" s="3"/>
      <c r="AP170" s="3"/>
      <c r="AQ170" s="3"/>
      <c r="AR170" s="3"/>
      <c r="AS170" s="3"/>
      <c r="AT170" s="3"/>
      <c r="AU170" s="3"/>
    </row>
    <row r="171" spans="1:47" ht="14.25" customHeight="1" x14ac:dyDescent="0.3">
      <c r="A171" s="42"/>
      <c r="B171" s="42"/>
      <c r="C171" s="42"/>
      <c r="D171" s="61" t="s">
        <v>33</v>
      </c>
      <c r="E171" s="62"/>
      <c r="F171" s="61"/>
      <c r="G171" s="62"/>
      <c r="H171" s="61"/>
      <c r="I171" s="62"/>
      <c r="J171" s="42"/>
      <c r="K171" s="42"/>
      <c r="L171" s="63">
        <v>0</v>
      </c>
      <c r="M171" s="64"/>
      <c r="N171" s="62"/>
      <c r="O171" s="49" t="str">
        <f t="shared" si="2"/>
        <v>PLAN</v>
      </c>
      <c r="P171" s="61" t="s">
        <v>33</v>
      </c>
      <c r="Q171" s="62"/>
      <c r="R171" s="46"/>
      <c r="S171" s="2" t="str">
        <f t="shared" si="0"/>
        <v>01</v>
      </c>
      <c r="T171" s="2">
        <v>57</v>
      </c>
      <c r="U171" s="48" t="s">
        <v>91</v>
      </c>
      <c r="V171" s="2"/>
      <c r="W171" s="2" t="str">
        <f t="shared" si="3"/>
        <v>02</v>
      </c>
      <c r="X171" s="2"/>
      <c r="Y171" s="3"/>
      <c r="Z171" s="3"/>
      <c r="AA171" s="3"/>
      <c r="AB171" s="3"/>
      <c r="AC171" s="3"/>
      <c r="AD171" s="3"/>
      <c r="AE171" s="3"/>
      <c r="AF171" s="3"/>
      <c r="AG171" s="3"/>
      <c r="AH171" s="3"/>
      <c r="AI171" s="3"/>
      <c r="AJ171" s="3"/>
      <c r="AK171" s="3"/>
      <c r="AL171" s="3"/>
      <c r="AM171" s="3"/>
      <c r="AN171" s="3"/>
      <c r="AO171" s="3"/>
      <c r="AP171" s="3"/>
      <c r="AQ171" s="3"/>
      <c r="AR171" s="3"/>
      <c r="AS171" s="3"/>
      <c r="AT171" s="3"/>
      <c r="AU171" s="3"/>
    </row>
    <row r="172" spans="1:47" ht="14.25" customHeight="1" x14ac:dyDescent="0.3">
      <c r="A172" s="42"/>
      <c r="B172" s="42"/>
      <c r="C172" s="42"/>
      <c r="D172" s="61" t="s">
        <v>33</v>
      </c>
      <c r="E172" s="62"/>
      <c r="F172" s="61"/>
      <c r="G172" s="62"/>
      <c r="H172" s="61"/>
      <c r="I172" s="62"/>
      <c r="J172" s="42"/>
      <c r="K172" s="42"/>
      <c r="L172" s="63">
        <v>0</v>
      </c>
      <c r="M172" s="64"/>
      <c r="N172" s="62"/>
      <c r="O172" s="49" t="str">
        <f t="shared" si="2"/>
        <v>PLAN</v>
      </c>
      <c r="P172" s="61" t="s">
        <v>33</v>
      </c>
      <c r="Q172" s="62"/>
      <c r="R172" s="46"/>
      <c r="S172" s="2" t="str">
        <f t="shared" si="0"/>
        <v>01</v>
      </c>
      <c r="T172" s="2">
        <v>58</v>
      </c>
      <c r="U172" s="48" t="s">
        <v>91</v>
      </c>
      <c r="V172" s="2"/>
      <c r="W172" s="2" t="str">
        <f t="shared" si="3"/>
        <v>02</v>
      </c>
      <c r="X172" s="2"/>
      <c r="Y172" s="3"/>
      <c r="Z172" s="3"/>
      <c r="AA172" s="3"/>
      <c r="AB172" s="3"/>
      <c r="AC172" s="3"/>
      <c r="AD172" s="3"/>
      <c r="AE172" s="3"/>
      <c r="AF172" s="3"/>
      <c r="AG172" s="3"/>
      <c r="AH172" s="3"/>
      <c r="AI172" s="3"/>
      <c r="AJ172" s="3"/>
      <c r="AK172" s="3"/>
      <c r="AL172" s="3"/>
      <c r="AM172" s="3"/>
      <c r="AN172" s="3"/>
      <c r="AO172" s="3"/>
      <c r="AP172" s="3"/>
      <c r="AQ172" s="3"/>
      <c r="AR172" s="3"/>
      <c r="AS172" s="3"/>
      <c r="AT172" s="3"/>
      <c r="AU172" s="3"/>
    </row>
    <row r="173" spans="1:47" ht="14.25" customHeight="1" x14ac:dyDescent="0.3">
      <c r="A173" s="42"/>
      <c r="B173" s="42"/>
      <c r="C173" s="42"/>
      <c r="D173" s="61" t="s">
        <v>33</v>
      </c>
      <c r="E173" s="62"/>
      <c r="F173" s="61"/>
      <c r="G173" s="62"/>
      <c r="H173" s="61"/>
      <c r="I173" s="62"/>
      <c r="J173" s="42"/>
      <c r="K173" s="42"/>
      <c r="L173" s="63">
        <v>0</v>
      </c>
      <c r="M173" s="64"/>
      <c r="N173" s="62"/>
      <c r="O173" s="49" t="str">
        <f t="shared" si="2"/>
        <v>PLAN</v>
      </c>
      <c r="P173" s="61" t="s">
        <v>33</v>
      </c>
      <c r="Q173" s="62"/>
      <c r="R173" s="46"/>
      <c r="S173" s="2" t="str">
        <f t="shared" si="0"/>
        <v>01</v>
      </c>
      <c r="T173" s="2">
        <v>59</v>
      </c>
      <c r="U173" s="48" t="s">
        <v>91</v>
      </c>
      <c r="V173" s="2"/>
      <c r="W173" s="2" t="str">
        <f t="shared" si="3"/>
        <v>02</v>
      </c>
      <c r="X173" s="2"/>
      <c r="Y173" s="3"/>
      <c r="Z173" s="3"/>
      <c r="AA173" s="3"/>
      <c r="AB173" s="3"/>
      <c r="AC173" s="3"/>
      <c r="AD173" s="3"/>
      <c r="AE173" s="3"/>
      <c r="AF173" s="3"/>
      <c r="AG173" s="3"/>
      <c r="AH173" s="3"/>
      <c r="AI173" s="3"/>
      <c r="AJ173" s="3"/>
      <c r="AK173" s="3"/>
      <c r="AL173" s="3"/>
      <c r="AM173" s="3"/>
      <c r="AN173" s="3"/>
      <c r="AO173" s="3"/>
      <c r="AP173" s="3"/>
      <c r="AQ173" s="3"/>
      <c r="AR173" s="3"/>
      <c r="AS173" s="3"/>
      <c r="AT173" s="3"/>
      <c r="AU173" s="3"/>
    </row>
    <row r="174" spans="1:47" ht="14.25" customHeight="1" x14ac:dyDescent="0.3">
      <c r="A174" s="42"/>
      <c r="B174" s="42"/>
      <c r="C174" s="42"/>
      <c r="D174" s="61" t="s">
        <v>33</v>
      </c>
      <c r="E174" s="62"/>
      <c r="F174" s="61"/>
      <c r="G174" s="62"/>
      <c r="H174" s="61"/>
      <c r="I174" s="62"/>
      <c r="J174" s="42"/>
      <c r="K174" s="42"/>
      <c r="L174" s="63">
        <v>0</v>
      </c>
      <c r="M174" s="64"/>
      <c r="N174" s="62"/>
      <c r="O174" s="49" t="str">
        <f t="shared" si="2"/>
        <v>PLAN</v>
      </c>
      <c r="P174" s="61" t="s">
        <v>33</v>
      </c>
      <c r="Q174" s="62"/>
      <c r="R174" s="46"/>
      <c r="S174" s="2" t="str">
        <f t="shared" si="0"/>
        <v>01</v>
      </c>
      <c r="T174" s="2">
        <v>60</v>
      </c>
      <c r="U174" s="48" t="s">
        <v>91</v>
      </c>
      <c r="V174" s="2"/>
      <c r="W174" s="2" t="str">
        <f t="shared" si="3"/>
        <v>02</v>
      </c>
      <c r="X174" s="2"/>
      <c r="Y174" s="3"/>
      <c r="Z174" s="3"/>
      <c r="AA174" s="3"/>
      <c r="AB174" s="3"/>
      <c r="AC174" s="3"/>
      <c r="AD174" s="3"/>
      <c r="AE174" s="3"/>
      <c r="AF174" s="3"/>
      <c r="AG174" s="3"/>
      <c r="AH174" s="3"/>
      <c r="AI174" s="3"/>
      <c r="AJ174" s="3"/>
      <c r="AK174" s="3"/>
      <c r="AL174" s="3"/>
      <c r="AM174" s="3"/>
      <c r="AN174" s="3"/>
      <c r="AO174" s="3"/>
      <c r="AP174" s="3"/>
      <c r="AQ174" s="3"/>
      <c r="AR174" s="3"/>
      <c r="AS174" s="3"/>
      <c r="AT174" s="3"/>
      <c r="AU174" s="3"/>
    </row>
    <row r="175" spans="1:47" ht="14.25" customHeight="1" x14ac:dyDescent="0.3">
      <c r="A175" s="42"/>
      <c r="B175" s="42"/>
      <c r="C175" s="42"/>
      <c r="D175" s="61" t="s">
        <v>33</v>
      </c>
      <c r="E175" s="62"/>
      <c r="F175" s="61"/>
      <c r="G175" s="62"/>
      <c r="H175" s="61"/>
      <c r="I175" s="62"/>
      <c r="J175" s="42"/>
      <c r="K175" s="42"/>
      <c r="L175" s="63">
        <v>0</v>
      </c>
      <c r="M175" s="64"/>
      <c r="N175" s="62"/>
      <c r="O175" s="49" t="str">
        <f t="shared" si="2"/>
        <v>PLAN</v>
      </c>
      <c r="P175" s="61" t="s">
        <v>33</v>
      </c>
      <c r="Q175" s="62"/>
      <c r="R175" s="46"/>
      <c r="S175" s="2" t="str">
        <f t="shared" si="0"/>
        <v>01</v>
      </c>
      <c r="T175" s="2">
        <v>61</v>
      </c>
      <c r="U175" s="48" t="s">
        <v>91</v>
      </c>
      <c r="V175" s="2"/>
      <c r="W175" s="2" t="str">
        <f t="shared" si="3"/>
        <v>02</v>
      </c>
      <c r="X175" s="2"/>
      <c r="Y175" s="3"/>
      <c r="Z175" s="3"/>
      <c r="AA175" s="3"/>
      <c r="AB175" s="3"/>
      <c r="AC175" s="3"/>
      <c r="AD175" s="3"/>
      <c r="AE175" s="3"/>
      <c r="AF175" s="3"/>
      <c r="AG175" s="3"/>
      <c r="AH175" s="3"/>
      <c r="AI175" s="3"/>
      <c r="AJ175" s="3"/>
      <c r="AK175" s="3"/>
      <c r="AL175" s="3"/>
      <c r="AM175" s="3"/>
      <c r="AN175" s="3"/>
      <c r="AO175" s="3"/>
      <c r="AP175" s="3"/>
      <c r="AQ175" s="3"/>
      <c r="AR175" s="3"/>
      <c r="AS175" s="3"/>
      <c r="AT175" s="3"/>
      <c r="AU175" s="3"/>
    </row>
    <row r="176" spans="1:47" ht="14.25" customHeight="1" x14ac:dyDescent="0.3">
      <c r="A176" s="42"/>
      <c r="B176" s="42"/>
      <c r="C176" s="42"/>
      <c r="D176" s="61" t="s">
        <v>33</v>
      </c>
      <c r="E176" s="62"/>
      <c r="F176" s="61"/>
      <c r="G176" s="62"/>
      <c r="H176" s="61"/>
      <c r="I176" s="62"/>
      <c r="J176" s="42"/>
      <c r="K176" s="42"/>
      <c r="L176" s="63">
        <v>0</v>
      </c>
      <c r="M176" s="64"/>
      <c r="N176" s="62"/>
      <c r="O176" s="49" t="str">
        <f t="shared" si="2"/>
        <v>PLAN</v>
      </c>
      <c r="P176" s="61" t="s">
        <v>33</v>
      </c>
      <c r="Q176" s="62"/>
      <c r="R176" s="46"/>
      <c r="S176" s="2" t="str">
        <f t="shared" si="0"/>
        <v>01</v>
      </c>
      <c r="T176" s="2">
        <v>62</v>
      </c>
      <c r="U176" s="48" t="s">
        <v>91</v>
      </c>
      <c r="V176" s="2"/>
      <c r="W176" s="2" t="str">
        <f t="shared" si="3"/>
        <v>02</v>
      </c>
      <c r="X176" s="2"/>
      <c r="Y176" s="3"/>
      <c r="Z176" s="3"/>
      <c r="AA176" s="3"/>
      <c r="AB176" s="3"/>
      <c r="AC176" s="3"/>
      <c r="AD176" s="3"/>
      <c r="AE176" s="3"/>
      <c r="AF176" s="3"/>
      <c r="AG176" s="3"/>
      <c r="AH176" s="3"/>
      <c r="AI176" s="3"/>
      <c r="AJ176" s="3"/>
      <c r="AK176" s="3"/>
      <c r="AL176" s="3"/>
      <c r="AM176" s="3"/>
      <c r="AN176" s="3"/>
      <c r="AO176" s="3"/>
      <c r="AP176" s="3"/>
      <c r="AQ176" s="3"/>
      <c r="AR176" s="3"/>
      <c r="AS176" s="3"/>
      <c r="AT176" s="3"/>
      <c r="AU176" s="3"/>
    </row>
    <row r="177" spans="1:47" ht="14.25" customHeight="1" x14ac:dyDescent="0.3">
      <c r="A177" s="42"/>
      <c r="B177" s="42"/>
      <c r="C177" s="42"/>
      <c r="D177" s="61" t="s">
        <v>33</v>
      </c>
      <c r="E177" s="62"/>
      <c r="F177" s="61"/>
      <c r="G177" s="62"/>
      <c r="H177" s="61"/>
      <c r="I177" s="62"/>
      <c r="J177" s="42"/>
      <c r="K177" s="42"/>
      <c r="L177" s="63">
        <v>0</v>
      </c>
      <c r="M177" s="64"/>
      <c r="N177" s="62"/>
      <c r="O177" s="49" t="str">
        <f t="shared" si="2"/>
        <v>PLAN</v>
      </c>
      <c r="P177" s="61" t="s">
        <v>33</v>
      </c>
      <c r="Q177" s="62"/>
      <c r="R177" s="46"/>
      <c r="S177" s="2" t="str">
        <f t="shared" si="0"/>
        <v>01</v>
      </c>
      <c r="T177" s="2">
        <v>63</v>
      </c>
      <c r="U177" s="48" t="s">
        <v>91</v>
      </c>
      <c r="V177" s="2"/>
      <c r="W177" s="2" t="str">
        <f t="shared" si="3"/>
        <v>02</v>
      </c>
      <c r="X177" s="2"/>
      <c r="Y177" s="3"/>
      <c r="Z177" s="3"/>
      <c r="AA177" s="3"/>
      <c r="AB177" s="3"/>
      <c r="AC177" s="3"/>
      <c r="AD177" s="3"/>
      <c r="AE177" s="3"/>
      <c r="AF177" s="3"/>
      <c r="AG177" s="3"/>
      <c r="AH177" s="3"/>
      <c r="AI177" s="3"/>
      <c r="AJ177" s="3"/>
      <c r="AK177" s="3"/>
      <c r="AL177" s="3"/>
      <c r="AM177" s="3"/>
      <c r="AN177" s="3"/>
      <c r="AO177" s="3"/>
      <c r="AP177" s="3"/>
      <c r="AQ177" s="3"/>
      <c r="AR177" s="3"/>
      <c r="AS177" s="3"/>
      <c r="AT177" s="3"/>
      <c r="AU177" s="3"/>
    </row>
    <row r="178" spans="1:47" ht="14.25" customHeight="1" x14ac:dyDescent="0.3">
      <c r="A178" s="42"/>
      <c r="B178" s="42"/>
      <c r="C178" s="42"/>
      <c r="D178" s="61" t="s">
        <v>33</v>
      </c>
      <c r="E178" s="62"/>
      <c r="F178" s="61"/>
      <c r="G178" s="62"/>
      <c r="H178" s="61"/>
      <c r="I178" s="62"/>
      <c r="J178" s="42"/>
      <c r="K178" s="42"/>
      <c r="L178" s="63">
        <v>0</v>
      </c>
      <c r="M178" s="64"/>
      <c r="N178" s="62"/>
      <c r="O178" s="49" t="str">
        <f t="shared" si="2"/>
        <v>PLAN</v>
      </c>
      <c r="P178" s="61" t="s">
        <v>33</v>
      </c>
      <c r="Q178" s="62"/>
      <c r="R178" s="46"/>
      <c r="S178" s="2" t="str">
        <f t="shared" si="0"/>
        <v>01</v>
      </c>
      <c r="T178" s="2">
        <v>64</v>
      </c>
      <c r="U178" s="48" t="s">
        <v>91</v>
      </c>
      <c r="V178" s="2"/>
      <c r="W178" s="2" t="str">
        <f t="shared" si="3"/>
        <v>02</v>
      </c>
      <c r="X178" s="2"/>
      <c r="Y178" s="3"/>
      <c r="Z178" s="3"/>
      <c r="AA178" s="3"/>
      <c r="AB178" s="3"/>
      <c r="AC178" s="3"/>
      <c r="AD178" s="3"/>
      <c r="AE178" s="3"/>
      <c r="AF178" s="3"/>
      <c r="AG178" s="3"/>
      <c r="AH178" s="3"/>
      <c r="AI178" s="3"/>
      <c r="AJ178" s="3"/>
      <c r="AK178" s="3"/>
      <c r="AL178" s="3"/>
      <c r="AM178" s="3"/>
      <c r="AN178" s="3"/>
      <c r="AO178" s="3"/>
      <c r="AP178" s="3"/>
      <c r="AQ178" s="3"/>
      <c r="AR178" s="3"/>
      <c r="AS178" s="3"/>
      <c r="AT178" s="3"/>
      <c r="AU178" s="3"/>
    </row>
    <row r="179" spans="1:47" ht="14.25" customHeight="1" x14ac:dyDescent="0.3">
      <c r="A179" s="42"/>
      <c r="B179" s="42"/>
      <c r="C179" s="42"/>
      <c r="D179" s="61" t="s">
        <v>33</v>
      </c>
      <c r="E179" s="62"/>
      <c r="F179" s="61"/>
      <c r="G179" s="62"/>
      <c r="H179" s="61"/>
      <c r="I179" s="62"/>
      <c r="J179" s="42"/>
      <c r="K179" s="42"/>
      <c r="L179" s="63">
        <v>0</v>
      </c>
      <c r="M179" s="64"/>
      <c r="N179" s="62"/>
      <c r="O179" s="49" t="str">
        <f t="shared" si="2"/>
        <v>PLAN</v>
      </c>
      <c r="P179" s="61" t="s">
        <v>33</v>
      </c>
      <c r="Q179" s="62"/>
      <c r="R179" s="46"/>
      <c r="S179" s="2" t="str">
        <f t="shared" si="0"/>
        <v>01</v>
      </c>
      <c r="T179" s="2">
        <v>65</v>
      </c>
      <c r="U179" s="48" t="s">
        <v>91</v>
      </c>
      <c r="V179" s="2"/>
      <c r="W179" s="2" t="str">
        <f t="shared" si="3"/>
        <v>02</v>
      </c>
      <c r="X179" s="2"/>
      <c r="Y179" s="3"/>
      <c r="Z179" s="3"/>
      <c r="AA179" s="3"/>
      <c r="AB179" s="3"/>
      <c r="AC179" s="3"/>
      <c r="AD179" s="3"/>
      <c r="AE179" s="3"/>
      <c r="AF179" s="3"/>
      <c r="AG179" s="3"/>
      <c r="AH179" s="3"/>
      <c r="AI179" s="3"/>
      <c r="AJ179" s="3"/>
      <c r="AK179" s="3"/>
      <c r="AL179" s="3"/>
      <c r="AM179" s="3"/>
      <c r="AN179" s="3"/>
      <c r="AO179" s="3"/>
      <c r="AP179" s="3"/>
      <c r="AQ179" s="3"/>
      <c r="AR179" s="3"/>
      <c r="AS179" s="3"/>
      <c r="AT179" s="3"/>
      <c r="AU179" s="3"/>
    </row>
    <row r="180" spans="1:47" ht="14.25" customHeight="1" x14ac:dyDescent="0.3">
      <c r="A180" s="42"/>
      <c r="B180" s="42"/>
      <c r="C180" s="42"/>
      <c r="D180" s="61" t="s">
        <v>33</v>
      </c>
      <c r="E180" s="62"/>
      <c r="F180" s="61"/>
      <c r="G180" s="62"/>
      <c r="H180" s="61"/>
      <c r="I180" s="62"/>
      <c r="J180" s="42"/>
      <c r="K180" s="42"/>
      <c r="L180" s="63">
        <v>0</v>
      </c>
      <c r="M180" s="64"/>
      <c r="N180" s="62"/>
      <c r="O180" s="49" t="str">
        <f t="shared" si="2"/>
        <v>PLAN</v>
      </c>
      <c r="P180" s="61" t="s">
        <v>33</v>
      </c>
      <c r="Q180" s="62"/>
      <c r="R180" s="46"/>
      <c r="S180" s="2" t="str">
        <f t="shared" si="0"/>
        <v>01</v>
      </c>
      <c r="T180" s="2">
        <v>66</v>
      </c>
      <c r="U180" s="48" t="s">
        <v>91</v>
      </c>
      <c r="V180" s="2"/>
      <c r="W180" s="2" t="str">
        <f t="shared" si="3"/>
        <v>02</v>
      </c>
      <c r="X180" s="2"/>
      <c r="Y180" s="3"/>
      <c r="Z180" s="3"/>
      <c r="AA180" s="3"/>
      <c r="AB180" s="3"/>
      <c r="AC180" s="3"/>
      <c r="AD180" s="3"/>
      <c r="AE180" s="3"/>
      <c r="AF180" s="3"/>
      <c r="AG180" s="3"/>
      <c r="AH180" s="3"/>
      <c r="AI180" s="3"/>
      <c r="AJ180" s="3"/>
      <c r="AK180" s="3"/>
      <c r="AL180" s="3"/>
      <c r="AM180" s="3"/>
      <c r="AN180" s="3"/>
      <c r="AO180" s="3"/>
      <c r="AP180" s="3"/>
      <c r="AQ180" s="3"/>
      <c r="AR180" s="3"/>
      <c r="AS180" s="3"/>
      <c r="AT180" s="3"/>
      <c r="AU180" s="3"/>
    </row>
    <row r="181" spans="1:47" ht="14.25" customHeight="1" x14ac:dyDescent="0.3">
      <c r="A181" s="42"/>
      <c r="B181" s="42"/>
      <c r="C181" s="42"/>
      <c r="D181" s="61" t="s">
        <v>33</v>
      </c>
      <c r="E181" s="62"/>
      <c r="F181" s="61"/>
      <c r="G181" s="62"/>
      <c r="H181" s="61"/>
      <c r="I181" s="62"/>
      <c r="J181" s="42"/>
      <c r="K181" s="42"/>
      <c r="L181" s="63">
        <v>0</v>
      </c>
      <c r="M181" s="64"/>
      <c r="N181" s="62"/>
      <c r="O181" s="49" t="str">
        <f t="shared" si="2"/>
        <v>PLAN</v>
      </c>
      <c r="P181" s="61" t="s">
        <v>33</v>
      </c>
      <c r="Q181" s="62"/>
      <c r="R181" s="46"/>
      <c r="S181" s="2" t="str">
        <f t="shared" si="0"/>
        <v>01</v>
      </c>
      <c r="T181" s="2">
        <v>67</v>
      </c>
      <c r="U181" s="48" t="s">
        <v>91</v>
      </c>
      <c r="V181" s="2"/>
      <c r="W181" s="2" t="str">
        <f t="shared" si="3"/>
        <v>02</v>
      </c>
      <c r="X181" s="2"/>
      <c r="Y181" s="3"/>
      <c r="Z181" s="3"/>
      <c r="AA181" s="3"/>
      <c r="AB181" s="3"/>
      <c r="AC181" s="3"/>
      <c r="AD181" s="3"/>
      <c r="AE181" s="3"/>
      <c r="AF181" s="3"/>
      <c r="AG181" s="3"/>
      <c r="AH181" s="3"/>
      <c r="AI181" s="3"/>
      <c r="AJ181" s="3"/>
      <c r="AK181" s="3"/>
      <c r="AL181" s="3"/>
      <c r="AM181" s="3"/>
      <c r="AN181" s="3"/>
      <c r="AO181" s="3"/>
      <c r="AP181" s="3"/>
      <c r="AQ181" s="3"/>
      <c r="AR181" s="3"/>
      <c r="AS181" s="3"/>
      <c r="AT181" s="3"/>
      <c r="AU181" s="3"/>
    </row>
    <row r="182" spans="1:47" ht="14.25" customHeight="1" x14ac:dyDescent="0.3">
      <c r="A182" s="42"/>
      <c r="B182" s="42"/>
      <c r="C182" s="42"/>
      <c r="D182" s="61" t="s">
        <v>33</v>
      </c>
      <c r="E182" s="62"/>
      <c r="F182" s="61"/>
      <c r="G182" s="62"/>
      <c r="H182" s="61"/>
      <c r="I182" s="62"/>
      <c r="J182" s="42"/>
      <c r="K182" s="42"/>
      <c r="L182" s="63">
        <v>0</v>
      </c>
      <c r="M182" s="64"/>
      <c r="N182" s="62"/>
      <c r="O182" s="49" t="str">
        <f t="shared" si="2"/>
        <v>PLAN</v>
      </c>
      <c r="P182" s="61" t="s">
        <v>33</v>
      </c>
      <c r="Q182" s="62"/>
      <c r="R182" s="46"/>
      <c r="S182" s="2" t="str">
        <f t="shared" si="0"/>
        <v>01</v>
      </c>
      <c r="T182" s="2">
        <v>68</v>
      </c>
      <c r="U182" s="48" t="s">
        <v>91</v>
      </c>
      <c r="V182" s="2"/>
      <c r="W182" s="2" t="str">
        <f t="shared" si="3"/>
        <v>02</v>
      </c>
      <c r="X182" s="2"/>
      <c r="Y182" s="3"/>
      <c r="Z182" s="3"/>
      <c r="AA182" s="3"/>
      <c r="AB182" s="3"/>
      <c r="AC182" s="3"/>
      <c r="AD182" s="3"/>
      <c r="AE182" s="3"/>
      <c r="AF182" s="3"/>
      <c r="AG182" s="3"/>
      <c r="AH182" s="3"/>
      <c r="AI182" s="3"/>
      <c r="AJ182" s="3"/>
      <c r="AK182" s="3"/>
      <c r="AL182" s="3"/>
      <c r="AM182" s="3"/>
      <c r="AN182" s="3"/>
      <c r="AO182" s="3"/>
      <c r="AP182" s="3"/>
      <c r="AQ182" s="3"/>
      <c r="AR182" s="3"/>
      <c r="AS182" s="3"/>
      <c r="AT182" s="3"/>
      <c r="AU182" s="3"/>
    </row>
    <row r="183" spans="1:47" ht="14.25" customHeight="1" x14ac:dyDescent="0.3">
      <c r="A183" s="42"/>
      <c r="B183" s="42"/>
      <c r="C183" s="42"/>
      <c r="D183" s="61" t="s">
        <v>33</v>
      </c>
      <c r="E183" s="62"/>
      <c r="F183" s="61"/>
      <c r="G183" s="62"/>
      <c r="H183" s="61"/>
      <c r="I183" s="62"/>
      <c r="J183" s="42"/>
      <c r="K183" s="42"/>
      <c r="L183" s="63">
        <v>0</v>
      </c>
      <c r="M183" s="64"/>
      <c r="N183" s="62"/>
      <c r="O183" s="49" t="str">
        <f t="shared" si="2"/>
        <v>PLAN</v>
      </c>
      <c r="P183" s="61" t="s">
        <v>33</v>
      </c>
      <c r="Q183" s="62"/>
      <c r="R183" s="46"/>
      <c r="S183" s="2" t="str">
        <f t="shared" si="0"/>
        <v>01</v>
      </c>
      <c r="T183" s="2">
        <v>69</v>
      </c>
      <c r="U183" s="48" t="s">
        <v>91</v>
      </c>
      <c r="V183" s="2"/>
      <c r="W183" s="2" t="str">
        <f t="shared" si="3"/>
        <v>02</v>
      </c>
      <c r="X183" s="2"/>
      <c r="Y183" s="3"/>
      <c r="Z183" s="3"/>
      <c r="AA183" s="3"/>
      <c r="AB183" s="3"/>
      <c r="AC183" s="3"/>
      <c r="AD183" s="3"/>
      <c r="AE183" s="3"/>
      <c r="AF183" s="3"/>
      <c r="AG183" s="3"/>
      <c r="AH183" s="3"/>
      <c r="AI183" s="3"/>
      <c r="AJ183" s="3"/>
      <c r="AK183" s="3"/>
      <c r="AL183" s="3"/>
      <c r="AM183" s="3"/>
      <c r="AN183" s="3"/>
      <c r="AO183" s="3"/>
      <c r="AP183" s="3"/>
      <c r="AQ183" s="3"/>
      <c r="AR183" s="3"/>
      <c r="AS183" s="3"/>
      <c r="AT183" s="3"/>
      <c r="AU183" s="3"/>
    </row>
    <row r="184" spans="1:47" ht="14.25" customHeight="1" x14ac:dyDescent="0.3">
      <c r="A184" s="42"/>
      <c r="B184" s="42"/>
      <c r="C184" s="42"/>
      <c r="D184" s="61" t="s">
        <v>33</v>
      </c>
      <c r="E184" s="62"/>
      <c r="F184" s="61"/>
      <c r="G184" s="62"/>
      <c r="H184" s="61"/>
      <c r="I184" s="62"/>
      <c r="J184" s="42"/>
      <c r="K184" s="42"/>
      <c r="L184" s="63">
        <v>0</v>
      </c>
      <c r="M184" s="64"/>
      <c r="N184" s="62"/>
      <c r="O184" s="49" t="str">
        <f t="shared" si="2"/>
        <v>PLAN</v>
      </c>
      <c r="P184" s="61" t="s">
        <v>33</v>
      </c>
      <c r="Q184" s="62"/>
      <c r="R184" s="46"/>
      <c r="S184" s="2" t="str">
        <f t="shared" si="0"/>
        <v>01</v>
      </c>
      <c r="T184" s="2">
        <v>70</v>
      </c>
      <c r="U184" s="48" t="s">
        <v>91</v>
      </c>
      <c r="V184" s="2"/>
      <c r="W184" s="2" t="str">
        <f t="shared" si="3"/>
        <v>02</v>
      </c>
      <c r="X184" s="2"/>
      <c r="Y184" s="3"/>
      <c r="Z184" s="3"/>
      <c r="AA184" s="3"/>
      <c r="AB184" s="3"/>
      <c r="AC184" s="3"/>
      <c r="AD184" s="3"/>
      <c r="AE184" s="3"/>
      <c r="AF184" s="3"/>
      <c r="AG184" s="3"/>
      <c r="AH184" s="3"/>
      <c r="AI184" s="3"/>
      <c r="AJ184" s="3"/>
      <c r="AK184" s="3"/>
      <c r="AL184" s="3"/>
      <c r="AM184" s="3"/>
      <c r="AN184" s="3"/>
      <c r="AO184" s="3"/>
      <c r="AP184" s="3"/>
      <c r="AQ184" s="3"/>
      <c r="AR184" s="3"/>
      <c r="AS184" s="3"/>
      <c r="AT184" s="3"/>
      <c r="AU184" s="3"/>
    </row>
    <row r="185" spans="1:47" ht="14.25" customHeight="1" x14ac:dyDescent="0.3">
      <c r="A185" s="42"/>
      <c r="B185" s="42"/>
      <c r="C185" s="42"/>
      <c r="D185" s="61" t="s">
        <v>33</v>
      </c>
      <c r="E185" s="62"/>
      <c r="F185" s="61"/>
      <c r="G185" s="62"/>
      <c r="H185" s="61"/>
      <c r="I185" s="62"/>
      <c r="J185" s="42"/>
      <c r="K185" s="42"/>
      <c r="L185" s="63">
        <v>0</v>
      </c>
      <c r="M185" s="64"/>
      <c r="N185" s="62"/>
      <c r="O185" s="49" t="str">
        <f t="shared" si="2"/>
        <v>PLAN</v>
      </c>
      <c r="P185" s="61" t="s">
        <v>33</v>
      </c>
      <c r="Q185" s="62"/>
      <c r="R185" s="46"/>
      <c r="S185" s="2" t="str">
        <f t="shared" si="0"/>
        <v>01</v>
      </c>
      <c r="T185" s="2">
        <v>71</v>
      </c>
      <c r="U185" s="48" t="s">
        <v>91</v>
      </c>
      <c r="V185" s="2"/>
      <c r="W185" s="2" t="str">
        <f t="shared" si="3"/>
        <v>02</v>
      </c>
      <c r="X185" s="2"/>
      <c r="Y185" s="3"/>
      <c r="Z185" s="3"/>
      <c r="AA185" s="3"/>
      <c r="AB185" s="3"/>
      <c r="AC185" s="3"/>
      <c r="AD185" s="3"/>
      <c r="AE185" s="3"/>
      <c r="AF185" s="3"/>
      <c r="AG185" s="3"/>
      <c r="AH185" s="3"/>
      <c r="AI185" s="3"/>
      <c r="AJ185" s="3"/>
      <c r="AK185" s="3"/>
      <c r="AL185" s="3"/>
      <c r="AM185" s="3"/>
      <c r="AN185" s="3"/>
      <c r="AO185" s="3"/>
      <c r="AP185" s="3"/>
      <c r="AQ185" s="3"/>
      <c r="AR185" s="3"/>
      <c r="AS185" s="3"/>
      <c r="AT185" s="3"/>
      <c r="AU185" s="3"/>
    </row>
    <row r="186" spans="1:47" ht="14.25" customHeight="1" x14ac:dyDescent="0.3">
      <c r="A186" s="42"/>
      <c r="B186" s="42"/>
      <c r="C186" s="42"/>
      <c r="D186" s="61" t="s">
        <v>33</v>
      </c>
      <c r="E186" s="62"/>
      <c r="F186" s="61"/>
      <c r="G186" s="62"/>
      <c r="H186" s="61"/>
      <c r="I186" s="62"/>
      <c r="J186" s="42"/>
      <c r="K186" s="42"/>
      <c r="L186" s="63">
        <v>0</v>
      </c>
      <c r="M186" s="64"/>
      <c r="N186" s="62"/>
      <c r="O186" s="49" t="str">
        <f t="shared" si="2"/>
        <v>PLAN</v>
      </c>
      <c r="P186" s="61" t="s">
        <v>33</v>
      </c>
      <c r="Q186" s="62"/>
      <c r="R186" s="46"/>
      <c r="S186" s="2" t="str">
        <f t="shared" si="0"/>
        <v>01</v>
      </c>
      <c r="T186" s="2">
        <v>72</v>
      </c>
      <c r="U186" s="48" t="s">
        <v>91</v>
      </c>
      <c r="V186" s="2"/>
      <c r="W186" s="2" t="str">
        <f t="shared" si="3"/>
        <v>02</v>
      </c>
      <c r="X186" s="2"/>
      <c r="Y186" s="3"/>
      <c r="Z186" s="3"/>
      <c r="AA186" s="3"/>
      <c r="AB186" s="3"/>
      <c r="AC186" s="3"/>
      <c r="AD186" s="3"/>
      <c r="AE186" s="3"/>
      <c r="AF186" s="3"/>
      <c r="AG186" s="3"/>
      <c r="AH186" s="3"/>
      <c r="AI186" s="3"/>
      <c r="AJ186" s="3"/>
      <c r="AK186" s="3"/>
      <c r="AL186" s="3"/>
      <c r="AM186" s="3"/>
      <c r="AN186" s="3"/>
      <c r="AO186" s="3"/>
      <c r="AP186" s="3"/>
      <c r="AQ186" s="3"/>
      <c r="AR186" s="3"/>
      <c r="AS186" s="3"/>
      <c r="AT186" s="3"/>
      <c r="AU186" s="3"/>
    </row>
    <row r="187" spans="1:47" ht="14.25" customHeight="1" x14ac:dyDescent="0.3">
      <c r="A187" s="42"/>
      <c r="B187" s="42"/>
      <c r="C187" s="42"/>
      <c r="D187" s="61" t="s">
        <v>33</v>
      </c>
      <c r="E187" s="62"/>
      <c r="F187" s="61"/>
      <c r="G187" s="62"/>
      <c r="H187" s="61"/>
      <c r="I187" s="62"/>
      <c r="J187" s="42"/>
      <c r="K187" s="42"/>
      <c r="L187" s="63">
        <v>0</v>
      </c>
      <c r="M187" s="64"/>
      <c r="N187" s="62"/>
      <c r="O187" s="49" t="str">
        <f t="shared" si="2"/>
        <v>PLAN</v>
      </c>
      <c r="P187" s="61" t="s">
        <v>33</v>
      </c>
      <c r="Q187" s="62"/>
      <c r="R187" s="46"/>
      <c r="S187" s="2" t="str">
        <f t="shared" si="0"/>
        <v>01</v>
      </c>
      <c r="T187" s="2">
        <v>73</v>
      </c>
      <c r="U187" s="48" t="s">
        <v>91</v>
      </c>
      <c r="V187" s="2"/>
      <c r="W187" s="2" t="str">
        <f t="shared" si="3"/>
        <v>02</v>
      </c>
      <c r="X187" s="2"/>
      <c r="Y187" s="3"/>
      <c r="Z187" s="3"/>
      <c r="AA187" s="3"/>
      <c r="AB187" s="3"/>
      <c r="AC187" s="3"/>
      <c r="AD187" s="3"/>
      <c r="AE187" s="3"/>
      <c r="AF187" s="3"/>
      <c r="AG187" s="3"/>
      <c r="AH187" s="3"/>
      <c r="AI187" s="3"/>
      <c r="AJ187" s="3"/>
      <c r="AK187" s="3"/>
      <c r="AL187" s="3"/>
      <c r="AM187" s="3"/>
      <c r="AN187" s="3"/>
      <c r="AO187" s="3"/>
      <c r="AP187" s="3"/>
      <c r="AQ187" s="3"/>
      <c r="AR187" s="3"/>
      <c r="AS187" s="3"/>
      <c r="AT187" s="3"/>
      <c r="AU187" s="3"/>
    </row>
    <row r="188" spans="1:47" ht="14.25" customHeight="1" x14ac:dyDescent="0.3">
      <c r="A188" s="42"/>
      <c r="B188" s="42"/>
      <c r="C188" s="42"/>
      <c r="D188" s="61" t="s">
        <v>33</v>
      </c>
      <c r="E188" s="62"/>
      <c r="F188" s="61"/>
      <c r="G188" s="62"/>
      <c r="H188" s="61"/>
      <c r="I188" s="62"/>
      <c r="J188" s="42"/>
      <c r="K188" s="42"/>
      <c r="L188" s="63">
        <v>0</v>
      </c>
      <c r="M188" s="64"/>
      <c r="N188" s="62"/>
      <c r="O188" s="49" t="str">
        <f t="shared" si="2"/>
        <v>PLAN</v>
      </c>
      <c r="P188" s="61" t="s">
        <v>33</v>
      </c>
      <c r="Q188" s="62"/>
      <c r="R188" s="46"/>
      <c r="S188" s="2" t="str">
        <f t="shared" si="0"/>
        <v>01</v>
      </c>
      <c r="T188" s="2">
        <v>74</v>
      </c>
      <c r="U188" s="48" t="s">
        <v>91</v>
      </c>
      <c r="V188" s="2"/>
      <c r="W188" s="2" t="str">
        <f t="shared" si="3"/>
        <v>02</v>
      </c>
      <c r="X188" s="2"/>
      <c r="Y188" s="3"/>
      <c r="Z188" s="3"/>
      <c r="AA188" s="3"/>
      <c r="AB188" s="3"/>
      <c r="AC188" s="3"/>
      <c r="AD188" s="3"/>
      <c r="AE188" s="3"/>
      <c r="AF188" s="3"/>
      <c r="AG188" s="3"/>
      <c r="AH188" s="3"/>
      <c r="AI188" s="3"/>
      <c r="AJ188" s="3"/>
      <c r="AK188" s="3"/>
      <c r="AL188" s="3"/>
      <c r="AM188" s="3"/>
      <c r="AN188" s="3"/>
      <c r="AO188" s="3"/>
      <c r="AP188" s="3"/>
      <c r="AQ188" s="3"/>
      <c r="AR188" s="3"/>
      <c r="AS188" s="3"/>
      <c r="AT188" s="3"/>
      <c r="AU188" s="3"/>
    </row>
    <row r="189" spans="1:47" ht="14.25" customHeight="1" x14ac:dyDescent="0.3">
      <c r="A189" s="42"/>
      <c r="B189" s="42"/>
      <c r="C189" s="42"/>
      <c r="D189" s="61" t="s">
        <v>33</v>
      </c>
      <c r="E189" s="62"/>
      <c r="F189" s="61"/>
      <c r="G189" s="62"/>
      <c r="H189" s="61"/>
      <c r="I189" s="62"/>
      <c r="J189" s="42"/>
      <c r="K189" s="42"/>
      <c r="L189" s="63">
        <v>0</v>
      </c>
      <c r="M189" s="64"/>
      <c r="N189" s="62"/>
      <c r="O189" s="49" t="str">
        <f t="shared" si="2"/>
        <v>PLAN</v>
      </c>
      <c r="P189" s="61" t="s">
        <v>33</v>
      </c>
      <c r="Q189" s="62"/>
      <c r="R189" s="46"/>
      <c r="S189" s="2" t="str">
        <f t="shared" si="0"/>
        <v>01</v>
      </c>
      <c r="T189" s="2">
        <v>75</v>
      </c>
      <c r="U189" s="48" t="s">
        <v>91</v>
      </c>
      <c r="V189" s="2"/>
      <c r="W189" s="2" t="str">
        <f t="shared" si="3"/>
        <v>02</v>
      </c>
      <c r="X189" s="2"/>
      <c r="Y189" s="3"/>
      <c r="Z189" s="3"/>
      <c r="AA189" s="3"/>
      <c r="AB189" s="3"/>
      <c r="AC189" s="3"/>
      <c r="AD189" s="3"/>
      <c r="AE189" s="3"/>
      <c r="AF189" s="3"/>
      <c r="AG189" s="3"/>
      <c r="AH189" s="3"/>
      <c r="AI189" s="3"/>
      <c r="AJ189" s="3"/>
      <c r="AK189" s="3"/>
      <c r="AL189" s="3"/>
      <c r="AM189" s="3"/>
      <c r="AN189" s="3"/>
      <c r="AO189" s="3"/>
      <c r="AP189" s="3"/>
      <c r="AQ189" s="3"/>
      <c r="AR189" s="3"/>
      <c r="AS189" s="3"/>
      <c r="AT189" s="3"/>
      <c r="AU189" s="3"/>
    </row>
    <row r="190" spans="1:47" ht="14.25" customHeight="1" x14ac:dyDescent="0.3">
      <c r="A190" s="42"/>
      <c r="B190" s="42"/>
      <c r="C190" s="42"/>
      <c r="D190" s="61" t="s">
        <v>33</v>
      </c>
      <c r="E190" s="62"/>
      <c r="F190" s="61"/>
      <c r="G190" s="62"/>
      <c r="H190" s="61"/>
      <c r="I190" s="62"/>
      <c r="J190" s="42"/>
      <c r="K190" s="42"/>
      <c r="L190" s="63">
        <v>0</v>
      </c>
      <c r="M190" s="64"/>
      <c r="N190" s="62"/>
      <c r="O190" s="49" t="str">
        <f t="shared" si="2"/>
        <v>PLAN</v>
      </c>
      <c r="P190" s="61" t="s">
        <v>33</v>
      </c>
      <c r="Q190" s="62"/>
      <c r="R190" s="46"/>
      <c r="S190" s="2" t="str">
        <f t="shared" si="0"/>
        <v>01</v>
      </c>
      <c r="T190" s="2">
        <v>76</v>
      </c>
      <c r="U190" s="48" t="s">
        <v>91</v>
      </c>
      <c r="V190" s="2"/>
      <c r="W190" s="2" t="str">
        <f t="shared" si="3"/>
        <v>02</v>
      </c>
      <c r="X190" s="2"/>
      <c r="Y190" s="3"/>
      <c r="Z190" s="3"/>
      <c r="AA190" s="3"/>
      <c r="AB190" s="3"/>
      <c r="AC190" s="3"/>
      <c r="AD190" s="3"/>
      <c r="AE190" s="3"/>
      <c r="AF190" s="3"/>
      <c r="AG190" s="3"/>
      <c r="AH190" s="3"/>
      <c r="AI190" s="3"/>
      <c r="AJ190" s="3"/>
      <c r="AK190" s="3"/>
      <c r="AL190" s="3"/>
      <c r="AM190" s="3"/>
      <c r="AN190" s="3"/>
      <c r="AO190" s="3"/>
      <c r="AP190" s="3"/>
      <c r="AQ190" s="3"/>
      <c r="AR190" s="3"/>
      <c r="AS190" s="3"/>
      <c r="AT190" s="3"/>
      <c r="AU190" s="3"/>
    </row>
    <row r="191" spans="1:47" ht="14.25" customHeight="1" x14ac:dyDescent="0.3">
      <c r="A191" s="42"/>
      <c r="B191" s="42"/>
      <c r="C191" s="42"/>
      <c r="D191" s="61" t="s">
        <v>33</v>
      </c>
      <c r="E191" s="62"/>
      <c r="F191" s="61"/>
      <c r="G191" s="62"/>
      <c r="H191" s="61"/>
      <c r="I191" s="62"/>
      <c r="J191" s="42"/>
      <c r="K191" s="42"/>
      <c r="L191" s="63">
        <v>0</v>
      </c>
      <c r="M191" s="64"/>
      <c r="N191" s="62"/>
      <c r="O191" s="49" t="str">
        <f t="shared" si="2"/>
        <v>PLAN</v>
      </c>
      <c r="P191" s="61" t="s">
        <v>33</v>
      </c>
      <c r="Q191" s="62"/>
      <c r="R191" s="46"/>
      <c r="S191" s="2" t="str">
        <f t="shared" si="0"/>
        <v>01</v>
      </c>
      <c r="T191" s="2">
        <v>77</v>
      </c>
      <c r="U191" s="48" t="s">
        <v>91</v>
      </c>
      <c r="V191" s="2"/>
      <c r="W191" s="2" t="str">
        <f t="shared" si="3"/>
        <v>02</v>
      </c>
      <c r="X191" s="2"/>
      <c r="Y191" s="3"/>
      <c r="Z191" s="3"/>
      <c r="AA191" s="3"/>
      <c r="AB191" s="3"/>
      <c r="AC191" s="3"/>
      <c r="AD191" s="3"/>
      <c r="AE191" s="3"/>
      <c r="AF191" s="3"/>
      <c r="AG191" s="3"/>
      <c r="AH191" s="3"/>
      <c r="AI191" s="3"/>
      <c r="AJ191" s="3"/>
      <c r="AK191" s="3"/>
      <c r="AL191" s="3"/>
      <c r="AM191" s="3"/>
      <c r="AN191" s="3"/>
      <c r="AO191" s="3"/>
      <c r="AP191" s="3"/>
      <c r="AQ191" s="3"/>
      <c r="AR191" s="3"/>
      <c r="AS191" s="3"/>
      <c r="AT191" s="3"/>
      <c r="AU191" s="3"/>
    </row>
    <row r="192" spans="1:47" ht="14.25" customHeight="1" x14ac:dyDescent="0.3">
      <c r="A192" s="42"/>
      <c r="B192" s="42"/>
      <c r="C192" s="42"/>
      <c r="D192" s="61" t="s">
        <v>33</v>
      </c>
      <c r="E192" s="62"/>
      <c r="F192" s="61"/>
      <c r="G192" s="62"/>
      <c r="H192" s="61"/>
      <c r="I192" s="62"/>
      <c r="J192" s="42"/>
      <c r="K192" s="42"/>
      <c r="L192" s="63">
        <v>0</v>
      </c>
      <c r="M192" s="64"/>
      <c r="N192" s="62"/>
      <c r="O192" s="49" t="str">
        <f t="shared" si="2"/>
        <v>PLAN</v>
      </c>
      <c r="P192" s="61" t="s">
        <v>33</v>
      </c>
      <c r="Q192" s="62"/>
      <c r="R192" s="46"/>
      <c r="S192" s="2" t="str">
        <f t="shared" si="0"/>
        <v>01</v>
      </c>
      <c r="T192" s="2">
        <v>78</v>
      </c>
      <c r="U192" s="48" t="s">
        <v>91</v>
      </c>
      <c r="V192" s="2"/>
      <c r="W192" s="2" t="str">
        <f t="shared" si="3"/>
        <v>02</v>
      </c>
      <c r="X192" s="2"/>
      <c r="Y192" s="3"/>
      <c r="Z192" s="3"/>
      <c r="AA192" s="3"/>
      <c r="AB192" s="3"/>
      <c r="AC192" s="3"/>
      <c r="AD192" s="3"/>
      <c r="AE192" s="3"/>
      <c r="AF192" s="3"/>
      <c r="AG192" s="3"/>
      <c r="AH192" s="3"/>
      <c r="AI192" s="3"/>
      <c r="AJ192" s="3"/>
      <c r="AK192" s="3"/>
      <c r="AL192" s="3"/>
      <c r="AM192" s="3"/>
      <c r="AN192" s="3"/>
      <c r="AO192" s="3"/>
      <c r="AP192" s="3"/>
      <c r="AQ192" s="3"/>
      <c r="AR192" s="3"/>
      <c r="AS192" s="3"/>
      <c r="AT192" s="3"/>
      <c r="AU192" s="3"/>
    </row>
    <row r="193" spans="1:47" ht="14.25" customHeight="1" x14ac:dyDescent="0.3">
      <c r="A193" s="42"/>
      <c r="B193" s="42"/>
      <c r="C193" s="42"/>
      <c r="D193" s="61" t="s">
        <v>33</v>
      </c>
      <c r="E193" s="62"/>
      <c r="F193" s="61"/>
      <c r="G193" s="62"/>
      <c r="H193" s="61"/>
      <c r="I193" s="62"/>
      <c r="J193" s="42"/>
      <c r="K193" s="42"/>
      <c r="L193" s="63">
        <v>0</v>
      </c>
      <c r="M193" s="64"/>
      <c r="N193" s="62"/>
      <c r="O193" s="49" t="str">
        <f t="shared" si="2"/>
        <v>PLAN</v>
      </c>
      <c r="P193" s="61" t="s">
        <v>33</v>
      </c>
      <c r="Q193" s="62"/>
      <c r="R193" s="46"/>
      <c r="S193" s="2" t="str">
        <f t="shared" si="0"/>
        <v>01</v>
      </c>
      <c r="T193" s="2">
        <v>79</v>
      </c>
      <c r="U193" s="48" t="s">
        <v>91</v>
      </c>
      <c r="V193" s="2"/>
      <c r="W193" s="2" t="str">
        <f t="shared" si="3"/>
        <v>02</v>
      </c>
      <c r="X193" s="2"/>
      <c r="Y193" s="3"/>
      <c r="Z193" s="3"/>
      <c r="AA193" s="3"/>
      <c r="AB193" s="3"/>
      <c r="AC193" s="3"/>
      <c r="AD193" s="3"/>
      <c r="AE193" s="3"/>
      <c r="AF193" s="3"/>
      <c r="AG193" s="3"/>
      <c r="AH193" s="3"/>
      <c r="AI193" s="3"/>
      <c r="AJ193" s="3"/>
      <c r="AK193" s="3"/>
      <c r="AL193" s="3"/>
      <c r="AM193" s="3"/>
      <c r="AN193" s="3"/>
      <c r="AO193" s="3"/>
      <c r="AP193" s="3"/>
      <c r="AQ193" s="3"/>
      <c r="AR193" s="3"/>
      <c r="AS193" s="3"/>
      <c r="AT193" s="3"/>
      <c r="AU193" s="3"/>
    </row>
    <row r="194" spans="1:47" ht="14.25" customHeight="1" x14ac:dyDescent="0.3">
      <c r="A194" s="42"/>
      <c r="B194" s="42"/>
      <c r="C194" s="42"/>
      <c r="D194" s="61" t="s">
        <v>33</v>
      </c>
      <c r="E194" s="62"/>
      <c r="F194" s="61"/>
      <c r="G194" s="62"/>
      <c r="H194" s="61"/>
      <c r="I194" s="62"/>
      <c r="J194" s="42"/>
      <c r="K194" s="42"/>
      <c r="L194" s="63">
        <v>0</v>
      </c>
      <c r="M194" s="64"/>
      <c r="N194" s="62"/>
      <c r="O194" s="49" t="str">
        <f t="shared" si="2"/>
        <v>PLAN</v>
      </c>
      <c r="P194" s="61" t="s">
        <v>33</v>
      </c>
      <c r="Q194" s="62"/>
      <c r="R194" s="46"/>
      <c r="S194" s="2" t="str">
        <f t="shared" si="0"/>
        <v>01</v>
      </c>
      <c r="T194" s="2">
        <v>80</v>
      </c>
      <c r="U194" s="48" t="s">
        <v>91</v>
      </c>
      <c r="V194" s="2"/>
      <c r="W194" s="2" t="str">
        <f t="shared" si="3"/>
        <v>02</v>
      </c>
      <c r="X194" s="2"/>
      <c r="Y194" s="3"/>
      <c r="Z194" s="3"/>
      <c r="AA194" s="3"/>
      <c r="AB194" s="3"/>
      <c r="AC194" s="3"/>
      <c r="AD194" s="3"/>
      <c r="AE194" s="3"/>
      <c r="AF194" s="3"/>
      <c r="AG194" s="3"/>
      <c r="AH194" s="3"/>
      <c r="AI194" s="3"/>
      <c r="AJ194" s="3"/>
      <c r="AK194" s="3"/>
      <c r="AL194" s="3"/>
      <c r="AM194" s="3"/>
      <c r="AN194" s="3"/>
      <c r="AO194" s="3"/>
      <c r="AP194" s="3"/>
      <c r="AQ194" s="3"/>
      <c r="AR194" s="3"/>
      <c r="AS194" s="3"/>
      <c r="AT194" s="3"/>
      <c r="AU194" s="3"/>
    </row>
    <row r="195" spans="1:47" ht="14.25" customHeight="1" x14ac:dyDescent="0.3">
      <c r="A195" s="42"/>
      <c r="B195" s="42"/>
      <c r="C195" s="42"/>
      <c r="D195" s="61" t="s">
        <v>33</v>
      </c>
      <c r="E195" s="62"/>
      <c r="F195" s="61"/>
      <c r="G195" s="62"/>
      <c r="H195" s="61"/>
      <c r="I195" s="62"/>
      <c r="J195" s="42"/>
      <c r="K195" s="42"/>
      <c r="L195" s="63">
        <v>0</v>
      </c>
      <c r="M195" s="64"/>
      <c r="N195" s="62"/>
      <c r="O195" s="49" t="str">
        <f t="shared" si="2"/>
        <v>PLAN</v>
      </c>
      <c r="P195" s="61" t="s">
        <v>33</v>
      </c>
      <c r="Q195" s="62"/>
      <c r="R195" s="46"/>
      <c r="S195" s="2" t="str">
        <f t="shared" si="0"/>
        <v>01</v>
      </c>
      <c r="T195" s="2">
        <v>81</v>
      </c>
      <c r="U195" s="48" t="s">
        <v>91</v>
      </c>
      <c r="V195" s="2"/>
      <c r="W195" s="2" t="str">
        <f t="shared" si="3"/>
        <v>02</v>
      </c>
      <c r="X195" s="2"/>
      <c r="Y195" s="3"/>
      <c r="Z195" s="3"/>
      <c r="AA195" s="3"/>
      <c r="AB195" s="3"/>
      <c r="AC195" s="3"/>
      <c r="AD195" s="3"/>
      <c r="AE195" s="3"/>
      <c r="AF195" s="3"/>
      <c r="AG195" s="3"/>
      <c r="AH195" s="3"/>
      <c r="AI195" s="3"/>
      <c r="AJ195" s="3"/>
      <c r="AK195" s="3"/>
      <c r="AL195" s="3"/>
      <c r="AM195" s="3"/>
      <c r="AN195" s="3"/>
      <c r="AO195" s="3"/>
      <c r="AP195" s="3"/>
      <c r="AQ195" s="3"/>
      <c r="AR195" s="3"/>
      <c r="AS195" s="3"/>
      <c r="AT195" s="3"/>
      <c r="AU195" s="3"/>
    </row>
    <row r="196" spans="1:47" ht="14.25" customHeight="1" x14ac:dyDescent="0.3">
      <c r="A196" s="42"/>
      <c r="B196" s="42"/>
      <c r="C196" s="42"/>
      <c r="D196" s="61" t="s">
        <v>33</v>
      </c>
      <c r="E196" s="62"/>
      <c r="F196" s="61"/>
      <c r="G196" s="62"/>
      <c r="H196" s="61"/>
      <c r="I196" s="62"/>
      <c r="J196" s="42"/>
      <c r="K196" s="42"/>
      <c r="L196" s="63">
        <v>0</v>
      </c>
      <c r="M196" s="64"/>
      <c r="N196" s="62"/>
      <c r="O196" s="49" t="str">
        <f t="shared" si="2"/>
        <v>PLAN</v>
      </c>
      <c r="P196" s="61" t="s">
        <v>33</v>
      </c>
      <c r="Q196" s="62"/>
      <c r="R196" s="46"/>
      <c r="S196" s="2" t="str">
        <f t="shared" si="0"/>
        <v>01</v>
      </c>
      <c r="T196" s="2">
        <v>82</v>
      </c>
      <c r="U196" s="48" t="s">
        <v>91</v>
      </c>
      <c r="V196" s="2"/>
      <c r="W196" s="2" t="str">
        <f t="shared" si="3"/>
        <v>02</v>
      </c>
      <c r="X196" s="2"/>
      <c r="Y196" s="3"/>
      <c r="Z196" s="3"/>
      <c r="AA196" s="3"/>
      <c r="AB196" s="3"/>
      <c r="AC196" s="3"/>
      <c r="AD196" s="3"/>
      <c r="AE196" s="3"/>
      <c r="AF196" s="3"/>
      <c r="AG196" s="3"/>
      <c r="AH196" s="3"/>
      <c r="AI196" s="3"/>
      <c r="AJ196" s="3"/>
      <c r="AK196" s="3"/>
      <c r="AL196" s="3"/>
      <c r="AM196" s="3"/>
      <c r="AN196" s="3"/>
      <c r="AO196" s="3"/>
      <c r="AP196" s="3"/>
      <c r="AQ196" s="3"/>
      <c r="AR196" s="3"/>
      <c r="AS196" s="3"/>
      <c r="AT196" s="3"/>
      <c r="AU196" s="3"/>
    </row>
    <row r="197" spans="1:47" ht="14.25" customHeight="1" x14ac:dyDescent="0.3">
      <c r="A197" s="42"/>
      <c r="B197" s="42"/>
      <c r="C197" s="42"/>
      <c r="D197" s="61" t="s">
        <v>33</v>
      </c>
      <c r="E197" s="62"/>
      <c r="F197" s="61"/>
      <c r="G197" s="62"/>
      <c r="H197" s="61"/>
      <c r="I197" s="62"/>
      <c r="J197" s="42"/>
      <c r="K197" s="42"/>
      <c r="L197" s="63">
        <v>0</v>
      </c>
      <c r="M197" s="64"/>
      <c r="N197" s="62"/>
      <c r="O197" s="49" t="str">
        <f t="shared" si="2"/>
        <v>PLAN</v>
      </c>
      <c r="P197" s="61" t="s">
        <v>33</v>
      </c>
      <c r="Q197" s="62"/>
      <c r="R197" s="46"/>
      <c r="S197" s="2" t="str">
        <f t="shared" si="0"/>
        <v>01</v>
      </c>
      <c r="T197" s="2">
        <v>83</v>
      </c>
      <c r="U197" s="48" t="s">
        <v>91</v>
      </c>
      <c r="V197" s="2"/>
      <c r="W197" s="2" t="str">
        <f t="shared" si="3"/>
        <v>02</v>
      </c>
      <c r="X197" s="2"/>
      <c r="Y197" s="3"/>
      <c r="Z197" s="3"/>
      <c r="AA197" s="3"/>
      <c r="AB197" s="3"/>
      <c r="AC197" s="3"/>
      <c r="AD197" s="3"/>
      <c r="AE197" s="3"/>
      <c r="AF197" s="3"/>
      <c r="AG197" s="3"/>
      <c r="AH197" s="3"/>
      <c r="AI197" s="3"/>
      <c r="AJ197" s="3"/>
      <c r="AK197" s="3"/>
      <c r="AL197" s="3"/>
      <c r="AM197" s="3"/>
      <c r="AN197" s="3"/>
      <c r="AO197" s="3"/>
      <c r="AP197" s="3"/>
      <c r="AQ197" s="3"/>
      <c r="AR197" s="3"/>
      <c r="AS197" s="3"/>
      <c r="AT197" s="3"/>
      <c r="AU197" s="3"/>
    </row>
    <row r="198" spans="1:47" ht="14.25" customHeight="1" x14ac:dyDescent="0.3">
      <c r="A198" s="42"/>
      <c r="B198" s="42"/>
      <c r="C198" s="42"/>
      <c r="D198" s="61" t="s">
        <v>33</v>
      </c>
      <c r="E198" s="62"/>
      <c r="F198" s="61"/>
      <c r="G198" s="62"/>
      <c r="H198" s="61"/>
      <c r="I198" s="62"/>
      <c r="J198" s="42"/>
      <c r="K198" s="42"/>
      <c r="L198" s="63">
        <v>0</v>
      </c>
      <c r="M198" s="64"/>
      <c r="N198" s="62"/>
      <c r="O198" s="49" t="str">
        <f t="shared" si="2"/>
        <v>PLAN</v>
      </c>
      <c r="P198" s="61" t="s">
        <v>33</v>
      </c>
      <c r="Q198" s="62"/>
      <c r="R198" s="46"/>
      <c r="S198" s="2" t="str">
        <f t="shared" si="0"/>
        <v>01</v>
      </c>
      <c r="T198" s="2">
        <v>84</v>
      </c>
      <c r="U198" s="48" t="s">
        <v>91</v>
      </c>
      <c r="V198" s="2"/>
      <c r="W198" s="2" t="str">
        <f t="shared" si="3"/>
        <v>02</v>
      </c>
      <c r="X198" s="2"/>
      <c r="Y198" s="3"/>
      <c r="Z198" s="3"/>
      <c r="AA198" s="3"/>
      <c r="AB198" s="3"/>
      <c r="AC198" s="3"/>
      <c r="AD198" s="3"/>
      <c r="AE198" s="3"/>
      <c r="AF198" s="3"/>
      <c r="AG198" s="3"/>
      <c r="AH198" s="3"/>
      <c r="AI198" s="3"/>
      <c r="AJ198" s="3"/>
      <c r="AK198" s="3"/>
      <c r="AL198" s="3"/>
      <c r="AM198" s="3"/>
      <c r="AN198" s="3"/>
      <c r="AO198" s="3"/>
      <c r="AP198" s="3"/>
      <c r="AQ198" s="3"/>
      <c r="AR198" s="3"/>
      <c r="AS198" s="3"/>
      <c r="AT198" s="3"/>
      <c r="AU198" s="3"/>
    </row>
    <row r="199" spans="1:47" ht="14.25" customHeight="1" x14ac:dyDescent="0.3">
      <c r="A199" s="42"/>
      <c r="B199" s="42"/>
      <c r="C199" s="42"/>
      <c r="D199" s="61" t="s">
        <v>33</v>
      </c>
      <c r="E199" s="62"/>
      <c r="F199" s="61"/>
      <c r="G199" s="62"/>
      <c r="H199" s="61"/>
      <c r="I199" s="62"/>
      <c r="J199" s="42"/>
      <c r="K199" s="42"/>
      <c r="L199" s="63">
        <v>0</v>
      </c>
      <c r="M199" s="64"/>
      <c r="N199" s="62"/>
      <c r="O199" s="49" t="str">
        <f t="shared" si="2"/>
        <v>PLAN</v>
      </c>
      <c r="P199" s="61" t="s">
        <v>33</v>
      </c>
      <c r="Q199" s="62"/>
      <c r="R199" s="46"/>
      <c r="S199" s="2" t="str">
        <f t="shared" si="0"/>
        <v>01</v>
      </c>
      <c r="T199" s="2">
        <v>85</v>
      </c>
      <c r="U199" s="48" t="s">
        <v>91</v>
      </c>
      <c r="V199" s="2"/>
      <c r="W199" s="2" t="str">
        <f t="shared" si="3"/>
        <v>02</v>
      </c>
      <c r="X199" s="2"/>
      <c r="Y199" s="3"/>
      <c r="Z199" s="3"/>
      <c r="AA199" s="3"/>
      <c r="AB199" s="3"/>
      <c r="AC199" s="3"/>
      <c r="AD199" s="3"/>
      <c r="AE199" s="3"/>
      <c r="AF199" s="3"/>
      <c r="AG199" s="3"/>
      <c r="AH199" s="3"/>
      <c r="AI199" s="3"/>
      <c r="AJ199" s="3"/>
      <c r="AK199" s="3"/>
      <c r="AL199" s="3"/>
      <c r="AM199" s="3"/>
      <c r="AN199" s="3"/>
      <c r="AO199" s="3"/>
      <c r="AP199" s="3"/>
      <c r="AQ199" s="3"/>
      <c r="AR199" s="3"/>
      <c r="AS199" s="3"/>
      <c r="AT199" s="3"/>
      <c r="AU199" s="3"/>
    </row>
    <row r="200" spans="1:47" ht="14.25" customHeight="1" x14ac:dyDescent="0.3">
      <c r="A200" s="42"/>
      <c r="B200" s="42"/>
      <c r="C200" s="42"/>
      <c r="D200" s="61" t="s">
        <v>33</v>
      </c>
      <c r="E200" s="62"/>
      <c r="F200" s="61"/>
      <c r="G200" s="62"/>
      <c r="H200" s="61"/>
      <c r="I200" s="62"/>
      <c r="J200" s="42"/>
      <c r="K200" s="42"/>
      <c r="L200" s="63">
        <v>0</v>
      </c>
      <c r="M200" s="64"/>
      <c r="N200" s="62"/>
      <c r="O200" s="49" t="str">
        <f t="shared" si="2"/>
        <v>PLAN</v>
      </c>
      <c r="P200" s="61" t="s">
        <v>33</v>
      </c>
      <c r="Q200" s="62"/>
      <c r="R200" s="46"/>
      <c r="S200" s="2" t="str">
        <f t="shared" si="0"/>
        <v>01</v>
      </c>
      <c r="T200" s="2">
        <v>86</v>
      </c>
      <c r="U200" s="48" t="s">
        <v>91</v>
      </c>
      <c r="V200" s="2"/>
      <c r="W200" s="2" t="str">
        <f t="shared" si="3"/>
        <v>02</v>
      </c>
      <c r="X200" s="2"/>
      <c r="Y200" s="3"/>
      <c r="Z200" s="3"/>
      <c r="AA200" s="3"/>
      <c r="AB200" s="3"/>
      <c r="AC200" s="3"/>
      <c r="AD200" s="3"/>
      <c r="AE200" s="3"/>
      <c r="AF200" s="3"/>
      <c r="AG200" s="3"/>
      <c r="AH200" s="3"/>
      <c r="AI200" s="3"/>
      <c r="AJ200" s="3"/>
      <c r="AK200" s="3"/>
      <c r="AL200" s="3"/>
      <c r="AM200" s="3"/>
      <c r="AN200" s="3"/>
      <c r="AO200" s="3"/>
      <c r="AP200" s="3"/>
      <c r="AQ200" s="3"/>
      <c r="AR200" s="3"/>
      <c r="AS200" s="3"/>
      <c r="AT200" s="3"/>
      <c r="AU200" s="3"/>
    </row>
    <row r="201" spans="1:47" ht="14.25" customHeight="1" x14ac:dyDescent="0.3">
      <c r="A201" s="42"/>
      <c r="B201" s="42"/>
      <c r="C201" s="42"/>
      <c r="D201" s="61" t="s">
        <v>33</v>
      </c>
      <c r="E201" s="62"/>
      <c r="F201" s="61"/>
      <c r="G201" s="62"/>
      <c r="H201" s="61"/>
      <c r="I201" s="62"/>
      <c r="J201" s="42"/>
      <c r="K201" s="42"/>
      <c r="L201" s="63">
        <v>0</v>
      </c>
      <c r="M201" s="64"/>
      <c r="N201" s="62"/>
      <c r="O201" s="49" t="str">
        <f t="shared" si="2"/>
        <v>PLAN</v>
      </c>
      <c r="P201" s="61" t="s">
        <v>33</v>
      </c>
      <c r="Q201" s="62"/>
      <c r="R201" s="46"/>
      <c r="S201" s="2" t="str">
        <f t="shared" si="0"/>
        <v>01</v>
      </c>
      <c r="T201" s="2">
        <v>87</v>
      </c>
      <c r="U201" s="48" t="s">
        <v>91</v>
      </c>
      <c r="V201" s="2"/>
      <c r="W201" s="2" t="str">
        <f t="shared" si="3"/>
        <v>02</v>
      </c>
      <c r="X201" s="2"/>
      <c r="Y201" s="3"/>
      <c r="Z201" s="3"/>
      <c r="AA201" s="3"/>
      <c r="AB201" s="3"/>
      <c r="AC201" s="3"/>
      <c r="AD201" s="3"/>
      <c r="AE201" s="3"/>
      <c r="AF201" s="3"/>
      <c r="AG201" s="3"/>
      <c r="AH201" s="3"/>
      <c r="AI201" s="3"/>
      <c r="AJ201" s="3"/>
      <c r="AK201" s="3"/>
      <c r="AL201" s="3"/>
      <c r="AM201" s="3"/>
      <c r="AN201" s="3"/>
      <c r="AO201" s="3"/>
      <c r="AP201" s="3"/>
      <c r="AQ201" s="3"/>
      <c r="AR201" s="3"/>
      <c r="AS201" s="3"/>
      <c r="AT201" s="3"/>
      <c r="AU201" s="3"/>
    </row>
    <row r="202" spans="1:47" ht="14.25" customHeight="1" x14ac:dyDescent="0.3">
      <c r="A202" s="42"/>
      <c r="B202" s="42"/>
      <c r="C202" s="42"/>
      <c r="D202" s="61" t="s">
        <v>33</v>
      </c>
      <c r="E202" s="62"/>
      <c r="F202" s="61"/>
      <c r="G202" s="62"/>
      <c r="H202" s="61"/>
      <c r="I202" s="62"/>
      <c r="J202" s="42"/>
      <c r="K202" s="42"/>
      <c r="L202" s="63">
        <v>0</v>
      </c>
      <c r="M202" s="64"/>
      <c r="N202" s="62"/>
      <c r="O202" s="49" t="str">
        <f t="shared" si="2"/>
        <v>PLAN</v>
      </c>
      <c r="P202" s="61" t="s">
        <v>33</v>
      </c>
      <c r="Q202" s="62"/>
      <c r="R202" s="46"/>
      <c r="S202" s="2" t="str">
        <f t="shared" si="0"/>
        <v>01</v>
      </c>
      <c r="T202" s="2">
        <v>88</v>
      </c>
      <c r="U202" s="48" t="s">
        <v>91</v>
      </c>
      <c r="V202" s="2"/>
      <c r="W202" s="2" t="str">
        <f t="shared" si="3"/>
        <v>02</v>
      </c>
      <c r="X202" s="2"/>
      <c r="Y202" s="3"/>
      <c r="Z202" s="3"/>
      <c r="AA202" s="3"/>
      <c r="AB202" s="3"/>
      <c r="AC202" s="3"/>
      <c r="AD202" s="3"/>
      <c r="AE202" s="3"/>
      <c r="AF202" s="3"/>
      <c r="AG202" s="3"/>
      <c r="AH202" s="3"/>
      <c r="AI202" s="3"/>
      <c r="AJ202" s="3"/>
      <c r="AK202" s="3"/>
      <c r="AL202" s="3"/>
      <c r="AM202" s="3"/>
      <c r="AN202" s="3"/>
      <c r="AO202" s="3"/>
      <c r="AP202" s="3"/>
      <c r="AQ202" s="3"/>
      <c r="AR202" s="3"/>
      <c r="AS202" s="3"/>
      <c r="AT202" s="3"/>
      <c r="AU202" s="3"/>
    </row>
    <row r="203" spans="1:47" ht="14.25" customHeight="1" x14ac:dyDescent="0.3">
      <c r="A203" s="42"/>
      <c r="B203" s="42"/>
      <c r="C203" s="42"/>
      <c r="D203" s="61" t="s">
        <v>33</v>
      </c>
      <c r="E203" s="62"/>
      <c r="F203" s="61"/>
      <c r="G203" s="62"/>
      <c r="H203" s="61"/>
      <c r="I203" s="62"/>
      <c r="J203" s="42"/>
      <c r="K203" s="42"/>
      <c r="L203" s="63">
        <v>0</v>
      </c>
      <c r="M203" s="64"/>
      <c r="N203" s="62"/>
      <c r="O203" s="49" t="str">
        <f t="shared" si="2"/>
        <v>PLAN</v>
      </c>
      <c r="P203" s="61" t="s">
        <v>33</v>
      </c>
      <c r="Q203" s="62"/>
      <c r="R203" s="46"/>
      <c r="S203" s="2" t="str">
        <f t="shared" si="0"/>
        <v>01</v>
      </c>
      <c r="T203" s="2">
        <v>89</v>
      </c>
      <c r="U203" s="48" t="s">
        <v>91</v>
      </c>
      <c r="V203" s="2"/>
      <c r="W203" s="2" t="str">
        <f t="shared" si="3"/>
        <v>02</v>
      </c>
      <c r="X203" s="2"/>
      <c r="Y203" s="3"/>
      <c r="Z203" s="3"/>
      <c r="AA203" s="3"/>
      <c r="AB203" s="3"/>
      <c r="AC203" s="3"/>
      <c r="AD203" s="3"/>
      <c r="AE203" s="3"/>
      <c r="AF203" s="3"/>
      <c r="AG203" s="3"/>
      <c r="AH203" s="3"/>
      <c r="AI203" s="3"/>
      <c r="AJ203" s="3"/>
      <c r="AK203" s="3"/>
      <c r="AL203" s="3"/>
      <c r="AM203" s="3"/>
      <c r="AN203" s="3"/>
      <c r="AO203" s="3"/>
      <c r="AP203" s="3"/>
      <c r="AQ203" s="3"/>
      <c r="AR203" s="3"/>
      <c r="AS203" s="3"/>
      <c r="AT203" s="3"/>
      <c r="AU203" s="3"/>
    </row>
    <row r="204" spans="1:47" ht="14.25" customHeight="1" x14ac:dyDescent="0.3">
      <c r="A204" s="42"/>
      <c r="B204" s="42"/>
      <c r="C204" s="42"/>
      <c r="D204" s="61" t="s">
        <v>33</v>
      </c>
      <c r="E204" s="62"/>
      <c r="F204" s="61"/>
      <c r="G204" s="62"/>
      <c r="H204" s="61"/>
      <c r="I204" s="62"/>
      <c r="J204" s="42"/>
      <c r="K204" s="42"/>
      <c r="L204" s="63">
        <v>0</v>
      </c>
      <c r="M204" s="64"/>
      <c r="N204" s="62"/>
      <c r="O204" s="49" t="str">
        <f t="shared" si="2"/>
        <v>PLAN</v>
      </c>
      <c r="P204" s="61" t="s">
        <v>33</v>
      </c>
      <c r="Q204" s="62"/>
      <c r="R204" s="46"/>
      <c r="S204" s="2" t="str">
        <f t="shared" si="0"/>
        <v>01</v>
      </c>
      <c r="T204" s="2">
        <v>90</v>
      </c>
      <c r="U204" s="48" t="s">
        <v>91</v>
      </c>
      <c r="V204" s="2"/>
      <c r="W204" s="2" t="str">
        <f t="shared" si="3"/>
        <v>02</v>
      </c>
      <c r="X204" s="2"/>
      <c r="Y204" s="3"/>
      <c r="Z204" s="3"/>
      <c r="AA204" s="3"/>
      <c r="AB204" s="3"/>
      <c r="AC204" s="3"/>
      <c r="AD204" s="3"/>
      <c r="AE204" s="3"/>
      <c r="AF204" s="3"/>
      <c r="AG204" s="3"/>
      <c r="AH204" s="3"/>
      <c r="AI204" s="3"/>
      <c r="AJ204" s="3"/>
      <c r="AK204" s="3"/>
      <c r="AL204" s="3"/>
      <c r="AM204" s="3"/>
      <c r="AN204" s="3"/>
      <c r="AO204" s="3"/>
      <c r="AP204" s="3"/>
      <c r="AQ204" s="3"/>
      <c r="AR204" s="3"/>
      <c r="AS204" s="3"/>
      <c r="AT204" s="3"/>
      <c r="AU204" s="3"/>
    </row>
    <row r="205" spans="1:47" ht="14.25" customHeight="1" x14ac:dyDescent="0.3">
      <c r="A205" s="42"/>
      <c r="B205" s="42"/>
      <c r="C205" s="42"/>
      <c r="D205" s="61" t="s">
        <v>33</v>
      </c>
      <c r="E205" s="62"/>
      <c r="F205" s="61"/>
      <c r="G205" s="62"/>
      <c r="H205" s="61"/>
      <c r="I205" s="62"/>
      <c r="J205" s="42"/>
      <c r="K205" s="42"/>
      <c r="L205" s="63">
        <v>0</v>
      </c>
      <c r="M205" s="64"/>
      <c r="N205" s="62"/>
      <c r="O205" s="49" t="str">
        <f t="shared" si="2"/>
        <v>PLAN</v>
      </c>
      <c r="P205" s="61" t="s">
        <v>33</v>
      </c>
      <c r="Q205" s="62"/>
      <c r="R205" s="46"/>
      <c r="S205" s="2" t="str">
        <f t="shared" si="0"/>
        <v>01</v>
      </c>
      <c r="T205" s="2">
        <v>91</v>
      </c>
      <c r="U205" s="48" t="s">
        <v>91</v>
      </c>
      <c r="V205" s="2"/>
      <c r="W205" s="2" t="str">
        <f t="shared" si="3"/>
        <v>02</v>
      </c>
      <c r="X205" s="2"/>
      <c r="Y205" s="3"/>
      <c r="Z205" s="3"/>
      <c r="AA205" s="3"/>
      <c r="AB205" s="3"/>
      <c r="AC205" s="3"/>
      <c r="AD205" s="3"/>
      <c r="AE205" s="3"/>
      <c r="AF205" s="3"/>
      <c r="AG205" s="3"/>
      <c r="AH205" s="3"/>
      <c r="AI205" s="3"/>
      <c r="AJ205" s="3"/>
      <c r="AK205" s="3"/>
      <c r="AL205" s="3"/>
      <c r="AM205" s="3"/>
      <c r="AN205" s="3"/>
      <c r="AO205" s="3"/>
      <c r="AP205" s="3"/>
      <c r="AQ205" s="3"/>
      <c r="AR205" s="3"/>
      <c r="AS205" s="3"/>
      <c r="AT205" s="3"/>
      <c r="AU205" s="3"/>
    </row>
    <row r="206" spans="1:47" ht="14.25" customHeight="1" x14ac:dyDescent="0.3">
      <c r="A206" s="42"/>
      <c r="B206" s="42"/>
      <c r="C206" s="42"/>
      <c r="D206" s="61" t="s">
        <v>33</v>
      </c>
      <c r="E206" s="62"/>
      <c r="F206" s="61"/>
      <c r="G206" s="62"/>
      <c r="H206" s="61"/>
      <c r="I206" s="62"/>
      <c r="J206" s="42"/>
      <c r="K206" s="42"/>
      <c r="L206" s="63">
        <v>0</v>
      </c>
      <c r="M206" s="64"/>
      <c r="N206" s="62"/>
      <c r="O206" s="49" t="str">
        <f t="shared" si="2"/>
        <v>PLAN</v>
      </c>
      <c r="P206" s="61" t="s">
        <v>33</v>
      </c>
      <c r="Q206" s="62"/>
      <c r="R206" s="46"/>
      <c r="S206" s="2" t="str">
        <f t="shared" si="0"/>
        <v>01</v>
      </c>
      <c r="T206" s="2">
        <v>92</v>
      </c>
      <c r="U206" s="48" t="s">
        <v>91</v>
      </c>
      <c r="V206" s="2"/>
      <c r="W206" s="2" t="str">
        <f t="shared" si="3"/>
        <v>02</v>
      </c>
      <c r="X206" s="2"/>
      <c r="Y206" s="3"/>
      <c r="Z206" s="3"/>
      <c r="AA206" s="3"/>
      <c r="AB206" s="3"/>
      <c r="AC206" s="3"/>
      <c r="AD206" s="3"/>
      <c r="AE206" s="3"/>
      <c r="AF206" s="3"/>
      <c r="AG206" s="3"/>
      <c r="AH206" s="3"/>
      <c r="AI206" s="3"/>
      <c r="AJ206" s="3"/>
      <c r="AK206" s="3"/>
      <c r="AL206" s="3"/>
      <c r="AM206" s="3"/>
      <c r="AN206" s="3"/>
      <c r="AO206" s="3"/>
      <c r="AP206" s="3"/>
      <c r="AQ206" s="3"/>
      <c r="AR206" s="3"/>
      <c r="AS206" s="3"/>
      <c r="AT206" s="3"/>
      <c r="AU206" s="3"/>
    </row>
    <row r="207" spans="1:47" ht="14.25" customHeight="1" x14ac:dyDescent="0.3">
      <c r="A207" s="42"/>
      <c r="B207" s="42"/>
      <c r="C207" s="42"/>
      <c r="D207" s="61" t="s">
        <v>33</v>
      </c>
      <c r="E207" s="62"/>
      <c r="F207" s="61"/>
      <c r="G207" s="62"/>
      <c r="H207" s="61"/>
      <c r="I207" s="62"/>
      <c r="J207" s="42"/>
      <c r="K207" s="42"/>
      <c r="L207" s="63">
        <v>0</v>
      </c>
      <c r="M207" s="64"/>
      <c r="N207" s="62"/>
      <c r="O207" s="49" t="str">
        <f t="shared" si="2"/>
        <v>PLAN</v>
      </c>
      <c r="P207" s="61" t="s">
        <v>33</v>
      </c>
      <c r="Q207" s="62"/>
      <c r="R207" s="46"/>
      <c r="S207" s="2" t="str">
        <f t="shared" si="0"/>
        <v>01</v>
      </c>
      <c r="T207" s="2">
        <v>93</v>
      </c>
      <c r="U207" s="48" t="s">
        <v>91</v>
      </c>
      <c r="V207" s="2"/>
      <c r="W207" s="2" t="str">
        <f t="shared" si="3"/>
        <v>02</v>
      </c>
      <c r="X207" s="2"/>
      <c r="Y207" s="3"/>
      <c r="Z207" s="3"/>
      <c r="AA207" s="3"/>
      <c r="AB207" s="3"/>
      <c r="AC207" s="3"/>
      <c r="AD207" s="3"/>
      <c r="AE207" s="3"/>
      <c r="AF207" s="3"/>
      <c r="AG207" s="3"/>
      <c r="AH207" s="3"/>
      <c r="AI207" s="3"/>
      <c r="AJ207" s="3"/>
      <c r="AK207" s="3"/>
      <c r="AL207" s="3"/>
      <c r="AM207" s="3"/>
      <c r="AN207" s="3"/>
      <c r="AO207" s="3"/>
      <c r="AP207" s="3"/>
      <c r="AQ207" s="3"/>
      <c r="AR207" s="3"/>
      <c r="AS207" s="3"/>
      <c r="AT207" s="3"/>
      <c r="AU207" s="3"/>
    </row>
    <row r="208" spans="1:47" ht="14.25" customHeight="1" x14ac:dyDescent="0.3">
      <c r="A208" s="42"/>
      <c r="B208" s="42"/>
      <c r="C208" s="42"/>
      <c r="D208" s="61" t="s">
        <v>33</v>
      </c>
      <c r="E208" s="62"/>
      <c r="F208" s="61"/>
      <c r="G208" s="62"/>
      <c r="H208" s="61"/>
      <c r="I208" s="62"/>
      <c r="J208" s="42"/>
      <c r="K208" s="42"/>
      <c r="L208" s="63">
        <v>0</v>
      </c>
      <c r="M208" s="64"/>
      <c r="N208" s="62"/>
      <c r="O208" s="49" t="str">
        <f t="shared" si="2"/>
        <v>PLAN</v>
      </c>
      <c r="P208" s="61" t="s">
        <v>33</v>
      </c>
      <c r="Q208" s="62"/>
      <c r="R208" s="46"/>
      <c r="S208" s="2" t="str">
        <f t="shared" si="0"/>
        <v>01</v>
      </c>
      <c r="T208" s="2">
        <v>94</v>
      </c>
      <c r="U208" s="48" t="s">
        <v>91</v>
      </c>
      <c r="V208" s="2"/>
      <c r="W208" s="2" t="str">
        <f t="shared" si="3"/>
        <v>02</v>
      </c>
      <c r="X208" s="2"/>
      <c r="Y208" s="3"/>
      <c r="Z208" s="3"/>
      <c r="AA208" s="3"/>
      <c r="AB208" s="3"/>
      <c r="AC208" s="3"/>
      <c r="AD208" s="3"/>
      <c r="AE208" s="3"/>
      <c r="AF208" s="3"/>
      <c r="AG208" s="3"/>
      <c r="AH208" s="3"/>
      <c r="AI208" s="3"/>
      <c r="AJ208" s="3"/>
      <c r="AK208" s="3"/>
      <c r="AL208" s="3"/>
      <c r="AM208" s="3"/>
      <c r="AN208" s="3"/>
      <c r="AO208" s="3"/>
      <c r="AP208" s="3"/>
      <c r="AQ208" s="3"/>
      <c r="AR208" s="3"/>
      <c r="AS208" s="3"/>
      <c r="AT208" s="3"/>
      <c r="AU208" s="3"/>
    </row>
    <row r="209" spans="1:47" ht="14.25" customHeight="1" x14ac:dyDescent="0.3">
      <c r="A209" s="42"/>
      <c r="B209" s="42"/>
      <c r="C209" s="42"/>
      <c r="D209" s="61" t="s">
        <v>33</v>
      </c>
      <c r="E209" s="62"/>
      <c r="F209" s="61"/>
      <c r="G209" s="62"/>
      <c r="H209" s="61"/>
      <c r="I209" s="62"/>
      <c r="J209" s="42"/>
      <c r="K209" s="42"/>
      <c r="L209" s="63">
        <v>0</v>
      </c>
      <c r="M209" s="64"/>
      <c r="N209" s="62"/>
      <c r="O209" s="49" t="str">
        <f t="shared" si="2"/>
        <v>PLAN</v>
      </c>
      <c r="P209" s="61" t="s">
        <v>33</v>
      </c>
      <c r="Q209" s="62"/>
      <c r="R209" s="46"/>
      <c r="S209" s="2" t="str">
        <f t="shared" si="0"/>
        <v>01</v>
      </c>
      <c r="T209" s="2">
        <v>95</v>
      </c>
      <c r="U209" s="48" t="s">
        <v>91</v>
      </c>
      <c r="V209" s="2"/>
      <c r="W209" s="2" t="str">
        <f t="shared" si="3"/>
        <v>02</v>
      </c>
      <c r="X209" s="2"/>
      <c r="Y209" s="3"/>
      <c r="Z209" s="3"/>
      <c r="AA209" s="3"/>
      <c r="AB209" s="3"/>
      <c r="AC209" s="3"/>
      <c r="AD209" s="3"/>
      <c r="AE209" s="3"/>
      <c r="AF209" s="3"/>
      <c r="AG209" s="3"/>
      <c r="AH209" s="3"/>
      <c r="AI209" s="3"/>
      <c r="AJ209" s="3"/>
      <c r="AK209" s="3"/>
      <c r="AL209" s="3"/>
      <c r="AM209" s="3"/>
      <c r="AN209" s="3"/>
      <c r="AO209" s="3"/>
      <c r="AP209" s="3"/>
      <c r="AQ209" s="3"/>
      <c r="AR209" s="3"/>
      <c r="AS209" s="3"/>
      <c r="AT209" s="3"/>
      <c r="AU209" s="3"/>
    </row>
    <row r="210" spans="1:47" ht="14.25" customHeight="1" x14ac:dyDescent="0.3">
      <c r="A210" s="42"/>
      <c r="B210" s="42"/>
      <c r="C210" s="42"/>
      <c r="D210" s="61" t="s">
        <v>33</v>
      </c>
      <c r="E210" s="62"/>
      <c r="F210" s="61"/>
      <c r="G210" s="62"/>
      <c r="H210" s="61"/>
      <c r="I210" s="62"/>
      <c r="J210" s="42"/>
      <c r="K210" s="42"/>
      <c r="L210" s="63">
        <v>0</v>
      </c>
      <c r="M210" s="64"/>
      <c r="N210" s="62"/>
      <c r="O210" s="49" t="str">
        <f t="shared" si="2"/>
        <v>PLAN</v>
      </c>
      <c r="P210" s="61" t="s">
        <v>33</v>
      </c>
      <c r="Q210" s="62"/>
      <c r="R210" s="46"/>
      <c r="S210" s="2" t="str">
        <f t="shared" si="0"/>
        <v>01</v>
      </c>
      <c r="T210" s="2">
        <v>96</v>
      </c>
      <c r="U210" s="48" t="s">
        <v>91</v>
      </c>
      <c r="V210" s="2"/>
      <c r="W210" s="2" t="str">
        <f t="shared" si="3"/>
        <v>02</v>
      </c>
      <c r="X210" s="2"/>
      <c r="Y210" s="3"/>
      <c r="Z210" s="3"/>
      <c r="AA210" s="3"/>
      <c r="AB210" s="3"/>
      <c r="AC210" s="3"/>
      <c r="AD210" s="3"/>
      <c r="AE210" s="3"/>
      <c r="AF210" s="3"/>
      <c r="AG210" s="3"/>
      <c r="AH210" s="3"/>
      <c r="AI210" s="3"/>
      <c r="AJ210" s="3"/>
      <c r="AK210" s="3"/>
      <c r="AL210" s="3"/>
      <c r="AM210" s="3"/>
      <c r="AN210" s="3"/>
      <c r="AO210" s="3"/>
      <c r="AP210" s="3"/>
      <c r="AQ210" s="3"/>
      <c r="AR210" s="3"/>
      <c r="AS210" s="3"/>
      <c r="AT210" s="3"/>
      <c r="AU210" s="3"/>
    </row>
    <row r="211" spans="1:47" ht="14.25" customHeight="1" x14ac:dyDescent="0.3">
      <c r="A211" s="42"/>
      <c r="B211" s="42"/>
      <c r="C211" s="42"/>
      <c r="D211" s="61" t="s">
        <v>33</v>
      </c>
      <c r="E211" s="62"/>
      <c r="F211" s="61"/>
      <c r="G211" s="62"/>
      <c r="H211" s="61"/>
      <c r="I211" s="62"/>
      <c r="J211" s="42"/>
      <c r="K211" s="42"/>
      <c r="L211" s="63">
        <v>0</v>
      </c>
      <c r="M211" s="64"/>
      <c r="N211" s="62"/>
      <c r="O211" s="49" t="str">
        <f t="shared" si="2"/>
        <v>PLAN</v>
      </c>
      <c r="P211" s="61" t="s">
        <v>33</v>
      </c>
      <c r="Q211" s="62"/>
      <c r="R211" s="46"/>
      <c r="S211" s="2" t="str">
        <f t="shared" si="0"/>
        <v>01</v>
      </c>
      <c r="T211" s="2">
        <v>97</v>
      </c>
      <c r="U211" s="48" t="s">
        <v>91</v>
      </c>
      <c r="V211" s="2"/>
      <c r="W211" s="2" t="str">
        <f t="shared" si="3"/>
        <v>02</v>
      </c>
      <c r="X211" s="2"/>
      <c r="Y211" s="3"/>
      <c r="Z211" s="3"/>
      <c r="AA211" s="3"/>
      <c r="AB211" s="3"/>
      <c r="AC211" s="3"/>
      <c r="AD211" s="3"/>
      <c r="AE211" s="3"/>
      <c r="AF211" s="3"/>
      <c r="AG211" s="3"/>
      <c r="AH211" s="3"/>
      <c r="AI211" s="3"/>
      <c r="AJ211" s="3"/>
      <c r="AK211" s="3"/>
      <c r="AL211" s="3"/>
      <c r="AM211" s="3"/>
      <c r="AN211" s="3"/>
      <c r="AO211" s="3"/>
      <c r="AP211" s="3"/>
      <c r="AQ211" s="3"/>
      <c r="AR211" s="3"/>
      <c r="AS211" s="3"/>
      <c r="AT211" s="3"/>
      <c r="AU211" s="3"/>
    </row>
    <row r="212" spans="1:47" ht="14.25" customHeight="1" x14ac:dyDescent="0.3">
      <c r="A212" s="42"/>
      <c r="B212" s="42"/>
      <c r="C212" s="42"/>
      <c r="D212" s="61" t="s">
        <v>33</v>
      </c>
      <c r="E212" s="62"/>
      <c r="F212" s="61"/>
      <c r="G212" s="62"/>
      <c r="H212" s="61"/>
      <c r="I212" s="62"/>
      <c r="J212" s="42"/>
      <c r="K212" s="42"/>
      <c r="L212" s="63">
        <v>0</v>
      </c>
      <c r="M212" s="64"/>
      <c r="N212" s="62"/>
      <c r="O212" s="49" t="str">
        <f t="shared" si="2"/>
        <v>PLAN</v>
      </c>
      <c r="P212" s="61" t="s">
        <v>33</v>
      </c>
      <c r="Q212" s="62"/>
      <c r="R212" s="46"/>
      <c r="S212" s="2" t="str">
        <f t="shared" si="0"/>
        <v>01</v>
      </c>
      <c r="T212" s="2">
        <v>98</v>
      </c>
      <c r="U212" s="48" t="s">
        <v>91</v>
      </c>
      <c r="V212" s="2"/>
      <c r="W212" s="2" t="str">
        <f t="shared" si="3"/>
        <v>02</v>
      </c>
      <c r="X212" s="2"/>
      <c r="Y212" s="3"/>
      <c r="Z212" s="3"/>
      <c r="AA212" s="3"/>
      <c r="AB212" s="3"/>
      <c r="AC212" s="3"/>
      <c r="AD212" s="3"/>
      <c r="AE212" s="3"/>
      <c r="AF212" s="3"/>
      <c r="AG212" s="3"/>
      <c r="AH212" s="3"/>
      <c r="AI212" s="3"/>
      <c r="AJ212" s="3"/>
      <c r="AK212" s="3"/>
      <c r="AL212" s="3"/>
      <c r="AM212" s="3"/>
      <c r="AN212" s="3"/>
      <c r="AO212" s="3"/>
      <c r="AP212" s="3"/>
      <c r="AQ212" s="3"/>
      <c r="AR212" s="3"/>
      <c r="AS212" s="3"/>
      <c r="AT212" s="3"/>
      <c r="AU212" s="3"/>
    </row>
    <row r="213" spans="1:47" ht="14.25" customHeight="1" x14ac:dyDescent="0.3">
      <c r="A213" s="42"/>
      <c r="B213" s="42"/>
      <c r="C213" s="42"/>
      <c r="D213" s="61" t="s">
        <v>33</v>
      </c>
      <c r="E213" s="62"/>
      <c r="F213" s="61"/>
      <c r="G213" s="62"/>
      <c r="H213" s="61"/>
      <c r="I213" s="62"/>
      <c r="J213" s="42"/>
      <c r="K213" s="42"/>
      <c r="L213" s="63">
        <v>0</v>
      </c>
      <c r="M213" s="64"/>
      <c r="N213" s="62"/>
      <c r="O213" s="49" t="str">
        <f t="shared" si="2"/>
        <v>PLAN</v>
      </c>
      <c r="P213" s="61" t="s">
        <v>33</v>
      </c>
      <c r="Q213" s="62"/>
      <c r="R213" s="46"/>
      <c r="S213" s="2" t="str">
        <f t="shared" si="0"/>
        <v>01</v>
      </c>
      <c r="T213" s="2">
        <v>99</v>
      </c>
      <c r="U213" s="48" t="s">
        <v>91</v>
      </c>
      <c r="V213" s="2"/>
      <c r="W213" s="2" t="str">
        <f t="shared" si="3"/>
        <v>02</v>
      </c>
      <c r="X213" s="2"/>
      <c r="Y213" s="3"/>
      <c r="Z213" s="3"/>
      <c r="AA213" s="3"/>
      <c r="AB213" s="3"/>
      <c r="AC213" s="3"/>
      <c r="AD213" s="3"/>
      <c r="AE213" s="3"/>
      <c r="AF213" s="3"/>
      <c r="AG213" s="3"/>
      <c r="AH213" s="3"/>
      <c r="AI213" s="3"/>
      <c r="AJ213" s="3"/>
      <c r="AK213" s="3"/>
      <c r="AL213" s="3"/>
      <c r="AM213" s="3"/>
      <c r="AN213" s="3"/>
      <c r="AO213" s="3"/>
      <c r="AP213" s="3"/>
      <c r="AQ213" s="3"/>
      <c r="AR213" s="3"/>
      <c r="AS213" s="3"/>
      <c r="AT213" s="3"/>
      <c r="AU213" s="3"/>
    </row>
    <row r="214" spans="1:47" ht="14.25" customHeight="1" x14ac:dyDescent="0.3">
      <c r="A214" s="42"/>
      <c r="B214" s="42"/>
      <c r="C214" s="42"/>
      <c r="D214" s="61" t="s">
        <v>33</v>
      </c>
      <c r="E214" s="62"/>
      <c r="F214" s="61"/>
      <c r="G214" s="62"/>
      <c r="H214" s="61"/>
      <c r="I214" s="62"/>
      <c r="J214" s="42"/>
      <c r="K214" s="42"/>
      <c r="L214" s="63">
        <v>0</v>
      </c>
      <c r="M214" s="64"/>
      <c r="N214" s="62"/>
      <c r="O214" s="49" t="str">
        <f t="shared" si="2"/>
        <v>PLAN</v>
      </c>
      <c r="P214" s="61" t="s">
        <v>33</v>
      </c>
      <c r="Q214" s="62"/>
      <c r="R214" s="46"/>
      <c r="S214" s="2" t="str">
        <f t="shared" si="0"/>
        <v>01</v>
      </c>
      <c r="T214" s="2">
        <v>100</v>
      </c>
      <c r="U214" s="48" t="s">
        <v>91</v>
      </c>
      <c r="V214" s="2"/>
      <c r="W214" s="2" t="str">
        <f t="shared" si="3"/>
        <v>02</v>
      </c>
      <c r="X214" s="2"/>
      <c r="Y214" s="3"/>
      <c r="Z214" s="3"/>
      <c r="AA214" s="3"/>
      <c r="AB214" s="3"/>
      <c r="AC214" s="3"/>
      <c r="AD214" s="3"/>
      <c r="AE214" s="3"/>
      <c r="AF214" s="3"/>
      <c r="AG214" s="3"/>
      <c r="AH214" s="3"/>
      <c r="AI214" s="3"/>
      <c r="AJ214" s="3"/>
      <c r="AK214" s="3"/>
      <c r="AL214" s="3"/>
      <c r="AM214" s="3"/>
      <c r="AN214" s="3"/>
      <c r="AO214" s="3"/>
      <c r="AP214" s="3"/>
      <c r="AQ214" s="3"/>
      <c r="AR214" s="3"/>
      <c r="AS214" s="3"/>
      <c r="AT214" s="3"/>
      <c r="AU214" s="3"/>
    </row>
    <row r="215" spans="1:47" ht="14.25" customHeight="1" x14ac:dyDescent="0.3">
      <c r="A215" s="42"/>
      <c r="B215" s="42"/>
      <c r="C215" s="42"/>
      <c r="D215" s="61" t="s">
        <v>33</v>
      </c>
      <c r="E215" s="62"/>
      <c r="F215" s="61"/>
      <c r="G215" s="62"/>
      <c r="H215" s="61"/>
      <c r="I215" s="62"/>
      <c r="J215" s="42"/>
      <c r="K215" s="42"/>
      <c r="L215" s="63">
        <v>0</v>
      </c>
      <c r="M215" s="64"/>
      <c r="N215" s="62"/>
      <c r="O215" s="49" t="str">
        <f t="shared" si="2"/>
        <v>PLAN</v>
      </c>
      <c r="P215" s="61" t="s">
        <v>33</v>
      </c>
      <c r="Q215" s="62"/>
      <c r="R215" s="46"/>
      <c r="S215" s="2" t="str">
        <f t="shared" si="0"/>
        <v>01</v>
      </c>
      <c r="T215" s="2">
        <v>101</v>
      </c>
      <c r="U215" s="48" t="s">
        <v>91</v>
      </c>
      <c r="V215" s="2"/>
      <c r="W215" s="2" t="str">
        <f t="shared" si="3"/>
        <v>02</v>
      </c>
      <c r="X215" s="2"/>
      <c r="Y215" s="3"/>
      <c r="Z215" s="3"/>
      <c r="AA215" s="3"/>
      <c r="AB215" s="3"/>
      <c r="AC215" s="3"/>
      <c r="AD215" s="3"/>
      <c r="AE215" s="3"/>
      <c r="AF215" s="3"/>
      <c r="AG215" s="3"/>
      <c r="AH215" s="3"/>
      <c r="AI215" s="3"/>
      <c r="AJ215" s="3"/>
      <c r="AK215" s="3"/>
      <c r="AL215" s="3"/>
      <c r="AM215" s="3"/>
      <c r="AN215" s="3"/>
      <c r="AO215" s="3"/>
      <c r="AP215" s="3"/>
      <c r="AQ215" s="3"/>
      <c r="AR215" s="3"/>
      <c r="AS215" s="3"/>
      <c r="AT215" s="3"/>
      <c r="AU215" s="3"/>
    </row>
    <row r="216" spans="1:47" ht="14.25" customHeight="1" x14ac:dyDescent="0.3">
      <c r="A216" s="42"/>
      <c r="B216" s="42"/>
      <c r="C216" s="42"/>
      <c r="D216" s="61" t="s">
        <v>33</v>
      </c>
      <c r="E216" s="62"/>
      <c r="F216" s="61"/>
      <c r="G216" s="62"/>
      <c r="H216" s="61"/>
      <c r="I216" s="62"/>
      <c r="J216" s="42"/>
      <c r="K216" s="42"/>
      <c r="L216" s="63">
        <v>0</v>
      </c>
      <c r="M216" s="64"/>
      <c r="N216" s="62"/>
      <c r="O216" s="49" t="str">
        <f t="shared" si="2"/>
        <v>PLAN</v>
      </c>
      <c r="P216" s="61" t="s">
        <v>33</v>
      </c>
      <c r="Q216" s="62"/>
      <c r="R216" s="46"/>
      <c r="S216" s="2" t="str">
        <f t="shared" si="0"/>
        <v>01</v>
      </c>
      <c r="T216" s="2">
        <v>102</v>
      </c>
      <c r="U216" s="48" t="s">
        <v>91</v>
      </c>
      <c r="V216" s="2"/>
      <c r="W216" s="2" t="str">
        <f t="shared" si="3"/>
        <v>02</v>
      </c>
      <c r="X216" s="2"/>
      <c r="Y216" s="3"/>
      <c r="Z216" s="3"/>
      <c r="AA216" s="3"/>
      <c r="AB216" s="3"/>
      <c r="AC216" s="3"/>
      <c r="AD216" s="3"/>
      <c r="AE216" s="3"/>
      <c r="AF216" s="3"/>
      <c r="AG216" s="3"/>
      <c r="AH216" s="3"/>
      <c r="AI216" s="3"/>
      <c r="AJ216" s="3"/>
      <c r="AK216" s="3"/>
      <c r="AL216" s="3"/>
      <c r="AM216" s="3"/>
      <c r="AN216" s="3"/>
      <c r="AO216" s="3"/>
      <c r="AP216" s="3"/>
      <c r="AQ216" s="3"/>
      <c r="AR216" s="3"/>
      <c r="AS216" s="3"/>
      <c r="AT216" s="3"/>
      <c r="AU216" s="3"/>
    </row>
    <row r="217" spans="1:47" ht="14.25" customHeight="1" x14ac:dyDescent="0.3">
      <c r="A217" s="42"/>
      <c r="B217" s="42"/>
      <c r="C217" s="42"/>
      <c r="D217" s="61" t="s">
        <v>33</v>
      </c>
      <c r="E217" s="62"/>
      <c r="F217" s="61"/>
      <c r="G217" s="62"/>
      <c r="H217" s="61"/>
      <c r="I217" s="62"/>
      <c r="J217" s="42"/>
      <c r="K217" s="42"/>
      <c r="L217" s="63">
        <v>0</v>
      </c>
      <c r="M217" s="64"/>
      <c r="N217" s="62"/>
      <c r="O217" s="49" t="str">
        <f t="shared" si="2"/>
        <v>PLAN</v>
      </c>
      <c r="P217" s="61" t="s">
        <v>33</v>
      </c>
      <c r="Q217" s="62"/>
      <c r="R217" s="46"/>
      <c r="S217" s="2" t="str">
        <f t="shared" si="0"/>
        <v>01</v>
      </c>
      <c r="T217" s="2">
        <v>103</v>
      </c>
      <c r="U217" s="48" t="s">
        <v>91</v>
      </c>
      <c r="V217" s="2"/>
      <c r="W217" s="2" t="str">
        <f t="shared" si="3"/>
        <v>02</v>
      </c>
      <c r="X217" s="2"/>
      <c r="Y217" s="3"/>
      <c r="Z217" s="3"/>
      <c r="AA217" s="3"/>
      <c r="AB217" s="3"/>
      <c r="AC217" s="3"/>
      <c r="AD217" s="3"/>
      <c r="AE217" s="3"/>
      <c r="AF217" s="3"/>
      <c r="AG217" s="3"/>
      <c r="AH217" s="3"/>
      <c r="AI217" s="3"/>
      <c r="AJ217" s="3"/>
      <c r="AK217" s="3"/>
      <c r="AL217" s="3"/>
      <c r="AM217" s="3"/>
      <c r="AN217" s="3"/>
      <c r="AO217" s="3"/>
      <c r="AP217" s="3"/>
      <c r="AQ217" s="3"/>
      <c r="AR217" s="3"/>
      <c r="AS217" s="3"/>
      <c r="AT217" s="3"/>
      <c r="AU217" s="3"/>
    </row>
    <row r="218" spans="1:47" ht="14.25" customHeight="1" x14ac:dyDescent="0.3">
      <c r="A218" s="42"/>
      <c r="B218" s="42"/>
      <c r="C218" s="42"/>
      <c r="D218" s="61" t="s">
        <v>33</v>
      </c>
      <c r="E218" s="62"/>
      <c r="F218" s="61"/>
      <c r="G218" s="62"/>
      <c r="H218" s="61"/>
      <c r="I218" s="62"/>
      <c r="J218" s="42"/>
      <c r="K218" s="42"/>
      <c r="L218" s="63">
        <v>0</v>
      </c>
      <c r="M218" s="64"/>
      <c r="N218" s="62"/>
      <c r="O218" s="49" t="str">
        <f t="shared" si="2"/>
        <v>PLAN</v>
      </c>
      <c r="P218" s="61" t="s">
        <v>33</v>
      </c>
      <c r="Q218" s="62"/>
      <c r="R218" s="46"/>
      <c r="S218" s="2" t="str">
        <f t="shared" si="0"/>
        <v>01</v>
      </c>
      <c r="T218" s="2">
        <v>104</v>
      </c>
      <c r="U218" s="48" t="s">
        <v>91</v>
      </c>
      <c r="V218" s="2"/>
      <c r="W218" s="2" t="str">
        <f t="shared" si="3"/>
        <v>02</v>
      </c>
      <c r="X218" s="2"/>
      <c r="Y218" s="3"/>
      <c r="Z218" s="3"/>
      <c r="AA218" s="3"/>
      <c r="AB218" s="3"/>
      <c r="AC218" s="3"/>
      <c r="AD218" s="3"/>
      <c r="AE218" s="3"/>
      <c r="AF218" s="3"/>
      <c r="AG218" s="3"/>
      <c r="AH218" s="3"/>
      <c r="AI218" s="3"/>
      <c r="AJ218" s="3"/>
      <c r="AK218" s="3"/>
      <c r="AL218" s="3"/>
      <c r="AM218" s="3"/>
      <c r="AN218" s="3"/>
      <c r="AO218" s="3"/>
      <c r="AP218" s="3"/>
      <c r="AQ218" s="3"/>
      <c r="AR218" s="3"/>
      <c r="AS218" s="3"/>
      <c r="AT218" s="3"/>
      <c r="AU218" s="3"/>
    </row>
    <row r="219" spans="1:47" ht="14.25" customHeight="1" x14ac:dyDescent="0.3">
      <c r="A219" s="42"/>
      <c r="B219" s="42"/>
      <c r="C219" s="42"/>
      <c r="D219" s="61" t="s">
        <v>33</v>
      </c>
      <c r="E219" s="62"/>
      <c r="F219" s="61"/>
      <c r="G219" s="62"/>
      <c r="H219" s="61"/>
      <c r="I219" s="62"/>
      <c r="J219" s="42"/>
      <c r="K219" s="42"/>
      <c r="L219" s="63">
        <v>0</v>
      </c>
      <c r="M219" s="64"/>
      <c r="N219" s="62"/>
      <c r="O219" s="49" t="str">
        <f t="shared" si="2"/>
        <v>PLAN</v>
      </c>
      <c r="P219" s="61" t="s">
        <v>33</v>
      </c>
      <c r="Q219" s="62"/>
      <c r="R219" s="46"/>
      <c r="S219" s="2" t="str">
        <f t="shared" si="0"/>
        <v>01</v>
      </c>
      <c r="T219" s="2">
        <v>105</v>
      </c>
      <c r="U219" s="48" t="s">
        <v>91</v>
      </c>
      <c r="V219" s="2"/>
      <c r="W219" s="2" t="str">
        <f t="shared" si="3"/>
        <v>02</v>
      </c>
      <c r="X219" s="2"/>
      <c r="Y219" s="3"/>
      <c r="Z219" s="3"/>
      <c r="AA219" s="3"/>
      <c r="AB219" s="3"/>
      <c r="AC219" s="3"/>
      <c r="AD219" s="3"/>
      <c r="AE219" s="3"/>
      <c r="AF219" s="3"/>
      <c r="AG219" s="3"/>
      <c r="AH219" s="3"/>
      <c r="AI219" s="3"/>
      <c r="AJ219" s="3"/>
      <c r="AK219" s="3"/>
      <c r="AL219" s="3"/>
      <c r="AM219" s="3"/>
      <c r="AN219" s="3"/>
      <c r="AO219" s="3"/>
      <c r="AP219" s="3"/>
      <c r="AQ219" s="3"/>
      <c r="AR219" s="3"/>
      <c r="AS219" s="3"/>
      <c r="AT219" s="3"/>
      <c r="AU219" s="3"/>
    </row>
    <row r="220" spans="1:47" ht="14.25" customHeight="1" x14ac:dyDescent="0.3">
      <c r="A220" s="42"/>
      <c r="B220" s="42"/>
      <c r="C220" s="42"/>
      <c r="D220" s="61" t="s">
        <v>33</v>
      </c>
      <c r="E220" s="62"/>
      <c r="F220" s="61"/>
      <c r="G220" s="62"/>
      <c r="H220" s="61"/>
      <c r="I220" s="62"/>
      <c r="J220" s="42"/>
      <c r="K220" s="42"/>
      <c r="L220" s="63">
        <v>0</v>
      </c>
      <c r="M220" s="64"/>
      <c r="N220" s="62"/>
      <c r="O220" s="49" t="str">
        <f t="shared" si="2"/>
        <v>PLAN</v>
      </c>
      <c r="P220" s="61" t="s">
        <v>33</v>
      </c>
      <c r="Q220" s="62"/>
      <c r="R220" s="46"/>
      <c r="S220" s="2" t="str">
        <f t="shared" si="0"/>
        <v>01</v>
      </c>
      <c r="T220" s="2">
        <v>106</v>
      </c>
      <c r="U220" s="48" t="s">
        <v>91</v>
      </c>
      <c r="V220" s="2"/>
      <c r="W220" s="2" t="str">
        <f t="shared" si="3"/>
        <v>02</v>
      </c>
      <c r="X220" s="2"/>
      <c r="Y220" s="3"/>
      <c r="Z220" s="3"/>
      <c r="AA220" s="3"/>
      <c r="AB220" s="3"/>
      <c r="AC220" s="3"/>
      <c r="AD220" s="3"/>
      <c r="AE220" s="3"/>
      <c r="AF220" s="3"/>
      <c r="AG220" s="3"/>
      <c r="AH220" s="3"/>
      <c r="AI220" s="3"/>
      <c r="AJ220" s="3"/>
      <c r="AK220" s="3"/>
      <c r="AL220" s="3"/>
      <c r="AM220" s="3"/>
      <c r="AN220" s="3"/>
      <c r="AO220" s="3"/>
      <c r="AP220" s="3"/>
      <c r="AQ220" s="3"/>
      <c r="AR220" s="3"/>
      <c r="AS220" s="3"/>
      <c r="AT220" s="3"/>
      <c r="AU220" s="3"/>
    </row>
    <row r="221" spans="1:47" ht="14.25" customHeight="1" x14ac:dyDescent="0.3">
      <c r="A221" s="42"/>
      <c r="B221" s="42"/>
      <c r="C221" s="42"/>
      <c r="D221" s="61" t="s">
        <v>33</v>
      </c>
      <c r="E221" s="62"/>
      <c r="F221" s="61"/>
      <c r="G221" s="62"/>
      <c r="H221" s="61"/>
      <c r="I221" s="62"/>
      <c r="J221" s="42"/>
      <c r="K221" s="42"/>
      <c r="L221" s="63">
        <v>0</v>
      </c>
      <c r="M221" s="64"/>
      <c r="N221" s="62"/>
      <c r="O221" s="49" t="str">
        <f t="shared" si="2"/>
        <v>PLAN</v>
      </c>
      <c r="P221" s="61" t="s">
        <v>33</v>
      </c>
      <c r="Q221" s="62"/>
      <c r="R221" s="46"/>
      <c r="S221" s="2" t="str">
        <f t="shared" si="0"/>
        <v>01</v>
      </c>
      <c r="T221" s="2">
        <v>107</v>
      </c>
      <c r="U221" s="48" t="s">
        <v>91</v>
      </c>
      <c r="V221" s="2"/>
      <c r="W221" s="2" t="str">
        <f t="shared" si="3"/>
        <v>02</v>
      </c>
      <c r="X221" s="2"/>
      <c r="Y221" s="3"/>
      <c r="Z221" s="3"/>
      <c r="AA221" s="3"/>
      <c r="AB221" s="3"/>
      <c r="AC221" s="3"/>
      <c r="AD221" s="3"/>
      <c r="AE221" s="3"/>
      <c r="AF221" s="3"/>
      <c r="AG221" s="3"/>
      <c r="AH221" s="3"/>
      <c r="AI221" s="3"/>
      <c r="AJ221" s="3"/>
      <c r="AK221" s="3"/>
      <c r="AL221" s="3"/>
      <c r="AM221" s="3"/>
      <c r="AN221" s="3"/>
      <c r="AO221" s="3"/>
      <c r="AP221" s="3"/>
      <c r="AQ221" s="3"/>
      <c r="AR221" s="3"/>
      <c r="AS221" s="3"/>
      <c r="AT221" s="3"/>
      <c r="AU221" s="3"/>
    </row>
    <row r="222" spans="1:47" ht="14.25" customHeight="1" x14ac:dyDescent="0.3">
      <c r="A222" s="42"/>
      <c r="B222" s="42"/>
      <c r="C222" s="42"/>
      <c r="D222" s="61" t="s">
        <v>33</v>
      </c>
      <c r="E222" s="62"/>
      <c r="F222" s="61"/>
      <c r="G222" s="62"/>
      <c r="H222" s="61"/>
      <c r="I222" s="62"/>
      <c r="J222" s="42"/>
      <c r="K222" s="42"/>
      <c r="L222" s="63">
        <v>0</v>
      </c>
      <c r="M222" s="64"/>
      <c r="N222" s="62"/>
      <c r="O222" s="49" t="str">
        <f t="shared" si="2"/>
        <v>PLAN</v>
      </c>
      <c r="P222" s="61" t="s">
        <v>33</v>
      </c>
      <c r="Q222" s="62"/>
      <c r="R222" s="46"/>
      <c r="S222" s="2" t="str">
        <f t="shared" si="0"/>
        <v>01</v>
      </c>
      <c r="T222" s="2">
        <v>108</v>
      </c>
      <c r="U222" s="48" t="s">
        <v>91</v>
      </c>
      <c r="V222" s="2"/>
      <c r="W222" s="2" t="str">
        <f t="shared" si="3"/>
        <v>02</v>
      </c>
      <c r="X222" s="2"/>
      <c r="Y222" s="3"/>
      <c r="Z222" s="3"/>
      <c r="AA222" s="3"/>
      <c r="AB222" s="3"/>
      <c r="AC222" s="3"/>
      <c r="AD222" s="3"/>
      <c r="AE222" s="3"/>
      <c r="AF222" s="3"/>
      <c r="AG222" s="3"/>
      <c r="AH222" s="3"/>
      <c r="AI222" s="3"/>
      <c r="AJ222" s="3"/>
      <c r="AK222" s="3"/>
      <c r="AL222" s="3"/>
      <c r="AM222" s="3"/>
      <c r="AN222" s="3"/>
      <c r="AO222" s="3"/>
      <c r="AP222" s="3"/>
      <c r="AQ222" s="3"/>
      <c r="AR222" s="3"/>
      <c r="AS222" s="3"/>
      <c r="AT222" s="3"/>
      <c r="AU222" s="3"/>
    </row>
    <row r="223" spans="1:47" ht="14.25" customHeight="1" x14ac:dyDescent="0.3">
      <c r="A223" s="42"/>
      <c r="B223" s="42"/>
      <c r="C223" s="42"/>
      <c r="D223" s="61" t="s">
        <v>33</v>
      </c>
      <c r="E223" s="62"/>
      <c r="F223" s="61"/>
      <c r="G223" s="62"/>
      <c r="H223" s="61"/>
      <c r="I223" s="62"/>
      <c r="J223" s="42"/>
      <c r="K223" s="42"/>
      <c r="L223" s="63">
        <v>0</v>
      </c>
      <c r="M223" s="64"/>
      <c r="N223" s="62"/>
      <c r="O223" s="49" t="str">
        <f t="shared" si="2"/>
        <v>PLAN</v>
      </c>
      <c r="P223" s="61" t="s">
        <v>33</v>
      </c>
      <c r="Q223" s="62"/>
      <c r="R223" s="46"/>
      <c r="S223" s="2" t="str">
        <f t="shared" si="0"/>
        <v>01</v>
      </c>
      <c r="T223" s="2">
        <v>109</v>
      </c>
      <c r="U223" s="48" t="s">
        <v>91</v>
      </c>
      <c r="V223" s="2"/>
      <c r="W223" s="2" t="str">
        <f t="shared" si="3"/>
        <v>02</v>
      </c>
      <c r="X223" s="2"/>
      <c r="Y223" s="3"/>
      <c r="Z223" s="3"/>
      <c r="AA223" s="3"/>
      <c r="AB223" s="3"/>
      <c r="AC223" s="3"/>
      <c r="AD223" s="3"/>
      <c r="AE223" s="3"/>
      <c r="AF223" s="3"/>
      <c r="AG223" s="3"/>
      <c r="AH223" s="3"/>
      <c r="AI223" s="3"/>
      <c r="AJ223" s="3"/>
      <c r="AK223" s="3"/>
      <c r="AL223" s="3"/>
      <c r="AM223" s="3"/>
      <c r="AN223" s="3"/>
      <c r="AO223" s="3"/>
      <c r="AP223" s="3"/>
      <c r="AQ223" s="3"/>
      <c r="AR223" s="3"/>
      <c r="AS223" s="3"/>
      <c r="AT223" s="3"/>
      <c r="AU223" s="3"/>
    </row>
    <row r="224" spans="1:47" ht="14.25" customHeight="1" x14ac:dyDescent="0.3">
      <c r="A224" s="42"/>
      <c r="B224" s="42"/>
      <c r="C224" s="42"/>
      <c r="D224" s="61" t="s">
        <v>33</v>
      </c>
      <c r="E224" s="62"/>
      <c r="F224" s="61"/>
      <c r="G224" s="62"/>
      <c r="H224" s="61"/>
      <c r="I224" s="62"/>
      <c r="J224" s="42"/>
      <c r="K224" s="42"/>
      <c r="L224" s="63">
        <v>0</v>
      </c>
      <c r="M224" s="64"/>
      <c r="N224" s="62"/>
      <c r="O224" s="49" t="str">
        <f t="shared" si="2"/>
        <v>PLAN</v>
      </c>
      <c r="P224" s="61" t="s">
        <v>33</v>
      </c>
      <c r="Q224" s="62"/>
      <c r="R224" s="46"/>
      <c r="S224" s="2" t="str">
        <f t="shared" si="0"/>
        <v>01</v>
      </c>
      <c r="T224" s="2">
        <v>110</v>
      </c>
      <c r="U224" s="48" t="s">
        <v>91</v>
      </c>
      <c r="V224" s="2"/>
      <c r="W224" s="2" t="str">
        <f t="shared" si="3"/>
        <v>02</v>
      </c>
      <c r="X224" s="2"/>
      <c r="Y224" s="3"/>
      <c r="Z224" s="3"/>
      <c r="AA224" s="3"/>
      <c r="AB224" s="3"/>
      <c r="AC224" s="3"/>
      <c r="AD224" s="3"/>
      <c r="AE224" s="3"/>
      <c r="AF224" s="3"/>
      <c r="AG224" s="3"/>
      <c r="AH224" s="3"/>
      <c r="AI224" s="3"/>
      <c r="AJ224" s="3"/>
      <c r="AK224" s="3"/>
      <c r="AL224" s="3"/>
      <c r="AM224" s="3"/>
      <c r="AN224" s="3"/>
      <c r="AO224" s="3"/>
      <c r="AP224" s="3"/>
      <c r="AQ224" s="3"/>
      <c r="AR224" s="3"/>
      <c r="AS224" s="3"/>
      <c r="AT224" s="3"/>
      <c r="AU224" s="3"/>
    </row>
    <row r="225" spans="1:47" ht="14.25" customHeight="1" x14ac:dyDescent="0.3">
      <c r="A225" s="42"/>
      <c r="B225" s="42"/>
      <c r="C225" s="42"/>
      <c r="D225" s="61" t="s">
        <v>33</v>
      </c>
      <c r="E225" s="62"/>
      <c r="F225" s="61"/>
      <c r="G225" s="62"/>
      <c r="H225" s="61"/>
      <c r="I225" s="62"/>
      <c r="J225" s="42"/>
      <c r="K225" s="42"/>
      <c r="L225" s="63">
        <v>0</v>
      </c>
      <c r="M225" s="64"/>
      <c r="N225" s="62"/>
      <c r="O225" s="49" t="str">
        <f t="shared" si="2"/>
        <v>PLAN</v>
      </c>
      <c r="P225" s="61" t="s">
        <v>33</v>
      </c>
      <c r="Q225" s="62"/>
      <c r="R225" s="46"/>
      <c r="S225" s="2" t="str">
        <f t="shared" si="0"/>
        <v>01</v>
      </c>
      <c r="T225" s="2">
        <v>111</v>
      </c>
      <c r="U225" s="48" t="s">
        <v>91</v>
      </c>
      <c r="V225" s="2"/>
      <c r="W225" s="2" t="str">
        <f t="shared" si="3"/>
        <v>02</v>
      </c>
      <c r="X225" s="2"/>
      <c r="Y225" s="3"/>
      <c r="Z225" s="3"/>
      <c r="AA225" s="3"/>
      <c r="AB225" s="3"/>
      <c r="AC225" s="3"/>
      <c r="AD225" s="3"/>
      <c r="AE225" s="3"/>
      <c r="AF225" s="3"/>
      <c r="AG225" s="3"/>
      <c r="AH225" s="3"/>
      <c r="AI225" s="3"/>
      <c r="AJ225" s="3"/>
      <c r="AK225" s="3"/>
      <c r="AL225" s="3"/>
      <c r="AM225" s="3"/>
      <c r="AN225" s="3"/>
      <c r="AO225" s="3"/>
      <c r="AP225" s="3"/>
      <c r="AQ225" s="3"/>
      <c r="AR225" s="3"/>
      <c r="AS225" s="3"/>
      <c r="AT225" s="3"/>
      <c r="AU225" s="3"/>
    </row>
    <row r="226" spans="1:47" ht="14.25" customHeight="1" x14ac:dyDescent="0.3">
      <c r="A226" s="42"/>
      <c r="B226" s="42"/>
      <c r="C226" s="42"/>
      <c r="D226" s="61" t="s">
        <v>33</v>
      </c>
      <c r="E226" s="62"/>
      <c r="F226" s="61"/>
      <c r="G226" s="62"/>
      <c r="H226" s="61"/>
      <c r="I226" s="62"/>
      <c r="J226" s="42"/>
      <c r="K226" s="42"/>
      <c r="L226" s="63">
        <v>0</v>
      </c>
      <c r="M226" s="64"/>
      <c r="N226" s="62"/>
      <c r="O226" s="49" t="str">
        <f t="shared" si="2"/>
        <v>PLAN</v>
      </c>
      <c r="P226" s="61" t="s">
        <v>33</v>
      </c>
      <c r="Q226" s="62"/>
      <c r="R226" s="46"/>
      <c r="S226" s="2" t="str">
        <f t="shared" si="0"/>
        <v>01</v>
      </c>
      <c r="T226" s="2">
        <v>112</v>
      </c>
      <c r="U226" s="48" t="s">
        <v>91</v>
      </c>
      <c r="V226" s="2"/>
      <c r="W226" s="2" t="str">
        <f t="shared" si="3"/>
        <v>02</v>
      </c>
      <c r="X226" s="2"/>
      <c r="Y226" s="3"/>
      <c r="Z226" s="3"/>
      <c r="AA226" s="3"/>
      <c r="AB226" s="3"/>
      <c r="AC226" s="3"/>
      <c r="AD226" s="3"/>
      <c r="AE226" s="3"/>
      <c r="AF226" s="3"/>
      <c r="AG226" s="3"/>
      <c r="AH226" s="3"/>
      <c r="AI226" s="3"/>
      <c r="AJ226" s="3"/>
      <c r="AK226" s="3"/>
      <c r="AL226" s="3"/>
      <c r="AM226" s="3"/>
      <c r="AN226" s="3"/>
      <c r="AO226" s="3"/>
      <c r="AP226" s="3"/>
      <c r="AQ226" s="3"/>
      <c r="AR226" s="3"/>
      <c r="AS226" s="3"/>
      <c r="AT226" s="3"/>
      <c r="AU226" s="3"/>
    </row>
    <row r="227" spans="1:47" ht="14.25" customHeight="1" x14ac:dyDescent="0.3">
      <c r="A227" s="42"/>
      <c r="B227" s="42"/>
      <c r="C227" s="42"/>
      <c r="D227" s="61" t="s">
        <v>33</v>
      </c>
      <c r="E227" s="62"/>
      <c r="F227" s="61"/>
      <c r="G227" s="62"/>
      <c r="H227" s="61"/>
      <c r="I227" s="62"/>
      <c r="J227" s="42"/>
      <c r="K227" s="42"/>
      <c r="L227" s="63">
        <v>0</v>
      </c>
      <c r="M227" s="64"/>
      <c r="N227" s="62"/>
      <c r="O227" s="49" t="str">
        <f t="shared" si="2"/>
        <v>PLAN</v>
      </c>
      <c r="P227" s="61" t="s">
        <v>33</v>
      </c>
      <c r="Q227" s="62"/>
      <c r="R227" s="46"/>
      <c r="S227" s="2" t="str">
        <f t="shared" si="0"/>
        <v>01</v>
      </c>
      <c r="T227" s="2">
        <v>113</v>
      </c>
      <c r="U227" s="48" t="s">
        <v>91</v>
      </c>
      <c r="V227" s="2"/>
      <c r="W227" s="2" t="str">
        <f t="shared" si="3"/>
        <v>02</v>
      </c>
      <c r="X227" s="2"/>
      <c r="Y227" s="3"/>
      <c r="Z227" s="3"/>
      <c r="AA227" s="3"/>
      <c r="AB227" s="3"/>
      <c r="AC227" s="3"/>
      <c r="AD227" s="3"/>
      <c r="AE227" s="3"/>
      <c r="AF227" s="3"/>
      <c r="AG227" s="3"/>
      <c r="AH227" s="3"/>
      <c r="AI227" s="3"/>
      <c r="AJ227" s="3"/>
      <c r="AK227" s="3"/>
      <c r="AL227" s="3"/>
      <c r="AM227" s="3"/>
      <c r="AN227" s="3"/>
      <c r="AO227" s="3"/>
      <c r="AP227" s="3"/>
      <c r="AQ227" s="3"/>
      <c r="AR227" s="3"/>
      <c r="AS227" s="3"/>
      <c r="AT227" s="3"/>
      <c r="AU227" s="3"/>
    </row>
    <row r="228" spans="1:47" ht="14.25" customHeight="1" x14ac:dyDescent="0.3">
      <c r="A228" s="42"/>
      <c r="B228" s="42"/>
      <c r="C228" s="42"/>
      <c r="D228" s="61" t="s">
        <v>33</v>
      </c>
      <c r="E228" s="62"/>
      <c r="F228" s="61"/>
      <c r="G228" s="62"/>
      <c r="H228" s="61"/>
      <c r="I228" s="62"/>
      <c r="J228" s="42"/>
      <c r="K228" s="42"/>
      <c r="L228" s="63">
        <v>0</v>
      </c>
      <c r="M228" s="64"/>
      <c r="N228" s="62"/>
      <c r="O228" s="49" t="str">
        <f t="shared" si="2"/>
        <v>PLAN</v>
      </c>
      <c r="P228" s="61" t="s">
        <v>33</v>
      </c>
      <c r="Q228" s="62"/>
      <c r="R228" s="46"/>
      <c r="S228" s="2" t="str">
        <f t="shared" si="0"/>
        <v>01</v>
      </c>
      <c r="T228" s="2">
        <v>114</v>
      </c>
      <c r="U228" s="48" t="s">
        <v>91</v>
      </c>
      <c r="V228" s="2"/>
      <c r="W228" s="2" t="str">
        <f t="shared" si="3"/>
        <v>02</v>
      </c>
      <c r="X228" s="2"/>
      <c r="Y228" s="3"/>
      <c r="Z228" s="3"/>
      <c r="AA228" s="3"/>
      <c r="AB228" s="3"/>
      <c r="AC228" s="3"/>
      <c r="AD228" s="3"/>
      <c r="AE228" s="3"/>
      <c r="AF228" s="3"/>
      <c r="AG228" s="3"/>
      <c r="AH228" s="3"/>
      <c r="AI228" s="3"/>
      <c r="AJ228" s="3"/>
      <c r="AK228" s="3"/>
      <c r="AL228" s="3"/>
      <c r="AM228" s="3"/>
      <c r="AN228" s="3"/>
      <c r="AO228" s="3"/>
      <c r="AP228" s="3"/>
      <c r="AQ228" s="3"/>
      <c r="AR228" s="3"/>
      <c r="AS228" s="3"/>
      <c r="AT228" s="3"/>
      <c r="AU228" s="3"/>
    </row>
    <row r="229" spans="1:47" ht="14.25" customHeight="1" x14ac:dyDescent="0.3">
      <c r="A229" s="42"/>
      <c r="B229" s="42"/>
      <c r="C229" s="42"/>
      <c r="D229" s="61" t="s">
        <v>33</v>
      </c>
      <c r="E229" s="62"/>
      <c r="F229" s="61"/>
      <c r="G229" s="62"/>
      <c r="H229" s="61"/>
      <c r="I229" s="62"/>
      <c r="J229" s="42"/>
      <c r="K229" s="42"/>
      <c r="L229" s="63">
        <v>0</v>
      </c>
      <c r="M229" s="64"/>
      <c r="N229" s="62"/>
      <c r="O229" s="49" t="str">
        <f t="shared" si="2"/>
        <v>PLAN</v>
      </c>
      <c r="P229" s="61" t="s">
        <v>33</v>
      </c>
      <c r="Q229" s="62"/>
      <c r="R229" s="46"/>
      <c r="S229" s="2" t="str">
        <f t="shared" si="0"/>
        <v>01</v>
      </c>
      <c r="T229" s="2">
        <v>115</v>
      </c>
      <c r="U229" s="48" t="s">
        <v>91</v>
      </c>
      <c r="V229" s="2"/>
      <c r="W229" s="2" t="str">
        <f t="shared" si="3"/>
        <v>02</v>
      </c>
      <c r="X229" s="2"/>
      <c r="Y229" s="3"/>
      <c r="Z229" s="3"/>
      <c r="AA229" s="3"/>
      <c r="AB229" s="3"/>
      <c r="AC229" s="3"/>
      <c r="AD229" s="3"/>
      <c r="AE229" s="3"/>
      <c r="AF229" s="3"/>
      <c r="AG229" s="3"/>
      <c r="AH229" s="3"/>
      <c r="AI229" s="3"/>
      <c r="AJ229" s="3"/>
      <c r="AK229" s="3"/>
      <c r="AL229" s="3"/>
      <c r="AM229" s="3"/>
      <c r="AN229" s="3"/>
      <c r="AO229" s="3"/>
      <c r="AP229" s="3"/>
      <c r="AQ229" s="3"/>
      <c r="AR229" s="3"/>
      <c r="AS229" s="3"/>
      <c r="AT229" s="3"/>
      <c r="AU229" s="3"/>
    </row>
    <row r="230" spans="1:47" ht="14.25" customHeight="1" x14ac:dyDescent="0.3">
      <c r="A230" s="42"/>
      <c r="B230" s="42"/>
      <c r="C230" s="42"/>
      <c r="D230" s="61" t="s">
        <v>33</v>
      </c>
      <c r="E230" s="62"/>
      <c r="F230" s="61"/>
      <c r="G230" s="62"/>
      <c r="H230" s="61"/>
      <c r="I230" s="62"/>
      <c r="J230" s="42"/>
      <c r="K230" s="42"/>
      <c r="L230" s="63">
        <v>0</v>
      </c>
      <c r="M230" s="64"/>
      <c r="N230" s="62"/>
      <c r="O230" s="49" t="str">
        <f t="shared" si="2"/>
        <v>PLAN</v>
      </c>
      <c r="P230" s="61" t="s">
        <v>33</v>
      </c>
      <c r="Q230" s="62"/>
      <c r="R230" s="46"/>
      <c r="S230" s="2" t="str">
        <f t="shared" si="0"/>
        <v>01</v>
      </c>
      <c r="T230" s="2">
        <v>116</v>
      </c>
      <c r="U230" s="48" t="s">
        <v>91</v>
      </c>
      <c r="V230" s="2"/>
      <c r="W230" s="2" t="str">
        <f t="shared" si="3"/>
        <v>02</v>
      </c>
      <c r="X230" s="2"/>
      <c r="Y230" s="3"/>
      <c r="Z230" s="3"/>
      <c r="AA230" s="3"/>
      <c r="AB230" s="3"/>
      <c r="AC230" s="3"/>
      <c r="AD230" s="3"/>
      <c r="AE230" s="3"/>
      <c r="AF230" s="3"/>
      <c r="AG230" s="3"/>
      <c r="AH230" s="3"/>
      <c r="AI230" s="3"/>
      <c r="AJ230" s="3"/>
      <c r="AK230" s="3"/>
      <c r="AL230" s="3"/>
      <c r="AM230" s="3"/>
      <c r="AN230" s="3"/>
      <c r="AO230" s="3"/>
      <c r="AP230" s="3"/>
      <c r="AQ230" s="3"/>
      <c r="AR230" s="3"/>
      <c r="AS230" s="3"/>
      <c r="AT230" s="3"/>
      <c r="AU230" s="3"/>
    </row>
    <row r="231" spans="1:47" ht="14.25" customHeight="1" x14ac:dyDescent="0.3">
      <c r="A231" s="42"/>
      <c r="B231" s="42"/>
      <c r="C231" s="42"/>
      <c r="D231" s="61" t="s">
        <v>33</v>
      </c>
      <c r="E231" s="62"/>
      <c r="F231" s="61"/>
      <c r="G231" s="62"/>
      <c r="H231" s="61"/>
      <c r="I231" s="62"/>
      <c r="J231" s="42"/>
      <c r="K231" s="42"/>
      <c r="L231" s="63">
        <v>0</v>
      </c>
      <c r="M231" s="64"/>
      <c r="N231" s="62"/>
      <c r="O231" s="49" t="str">
        <f t="shared" si="2"/>
        <v>PLAN</v>
      </c>
      <c r="P231" s="61" t="s">
        <v>33</v>
      </c>
      <c r="Q231" s="62"/>
      <c r="R231" s="46"/>
      <c r="S231" s="2" t="str">
        <f t="shared" si="0"/>
        <v>01</v>
      </c>
      <c r="T231" s="2">
        <v>117</v>
      </c>
      <c r="U231" s="48" t="s">
        <v>91</v>
      </c>
      <c r="V231" s="2"/>
      <c r="W231" s="2" t="str">
        <f t="shared" si="3"/>
        <v>02</v>
      </c>
      <c r="X231" s="2"/>
      <c r="Y231" s="3"/>
      <c r="Z231" s="3"/>
      <c r="AA231" s="3"/>
      <c r="AB231" s="3"/>
      <c r="AC231" s="3"/>
      <c r="AD231" s="3"/>
      <c r="AE231" s="3"/>
      <c r="AF231" s="3"/>
      <c r="AG231" s="3"/>
      <c r="AH231" s="3"/>
      <c r="AI231" s="3"/>
      <c r="AJ231" s="3"/>
      <c r="AK231" s="3"/>
      <c r="AL231" s="3"/>
      <c r="AM231" s="3"/>
      <c r="AN231" s="3"/>
      <c r="AO231" s="3"/>
      <c r="AP231" s="3"/>
      <c r="AQ231" s="3"/>
      <c r="AR231" s="3"/>
      <c r="AS231" s="3"/>
      <c r="AT231" s="3"/>
      <c r="AU231" s="3"/>
    </row>
    <row r="232" spans="1:47" ht="14.25" customHeight="1" x14ac:dyDescent="0.3">
      <c r="A232" s="42"/>
      <c r="B232" s="42"/>
      <c r="C232" s="42"/>
      <c r="D232" s="61" t="s">
        <v>33</v>
      </c>
      <c r="E232" s="62"/>
      <c r="F232" s="61"/>
      <c r="G232" s="62"/>
      <c r="H232" s="61"/>
      <c r="I232" s="62"/>
      <c r="J232" s="42"/>
      <c r="K232" s="42"/>
      <c r="L232" s="63">
        <v>0</v>
      </c>
      <c r="M232" s="64"/>
      <c r="N232" s="62"/>
      <c r="O232" s="49" t="str">
        <f t="shared" si="2"/>
        <v>PLAN</v>
      </c>
      <c r="P232" s="61" t="s">
        <v>33</v>
      </c>
      <c r="Q232" s="62"/>
      <c r="R232" s="46"/>
      <c r="S232" s="2" t="str">
        <f t="shared" si="0"/>
        <v>01</v>
      </c>
      <c r="T232" s="2">
        <v>118</v>
      </c>
      <c r="U232" s="48" t="s">
        <v>91</v>
      </c>
      <c r="V232" s="2"/>
      <c r="W232" s="2" t="str">
        <f t="shared" si="3"/>
        <v>02</v>
      </c>
      <c r="X232" s="2"/>
      <c r="Y232" s="3"/>
      <c r="Z232" s="3"/>
      <c r="AA232" s="3"/>
      <c r="AB232" s="3"/>
      <c r="AC232" s="3"/>
      <c r="AD232" s="3"/>
      <c r="AE232" s="3"/>
      <c r="AF232" s="3"/>
      <c r="AG232" s="3"/>
      <c r="AH232" s="3"/>
      <c r="AI232" s="3"/>
      <c r="AJ232" s="3"/>
      <c r="AK232" s="3"/>
      <c r="AL232" s="3"/>
      <c r="AM232" s="3"/>
      <c r="AN232" s="3"/>
      <c r="AO232" s="3"/>
      <c r="AP232" s="3"/>
      <c r="AQ232" s="3"/>
      <c r="AR232" s="3"/>
      <c r="AS232" s="3"/>
      <c r="AT232" s="3"/>
      <c r="AU232" s="3"/>
    </row>
    <row r="233" spans="1:47" ht="14.25" customHeight="1" x14ac:dyDescent="0.3">
      <c r="A233" s="42"/>
      <c r="B233" s="42"/>
      <c r="C233" s="42"/>
      <c r="D233" s="61" t="s">
        <v>33</v>
      </c>
      <c r="E233" s="62"/>
      <c r="F233" s="61"/>
      <c r="G233" s="62"/>
      <c r="H233" s="61"/>
      <c r="I233" s="62"/>
      <c r="J233" s="42"/>
      <c r="K233" s="42"/>
      <c r="L233" s="63">
        <v>0</v>
      </c>
      <c r="M233" s="64"/>
      <c r="N233" s="62"/>
      <c r="O233" s="49" t="str">
        <f t="shared" si="2"/>
        <v>PLAN</v>
      </c>
      <c r="P233" s="61" t="s">
        <v>33</v>
      </c>
      <c r="Q233" s="62"/>
      <c r="R233" s="46"/>
      <c r="S233" s="2" t="str">
        <f t="shared" si="0"/>
        <v>01</v>
      </c>
      <c r="T233" s="2">
        <v>119</v>
      </c>
      <c r="U233" s="48" t="s">
        <v>91</v>
      </c>
      <c r="V233" s="2"/>
      <c r="W233" s="2" t="str">
        <f t="shared" si="3"/>
        <v>02</v>
      </c>
      <c r="X233" s="2"/>
      <c r="Y233" s="3"/>
      <c r="Z233" s="3"/>
      <c r="AA233" s="3"/>
      <c r="AB233" s="3"/>
      <c r="AC233" s="3"/>
      <c r="AD233" s="3"/>
      <c r="AE233" s="3"/>
      <c r="AF233" s="3"/>
      <c r="AG233" s="3"/>
      <c r="AH233" s="3"/>
      <c r="AI233" s="3"/>
      <c r="AJ233" s="3"/>
      <c r="AK233" s="3"/>
      <c r="AL233" s="3"/>
      <c r="AM233" s="3"/>
      <c r="AN233" s="3"/>
      <c r="AO233" s="3"/>
      <c r="AP233" s="3"/>
      <c r="AQ233" s="3"/>
      <c r="AR233" s="3"/>
      <c r="AS233" s="3"/>
      <c r="AT233" s="3"/>
      <c r="AU233" s="3"/>
    </row>
    <row r="234" spans="1:47" ht="14.25" customHeight="1" x14ac:dyDescent="0.3">
      <c r="A234" s="42"/>
      <c r="B234" s="42"/>
      <c r="C234" s="42"/>
      <c r="D234" s="61" t="s">
        <v>33</v>
      </c>
      <c r="E234" s="62"/>
      <c r="F234" s="61"/>
      <c r="G234" s="62"/>
      <c r="H234" s="61"/>
      <c r="I234" s="62"/>
      <c r="J234" s="42"/>
      <c r="K234" s="42"/>
      <c r="L234" s="63">
        <v>0</v>
      </c>
      <c r="M234" s="64"/>
      <c r="N234" s="62"/>
      <c r="O234" s="49" t="str">
        <f t="shared" si="2"/>
        <v>PLAN</v>
      </c>
      <c r="P234" s="61" t="s">
        <v>33</v>
      </c>
      <c r="Q234" s="62"/>
      <c r="R234" s="46"/>
      <c r="S234" s="2" t="str">
        <f t="shared" si="0"/>
        <v>01</v>
      </c>
      <c r="T234" s="2">
        <v>120</v>
      </c>
      <c r="U234" s="48" t="s">
        <v>91</v>
      </c>
      <c r="V234" s="2"/>
      <c r="W234" s="2" t="str">
        <f t="shared" si="3"/>
        <v>02</v>
      </c>
      <c r="X234" s="2"/>
      <c r="Y234" s="3"/>
      <c r="Z234" s="3"/>
      <c r="AA234" s="3"/>
      <c r="AB234" s="3"/>
      <c r="AC234" s="3"/>
      <c r="AD234" s="3"/>
      <c r="AE234" s="3"/>
      <c r="AF234" s="3"/>
      <c r="AG234" s="3"/>
      <c r="AH234" s="3"/>
      <c r="AI234" s="3"/>
      <c r="AJ234" s="3"/>
      <c r="AK234" s="3"/>
      <c r="AL234" s="3"/>
      <c r="AM234" s="3"/>
      <c r="AN234" s="3"/>
      <c r="AO234" s="3"/>
      <c r="AP234" s="3"/>
      <c r="AQ234" s="3"/>
      <c r="AR234" s="3"/>
      <c r="AS234" s="3"/>
      <c r="AT234" s="3"/>
      <c r="AU234" s="3"/>
    </row>
    <row r="235" spans="1:47" ht="14.25" customHeight="1" x14ac:dyDescent="0.3">
      <c r="A235" s="42"/>
      <c r="B235" s="42"/>
      <c r="C235" s="42"/>
      <c r="D235" s="61" t="s">
        <v>33</v>
      </c>
      <c r="E235" s="62"/>
      <c r="F235" s="61"/>
      <c r="G235" s="62"/>
      <c r="H235" s="61"/>
      <c r="I235" s="62"/>
      <c r="J235" s="42"/>
      <c r="K235" s="42"/>
      <c r="L235" s="63">
        <v>0</v>
      </c>
      <c r="M235" s="64"/>
      <c r="N235" s="62"/>
      <c r="O235" s="49" t="str">
        <f t="shared" si="2"/>
        <v>PLAN</v>
      </c>
      <c r="P235" s="61" t="s">
        <v>33</v>
      </c>
      <c r="Q235" s="62"/>
      <c r="R235" s="46"/>
      <c r="S235" s="2" t="str">
        <f t="shared" si="0"/>
        <v>01</v>
      </c>
      <c r="T235" s="2">
        <v>121</v>
      </c>
      <c r="U235" s="48" t="s">
        <v>91</v>
      </c>
      <c r="V235" s="2"/>
      <c r="W235" s="2" t="str">
        <f t="shared" si="3"/>
        <v>02</v>
      </c>
      <c r="X235" s="2"/>
      <c r="Y235" s="3"/>
      <c r="Z235" s="3"/>
      <c r="AA235" s="3"/>
      <c r="AB235" s="3"/>
      <c r="AC235" s="3"/>
      <c r="AD235" s="3"/>
      <c r="AE235" s="3"/>
      <c r="AF235" s="3"/>
      <c r="AG235" s="3"/>
      <c r="AH235" s="3"/>
      <c r="AI235" s="3"/>
      <c r="AJ235" s="3"/>
      <c r="AK235" s="3"/>
      <c r="AL235" s="3"/>
      <c r="AM235" s="3"/>
      <c r="AN235" s="3"/>
      <c r="AO235" s="3"/>
      <c r="AP235" s="3"/>
      <c r="AQ235" s="3"/>
      <c r="AR235" s="3"/>
      <c r="AS235" s="3"/>
      <c r="AT235" s="3"/>
      <c r="AU235" s="3"/>
    </row>
    <row r="236" spans="1:47" ht="14.25" customHeight="1" x14ac:dyDescent="0.3">
      <c r="A236" s="42"/>
      <c r="B236" s="42"/>
      <c r="C236" s="42"/>
      <c r="D236" s="61" t="s">
        <v>33</v>
      </c>
      <c r="E236" s="62"/>
      <c r="F236" s="61"/>
      <c r="G236" s="62"/>
      <c r="H236" s="61"/>
      <c r="I236" s="62"/>
      <c r="J236" s="42"/>
      <c r="K236" s="42"/>
      <c r="L236" s="63">
        <v>0</v>
      </c>
      <c r="M236" s="64"/>
      <c r="N236" s="62"/>
      <c r="O236" s="49" t="str">
        <f t="shared" si="2"/>
        <v>PLAN</v>
      </c>
      <c r="P236" s="61" t="s">
        <v>33</v>
      </c>
      <c r="Q236" s="62"/>
      <c r="R236" s="46"/>
      <c r="S236" s="2" t="str">
        <f t="shared" si="0"/>
        <v>01</v>
      </c>
      <c r="T236" s="2">
        <v>122</v>
      </c>
      <c r="U236" s="48" t="s">
        <v>91</v>
      </c>
      <c r="V236" s="2"/>
      <c r="W236" s="2" t="str">
        <f t="shared" si="3"/>
        <v>02</v>
      </c>
      <c r="X236" s="2"/>
      <c r="Y236" s="3"/>
      <c r="Z236" s="3"/>
      <c r="AA236" s="3"/>
      <c r="AB236" s="3"/>
      <c r="AC236" s="3"/>
      <c r="AD236" s="3"/>
      <c r="AE236" s="3"/>
      <c r="AF236" s="3"/>
      <c r="AG236" s="3"/>
      <c r="AH236" s="3"/>
      <c r="AI236" s="3"/>
      <c r="AJ236" s="3"/>
      <c r="AK236" s="3"/>
      <c r="AL236" s="3"/>
      <c r="AM236" s="3"/>
      <c r="AN236" s="3"/>
      <c r="AO236" s="3"/>
      <c r="AP236" s="3"/>
      <c r="AQ236" s="3"/>
      <c r="AR236" s="3"/>
      <c r="AS236" s="3"/>
      <c r="AT236" s="3"/>
      <c r="AU236" s="3"/>
    </row>
    <row r="237" spans="1:47" ht="14.25" customHeight="1" x14ac:dyDescent="0.3">
      <c r="A237" s="42"/>
      <c r="B237" s="42"/>
      <c r="C237" s="42"/>
      <c r="D237" s="61" t="s">
        <v>33</v>
      </c>
      <c r="E237" s="62"/>
      <c r="F237" s="61"/>
      <c r="G237" s="62"/>
      <c r="H237" s="61"/>
      <c r="I237" s="62"/>
      <c r="J237" s="42"/>
      <c r="K237" s="42"/>
      <c r="L237" s="63">
        <v>0</v>
      </c>
      <c r="M237" s="64"/>
      <c r="N237" s="62"/>
      <c r="O237" s="49" t="str">
        <f t="shared" si="2"/>
        <v>PLAN</v>
      </c>
      <c r="P237" s="61" t="s">
        <v>33</v>
      </c>
      <c r="Q237" s="62"/>
      <c r="R237" s="46"/>
      <c r="S237" s="2" t="str">
        <f t="shared" si="0"/>
        <v>01</v>
      </c>
      <c r="T237" s="2">
        <v>123</v>
      </c>
      <c r="U237" s="48" t="s">
        <v>91</v>
      </c>
      <c r="V237" s="2"/>
      <c r="W237" s="2" t="str">
        <f t="shared" si="3"/>
        <v>02</v>
      </c>
      <c r="X237" s="2"/>
      <c r="Y237" s="3"/>
      <c r="Z237" s="3"/>
      <c r="AA237" s="3"/>
      <c r="AB237" s="3"/>
      <c r="AC237" s="3"/>
      <c r="AD237" s="3"/>
      <c r="AE237" s="3"/>
      <c r="AF237" s="3"/>
      <c r="AG237" s="3"/>
      <c r="AH237" s="3"/>
      <c r="AI237" s="3"/>
      <c r="AJ237" s="3"/>
      <c r="AK237" s="3"/>
      <c r="AL237" s="3"/>
      <c r="AM237" s="3"/>
      <c r="AN237" s="3"/>
      <c r="AO237" s="3"/>
      <c r="AP237" s="3"/>
      <c r="AQ237" s="3"/>
      <c r="AR237" s="3"/>
      <c r="AS237" s="3"/>
      <c r="AT237" s="3"/>
      <c r="AU237" s="3"/>
    </row>
    <row r="238" spans="1:47" ht="14.25" customHeight="1" x14ac:dyDescent="0.3">
      <c r="A238" s="42"/>
      <c r="B238" s="42"/>
      <c r="C238" s="42"/>
      <c r="D238" s="61" t="s">
        <v>33</v>
      </c>
      <c r="E238" s="62"/>
      <c r="F238" s="61"/>
      <c r="G238" s="62"/>
      <c r="H238" s="61"/>
      <c r="I238" s="62"/>
      <c r="J238" s="42"/>
      <c r="K238" s="42"/>
      <c r="L238" s="63">
        <v>0</v>
      </c>
      <c r="M238" s="64"/>
      <c r="N238" s="62"/>
      <c r="O238" s="49" t="str">
        <f t="shared" si="2"/>
        <v>PLAN</v>
      </c>
      <c r="P238" s="61" t="s">
        <v>33</v>
      </c>
      <c r="Q238" s="62"/>
      <c r="R238" s="46"/>
      <c r="S238" s="2" t="str">
        <f t="shared" si="0"/>
        <v>01</v>
      </c>
      <c r="T238" s="2">
        <v>124</v>
      </c>
      <c r="U238" s="48" t="s">
        <v>91</v>
      </c>
      <c r="V238" s="2"/>
      <c r="W238" s="2" t="str">
        <f t="shared" si="3"/>
        <v>02</v>
      </c>
      <c r="X238" s="2"/>
      <c r="Y238" s="3"/>
      <c r="Z238" s="3"/>
      <c r="AA238" s="3"/>
      <c r="AB238" s="3"/>
      <c r="AC238" s="3"/>
      <c r="AD238" s="3"/>
      <c r="AE238" s="3"/>
      <c r="AF238" s="3"/>
      <c r="AG238" s="3"/>
      <c r="AH238" s="3"/>
      <c r="AI238" s="3"/>
      <c r="AJ238" s="3"/>
      <c r="AK238" s="3"/>
      <c r="AL238" s="3"/>
      <c r="AM238" s="3"/>
      <c r="AN238" s="3"/>
      <c r="AO238" s="3"/>
      <c r="AP238" s="3"/>
      <c r="AQ238" s="3"/>
      <c r="AR238" s="3"/>
      <c r="AS238" s="3"/>
      <c r="AT238" s="3"/>
      <c r="AU238" s="3"/>
    </row>
    <row r="239" spans="1:47" ht="14.25" customHeight="1" x14ac:dyDescent="0.3">
      <c r="A239" s="42"/>
      <c r="B239" s="42"/>
      <c r="C239" s="42"/>
      <c r="D239" s="61" t="s">
        <v>33</v>
      </c>
      <c r="E239" s="62"/>
      <c r="F239" s="61"/>
      <c r="G239" s="62"/>
      <c r="H239" s="61"/>
      <c r="I239" s="62"/>
      <c r="J239" s="42"/>
      <c r="K239" s="42"/>
      <c r="L239" s="63">
        <v>0</v>
      </c>
      <c r="M239" s="64"/>
      <c r="N239" s="62"/>
      <c r="O239" s="49" t="str">
        <f t="shared" si="2"/>
        <v>PLAN</v>
      </c>
      <c r="P239" s="61" t="s">
        <v>33</v>
      </c>
      <c r="Q239" s="62"/>
      <c r="R239" s="46"/>
      <c r="S239" s="2" t="str">
        <f t="shared" si="0"/>
        <v>01</v>
      </c>
      <c r="T239" s="2">
        <v>125</v>
      </c>
      <c r="U239" s="48" t="s">
        <v>91</v>
      </c>
      <c r="V239" s="2"/>
      <c r="W239" s="2" t="str">
        <f t="shared" si="3"/>
        <v>02</v>
      </c>
      <c r="X239" s="2"/>
      <c r="Y239" s="3"/>
      <c r="Z239" s="3"/>
      <c r="AA239" s="3"/>
      <c r="AB239" s="3"/>
      <c r="AC239" s="3"/>
      <c r="AD239" s="3"/>
      <c r="AE239" s="3"/>
      <c r="AF239" s="3"/>
      <c r="AG239" s="3"/>
      <c r="AH239" s="3"/>
      <c r="AI239" s="3"/>
      <c r="AJ239" s="3"/>
      <c r="AK239" s="3"/>
      <c r="AL239" s="3"/>
      <c r="AM239" s="3"/>
      <c r="AN239" s="3"/>
      <c r="AO239" s="3"/>
      <c r="AP239" s="3"/>
      <c r="AQ239" s="3"/>
      <c r="AR239" s="3"/>
      <c r="AS239" s="3"/>
      <c r="AT239" s="3"/>
      <c r="AU239" s="3"/>
    </row>
    <row r="240" spans="1:47" ht="14.25" customHeight="1" x14ac:dyDescent="0.3">
      <c r="A240" s="42"/>
      <c r="B240" s="42"/>
      <c r="C240" s="42"/>
      <c r="D240" s="61" t="s">
        <v>33</v>
      </c>
      <c r="E240" s="62"/>
      <c r="F240" s="61"/>
      <c r="G240" s="62"/>
      <c r="H240" s="61"/>
      <c r="I240" s="62"/>
      <c r="J240" s="42"/>
      <c r="K240" s="42"/>
      <c r="L240" s="63">
        <v>0</v>
      </c>
      <c r="M240" s="64"/>
      <c r="N240" s="62"/>
      <c r="O240" s="49" t="str">
        <f t="shared" si="2"/>
        <v>PLAN</v>
      </c>
      <c r="P240" s="61" t="s">
        <v>33</v>
      </c>
      <c r="Q240" s="62"/>
      <c r="R240" s="46"/>
      <c r="S240" s="2" t="str">
        <f t="shared" si="0"/>
        <v>01</v>
      </c>
      <c r="T240" s="2">
        <v>126</v>
      </c>
      <c r="U240" s="48" t="s">
        <v>91</v>
      </c>
      <c r="V240" s="2"/>
      <c r="W240" s="2" t="str">
        <f t="shared" si="3"/>
        <v>02</v>
      </c>
      <c r="X240" s="2"/>
      <c r="Y240" s="3"/>
      <c r="Z240" s="3"/>
      <c r="AA240" s="3"/>
      <c r="AB240" s="3"/>
      <c r="AC240" s="3"/>
      <c r="AD240" s="3"/>
      <c r="AE240" s="3"/>
      <c r="AF240" s="3"/>
      <c r="AG240" s="3"/>
      <c r="AH240" s="3"/>
      <c r="AI240" s="3"/>
      <c r="AJ240" s="3"/>
      <c r="AK240" s="3"/>
      <c r="AL240" s="3"/>
      <c r="AM240" s="3"/>
      <c r="AN240" s="3"/>
      <c r="AO240" s="3"/>
      <c r="AP240" s="3"/>
      <c r="AQ240" s="3"/>
      <c r="AR240" s="3"/>
      <c r="AS240" s="3"/>
      <c r="AT240" s="3"/>
      <c r="AU240" s="3"/>
    </row>
    <row r="241" spans="1:47" ht="14.25" customHeight="1" x14ac:dyDescent="0.3">
      <c r="A241" s="42"/>
      <c r="B241" s="42"/>
      <c r="C241" s="42"/>
      <c r="D241" s="61" t="s">
        <v>33</v>
      </c>
      <c r="E241" s="62"/>
      <c r="F241" s="61"/>
      <c r="G241" s="62"/>
      <c r="H241" s="61"/>
      <c r="I241" s="62"/>
      <c r="J241" s="42"/>
      <c r="K241" s="42"/>
      <c r="L241" s="63">
        <v>0</v>
      </c>
      <c r="M241" s="64"/>
      <c r="N241" s="62"/>
      <c r="O241" s="49" t="str">
        <f t="shared" si="2"/>
        <v>PLAN</v>
      </c>
      <c r="P241" s="61" t="s">
        <v>33</v>
      </c>
      <c r="Q241" s="62"/>
      <c r="R241" s="46"/>
      <c r="S241" s="2" t="str">
        <f t="shared" si="0"/>
        <v>01</v>
      </c>
      <c r="T241" s="2">
        <v>127</v>
      </c>
      <c r="U241" s="48" t="s">
        <v>91</v>
      </c>
      <c r="V241" s="2"/>
      <c r="W241" s="2" t="str">
        <f t="shared" si="3"/>
        <v>02</v>
      </c>
      <c r="X241" s="2"/>
      <c r="Y241" s="3"/>
      <c r="Z241" s="3"/>
      <c r="AA241" s="3"/>
      <c r="AB241" s="3"/>
      <c r="AC241" s="3"/>
      <c r="AD241" s="3"/>
      <c r="AE241" s="3"/>
      <c r="AF241" s="3"/>
      <c r="AG241" s="3"/>
      <c r="AH241" s="3"/>
      <c r="AI241" s="3"/>
      <c r="AJ241" s="3"/>
      <c r="AK241" s="3"/>
      <c r="AL241" s="3"/>
      <c r="AM241" s="3"/>
      <c r="AN241" s="3"/>
      <c r="AO241" s="3"/>
      <c r="AP241" s="3"/>
      <c r="AQ241" s="3"/>
      <c r="AR241" s="3"/>
      <c r="AS241" s="3"/>
      <c r="AT241" s="3"/>
      <c r="AU241" s="3"/>
    </row>
    <row r="242" spans="1:47" ht="14.25" customHeight="1" x14ac:dyDescent="0.3">
      <c r="A242" s="42"/>
      <c r="B242" s="42"/>
      <c r="C242" s="42"/>
      <c r="D242" s="61" t="s">
        <v>33</v>
      </c>
      <c r="E242" s="62"/>
      <c r="F242" s="61"/>
      <c r="G242" s="62"/>
      <c r="H242" s="61"/>
      <c r="I242" s="62"/>
      <c r="J242" s="42"/>
      <c r="K242" s="42"/>
      <c r="L242" s="63">
        <v>0</v>
      </c>
      <c r="M242" s="64"/>
      <c r="N242" s="62"/>
      <c r="O242" s="49" t="str">
        <f t="shared" si="2"/>
        <v>PLAN</v>
      </c>
      <c r="P242" s="61" t="s">
        <v>33</v>
      </c>
      <c r="Q242" s="62"/>
      <c r="R242" s="46"/>
      <c r="S242" s="2" t="str">
        <f t="shared" si="0"/>
        <v>01</v>
      </c>
      <c r="T242" s="2">
        <v>128</v>
      </c>
      <c r="U242" s="48" t="s">
        <v>91</v>
      </c>
      <c r="V242" s="2"/>
      <c r="W242" s="2" t="str">
        <f t="shared" si="3"/>
        <v>02</v>
      </c>
      <c r="X242" s="2"/>
      <c r="Y242" s="3"/>
      <c r="Z242" s="3"/>
      <c r="AA242" s="3"/>
      <c r="AB242" s="3"/>
      <c r="AC242" s="3"/>
      <c r="AD242" s="3"/>
      <c r="AE242" s="3"/>
      <c r="AF242" s="3"/>
      <c r="AG242" s="3"/>
      <c r="AH242" s="3"/>
      <c r="AI242" s="3"/>
      <c r="AJ242" s="3"/>
      <c r="AK242" s="3"/>
      <c r="AL242" s="3"/>
      <c r="AM242" s="3"/>
      <c r="AN242" s="3"/>
      <c r="AO242" s="3"/>
      <c r="AP242" s="3"/>
      <c r="AQ242" s="3"/>
      <c r="AR242" s="3"/>
      <c r="AS242" s="3"/>
      <c r="AT242" s="3"/>
      <c r="AU242" s="3"/>
    </row>
    <row r="243" spans="1:47" ht="14.25" customHeight="1" x14ac:dyDescent="0.3">
      <c r="A243" s="42"/>
      <c r="B243" s="42"/>
      <c r="C243" s="42"/>
      <c r="D243" s="61" t="s">
        <v>33</v>
      </c>
      <c r="E243" s="62"/>
      <c r="F243" s="61"/>
      <c r="G243" s="62"/>
      <c r="H243" s="61"/>
      <c r="I243" s="62"/>
      <c r="J243" s="42"/>
      <c r="K243" s="42"/>
      <c r="L243" s="63">
        <v>0</v>
      </c>
      <c r="M243" s="64"/>
      <c r="N243" s="62"/>
      <c r="O243" s="49" t="str">
        <f t="shared" si="2"/>
        <v>PLAN</v>
      </c>
      <c r="P243" s="61" t="s">
        <v>33</v>
      </c>
      <c r="Q243" s="62"/>
      <c r="R243" s="46"/>
      <c r="S243" s="2" t="str">
        <f t="shared" si="0"/>
        <v>01</v>
      </c>
      <c r="T243" s="2">
        <v>129</v>
      </c>
      <c r="U243" s="48" t="s">
        <v>91</v>
      </c>
      <c r="V243" s="2"/>
      <c r="W243" s="2" t="str">
        <f t="shared" si="3"/>
        <v>02</v>
      </c>
      <c r="X243" s="2"/>
      <c r="Y243" s="3"/>
      <c r="Z243" s="3"/>
      <c r="AA243" s="3"/>
      <c r="AB243" s="3"/>
      <c r="AC243" s="3"/>
      <c r="AD243" s="3"/>
      <c r="AE243" s="3"/>
      <c r="AF243" s="3"/>
      <c r="AG243" s="3"/>
      <c r="AH243" s="3"/>
      <c r="AI243" s="3"/>
      <c r="AJ243" s="3"/>
      <c r="AK243" s="3"/>
      <c r="AL243" s="3"/>
      <c r="AM243" s="3"/>
      <c r="AN243" s="3"/>
      <c r="AO243" s="3"/>
      <c r="AP243" s="3"/>
      <c r="AQ243" s="3"/>
      <c r="AR243" s="3"/>
      <c r="AS243" s="3"/>
      <c r="AT243" s="3"/>
      <c r="AU243" s="3"/>
    </row>
    <row r="244" spans="1:47" ht="14.25" customHeight="1" x14ac:dyDescent="0.3">
      <c r="A244" s="42"/>
      <c r="B244" s="42"/>
      <c r="C244" s="42"/>
      <c r="D244" s="61" t="s">
        <v>33</v>
      </c>
      <c r="E244" s="62"/>
      <c r="F244" s="61"/>
      <c r="G244" s="62"/>
      <c r="H244" s="61"/>
      <c r="I244" s="62"/>
      <c r="J244" s="42"/>
      <c r="K244" s="42"/>
      <c r="L244" s="63">
        <v>0</v>
      </c>
      <c r="M244" s="64"/>
      <c r="N244" s="62"/>
      <c r="O244" s="49" t="str">
        <f t="shared" si="2"/>
        <v>PLAN</v>
      </c>
      <c r="P244" s="61" t="s">
        <v>33</v>
      </c>
      <c r="Q244" s="62"/>
      <c r="R244" s="46"/>
      <c r="S244" s="2" t="str">
        <f t="shared" si="0"/>
        <v>01</v>
      </c>
      <c r="T244" s="2">
        <v>130</v>
      </c>
      <c r="U244" s="48" t="s">
        <v>91</v>
      </c>
      <c r="V244" s="2"/>
      <c r="W244" s="2" t="str">
        <f t="shared" si="3"/>
        <v>02</v>
      </c>
      <c r="X244" s="2"/>
      <c r="Y244" s="3"/>
      <c r="Z244" s="3"/>
      <c r="AA244" s="3"/>
      <c r="AB244" s="3"/>
      <c r="AC244" s="3"/>
      <c r="AD244" s="3"/>
      <c r="AE244" s="3"/>
      <c r="AF244" s="3"/>
      <c r="AG244" s="3"/>
      <c r="AH244" s="3"/>
      <c r="AI244" s="3"/>
      <c r="AJ244" s="3"/>
      <c r="AK244" s="3"/>
      <c r="AL244" s="3"/>
      <c r="AM244" s="3"/>
      <c r="AN244" s="3"/>
      <c r="AO244" s="3"/>
      <c r="AP244" s="3"/>
      <c r="AQ244" s="3"/>
      <c r="AR244" s="3"/>
      <c r="AS244" s="3"/>
      <c r="AT244" s="3"/>
      <c r="AU244" s="3"/>
    </row>
    <row r="245" spans="1:47" ht="14.25" customHeight="1" x14ac:dyDescent="0.3">
      <c r="A245" s="42"/>
      <c r="B245" s="42"/>
      <c r="C245" s="42"/>
      <c r="D245" s="61" t="s">
        <v>33</v>
      </c>
      <c r="E245" s="62"/>
      <c r="F245" s="61"/>
      <c r="G245" s="62"/>
      <c r="H245" s="61"/>
      <c r="I245" s="62"/>
      <c r="J245" s="42"/>
      <c r="K245" s="42"/>
      <c r="L245" s="63">
        <v>0</v>
      </c>
      <c r="M245" s="64"/>
      <c r="N245" s="62"/>
      <c r="O245" s="49" t="str">
        <f t="shared" si="2"/>
        <v>PLAN</v>
      </c>
      <c r="P245" s="61" t="s">
        <v>33</v>
      </c>
      <c r="Q245" s="62"/>
      <c r="R245" s="46"/>
      <c r="S245" s="2" t="str">
        <f t="shared" si="0"/>
        <v>01</v>
      </c>
      <c r="T245" s="2">
        <v>131</v>
      </c>
      <c r="U245" s="48" t="s">
        <v>91</v>
      </c>
      <c r="V245" s="2"/>
      <c r="W245" s="2" t="str">
        <f t="shared" si="3"/>
        <v>02</v>
      </c>
      <c r="X245" s="2"/>
      <c r="Y245" s="3"/>
      <c r="Z245" s="3"/>
      <c r="AA245" s="3"/>
      <c r="AB245" s="3"/>
      <c r="AC245" s="3"/>
      <c r="AD245" s="3"/>
      <c r="AE245" s="3"/>
      <c r="AF245" s="3"/>
      <c r="AG245" s="3"/>
      <c r="AH245" s="3"/>
      <c r="AI245" s="3"/>
      <c r="AJ245" s="3"/>
      <c r="AK245" s="3"/>
      <c r="AL245" s="3"/>
      <c r="AM245" s="3"/>
      <c r="AN245" s="3"/>
      <c r="AO245" s="3"/>
      <c r="AP245" s="3"/>
      <c r="AQ245" s="3"/>
      <c r="AR245" s="3"/>
      <c r="AS245" s="3"/>
      <c r="AT245" s="3"/>
      <c r="AU245" s="3"/>
    </row>
    <row r="246" spans="1:47" ht="14.25" customHeight="1" x14ac:dyDescent="0.3">
      <c r="A246" s="42"/>
      <c r="B246" s="42"/>
      <c r="C246" s="42"/>
      <c r="D246" s="61" t="s">
        <v>33</v>
      </c>
      <c r="E246" s="62"/>
      <c r="F246" s="61"/>
      <c r="G246" s="62"/>
      <c r="H246" s="61"/>
      <c r="I246" s="62"/>
      <c r="J246" s="42"/>
      <c r="K246" s="42"/>
      <c r="L246" s="63">
        <v>0</v>
      </c>
      <c r="M246" s="64"/>
      <c r="N246" s="62"/>
      <c r="O246" s="49" t="str">
        <f t="shared" si="2"/>
        <v>PLAN</v>
      </c>
      <c r="P246" s="61" t="s">
        <v>33</v>
      </c>
      <c r="Q246" s="62"/>
      <c r="R246" s="46"/>
      <c r="S246" s="2" t="str">
        <f t="shared" si="0"/>
        <v>01</v>
      </c>
      <c r="T246" s="2">
        <v>132</v>
      </c>
      <c r="U246" s="48" t="s">
        <v>91</v>
      </c>
      <c r="V246" s="2"/>
      <c r="W246" s="2" t="str">
        <f t="shared" si="3"/>
        <v>02</v>
      </c>
      <c r="X246" s="2"/>
      <c r="Y246" s="3"/>
      <c r="Z246" s="3"/>
      <c r="AA246" s="3"/>
      <c r="AB246" s="3"/>
      <c r="AC246" s="3"/>
      <c r="AD246" s="3"/>
      <c r="AE246" s="3"/>
      <c r="AF246" s="3"/>
      <c r="AG246" s="3"/>
      <c r="AH246" s="3"/>
      <c r="AI246" s="3"/>
      <c r="AJ246" s="3"/>
      <c r="AK246" s="3"/>
      <c r="AL246" s="3"/>
      <c r="AM246" s="3"/>
      <c r="AN246" s="3"/>
      <c r="AO246" s="3"/>
      <c r="AP246" s="3"/>
      <c r="AQ246" s="3"/>
      <c r="AR246" s="3"/>
      <c r="AS246" s="3"/>
      <c r="AT246" s="3"/>
      <c r="AU246" s="3"/>
    </row>
    <row r="247" spans="1:47" ht="14.25" customHeight="1" x14ac:dyDescent="0.3">
      <c r="A247" s="42"/>
      <c r="B247" s="42"/>
      <c r="C247" s="42"/>
      <c r="D247" s="61" t="s">
        <v>33</v>
      </c>
      <c r="E247" s="62"/>
      <c r="F247" s="61"/>
      <c r="G247" s="62"/>
      <c r="H247" s="61"/>
      <c r="I247" s="62"/>
      <c r="J247" s="42"/>
      <c r="K247" s="42"/>
      <c r="L247" s="63">
        <v>0</v>
      </c>
      <c r="M247" s="64"/>
      <c r="N247" s="62"/>
      <c r="O247" s="49" t="str">
        <f t="shared" si="2"/>
        <v>PLAN</v>
      </c>
      <c r="P247" s="61" t="s">
        <v>33</v>
      </c>
      <c r="Q247" s="62"/>
      <c r="R247" s="46"/>
      <c r="S247" s="2" t="str">
        <f t="shared" si="0"/>
        <v>01</v>
      </c>
      <c r="T247" s="2">
        <v>133</v>
      </c>
      <c r="U247" s="48" t="s">
        <v>91</v>
      </c>
      <c r="V247" s="2"/>
      <c r="W247" s="2" t="str">
        <f t="shared" si="3"/>
        <v>02</v>
      </c>
      <c r="X247" s="2"/>
      <c r="Y247" s="3"/>
      <c r="Z247" s="3"/>
      <c r="AA247" s="3"/>
      <c r="AB247" s="3"/>
      <c r="AC247" s="3"/>
      <c r="AD247" s="3"/>
      <c r="AE247" s="3"/>
      <c r="AF247" s="3"/>
      <c r="AG247" s="3"/>
      <c r="AH247" s="3"/>
      <c r="AI247" s="3"/>
      <c r="AJ247" s="3"/>
      <c r="AK247" s="3"/>
      <c r="AL247" s="3"/>
      <c r="AM247" s="3"/>
      <c r="AN247" s="3"/>
      <c r="AO247" s="3"/>
      <c r="AP247" s="3"/>
      <c r="AQ247" s="3"/>
      <c r="AR247" s="3"/>
      <c r="AS247" s="3"/>
      <c r="AT247" s="3"/>
      <c r="AU247" s="3"/>
    </row>
    <row r="248" spans="1:47" ht="14.25" customHeight="1" x14ac:dyDescent="0.3">
      <c r="A248" s="42"/>
      <c r="B248" s="42"/>
      <c r="C248" s="42"/>
      <c r="D248" s="61" t="s">
        <v>33</v>
      </c>
      <c r="E248" s="62"/>
      <c r="F248" s="61"/>
      <c r="G248" s="62"/>
      <c r="H248" s="61"/>
      <c r="I248" s="62"/>
      <c r="J248" s="42"/>
      <c r="K248" s="42"/>
      <c r="L248" s="63">
        <v>0</v>
      </c>
      <c r="M248" s="64"/>
      <c r="N248" s="62"/>
      <c r="O248" s="49" t="str">
        <f t="shared" si="2"/>
        <v>PLAN</v>
      </c>
      <c r="P248" s="61" t="s">
        <v>33</v>
      </c>
      <c r="Q248" s="62"/>
      <c r="R248" s="46"/>
      <c r="S248" s="2" t="str">
        <f t="shared" si="0"/>
        <v>01</v>
      </c>
      <c r="T248" s="2">
        <v>134</v>
      </c>
      <c r="U248" s="48" t="s">
        <v>91</v>
      </c>
      <c r="V248" s="2"/>
      <c r="W248" s="2" t="str">
        <f t="shared" si="3"/>
        <v>02</v>
      </c>
      <c r="X248" s="2"/>
      <c r="Y248" s="3"/>
      <c r="Z248" s="3"/>
      <c r="AA248" s="3"/>
      <c r="AB248" s="3"/>
      <c r="AC248" s="3"/>
      <c r="AD248" s="3"/>
      <c r="AE248" s="3"/>
      <c r="AF248" s="3"/>
      <c r="AG248" s="3"/>
      <c r="AH248" s="3"/>
      <c r="AI248" s="3"/>
      <c r="AJ248" s="3"/>
      <c r="AK248" s="3"/>
      <c r="AL248" s="3"/>
      <c r="AM248" s="3"/>
      <c r="AN248" s="3"/>
      <c r="AO248" s="3"/>
      <c r="AP248" s="3"/>
      <c r="AQ248" s="3"/>
      <c r="AR248" s="3"/>
      <c r="AS248" s="3"/>
      <c r="AT248" s="3"/>
      <c r="AU248" s="3"/>
    </row>
    <row r="249" spans="1:47" ht="14.25" customHeight="1" x14ac:dyDescent="0.3">
      <c r="A249" s="42"/>
      <c r="B249" s="42"/>
      <c r="C249" s="42"/>
      <c r="D249" s="61" t="s">
        <v>33</v>
      </c>
      <c r="E249" s="62"/>
      <c r="F249" s="61"/>
      <c r="G249" s="62"/>
      <c r="H249" s="61"/>
      <c r="I249" s="62"/>
      <c r="J249" s="42"/>
      <c r="K249" s="42"/>
      <c r="L249" s="63">
        <v>0</v>
      </c>
      <c r="M249" s="64"/>
      <c r="N249" s="62"/>
      <c r="O249" s="49" t="str">
        <f t="shared" si="2"/>
        <v>PLAN</v>
      </c>
      <c r="P249" s="61" t="s">
        <v>33</v>
      </c>
      <c r="Q249" s="62"/>
      <c r="R249" s="46"/>
      <c r="S249" s="2" t="str">
        <f t="shared" si="0"/>
        <v>01</v>
      </c>
      <c r="T249" s="2">
        <v>135</v>
      </c>
      <c r="U249" s="48" t="s">
        <v>91</v>
      </c>
      <c r="V249" s="2"/>
      <c r="W249" s="2" t="str">
        <f t="shared" si="3"/>
        <v>02</v>
      </c>
      <c r="X249" s="2"/>
      <c r="Y249" s="3"/>
      <c r="Z249" s="3"/>
      <c r="AA249" s="3"/>
      <c r="AB249" s="3"/>
      <c r="AC249" s="3"/>
      <c r="AD249" s="3"/>
      <c r="AE249" s="3"/>
      <c r="AF249" s="3"/>
      <c r="AG249" s="3"/>
      <c r="AH249" s="3"/>
      <c r="AI249" s="3"/>
      <c r="AJ249" s="3"/>
      <c r="AK249" s="3"/>
      <c r="AL249" s="3"/>
      <c r="AM249" s="3"/>
      <c r="AN249" s="3"/>
      <c r="AO249" s="3"/>
      <c r="AP249" s="3"/>
      <c r="AQ249" s="3"/>
      <c r="AR249" s="3"/>
      <c r="AS249" s="3"/>
      <c r="AT249" s="3"/>
      <c r="AU249" s="3"/>
    </row>
    <row r="250" spans="1:47" ht="14.25" customHeight="1" x14ac:dyDescent="0.3">
      <c r="A250" s="42"/>
      <c r="B250" s="42"/>
      <c r="C250" s="42"/>
      <c r="D250" s="61" t="s">
        <v>33</v>
      </c>
      <c r="E250" s="62"/>
      <c r="F250" s="61"/>
      <c r="G250" s="62"/>
      <c r="H250" s="61"/>
      <c r="I250" s="62"/>
      <c r="J250" s="42"/>
      <c r="K250" s="42"/>
      <c r="L250" s="63">
        <v>0</v>
      </c>
      <c r="M250" s="64"/>
      <c r="N250" s="62"/>
      <c r="O250" s="49" t="str">
        <f t="shared" si="2"/>
        <v>PLAN</v>
      </c>
      <c r="P250" s="61" t="s">
        <v>33</v>
      </c>
      <c r="Q250" s="62"/>
      <c r="R250" s="46"/>
      <c r="S250" s="2" t="str">
        <f t="shared" si="0"/>
        <v>01</v>
      </c>
      <c r="T250" s="2">
        <v>136</v>
      </c>
      <c r="U250" s="48" t="s">
        <v>91</v>
      </c>
      <c r="V250" s="2"/>
      <c r="W250" s="2" t="str">
        <f t="shared" si="3"/>
        <v>02</v>
      </c>
      <c r="X250" s="2"/>
      <c r="Y250" s="3"/>
      <c r="Z250" s="3"/>
      <c r="AA250" s="3"/>
      <c r="AB250" s="3"/>
      <c r="AC250" s="3"/>
      <c r="AD250" s="3"/>
      <c r="AE250" s="3"/>
      <c r="AF250" s="3"/>
      <c r="AG250" s="3"/>
      <c r="AH250" s="3"/>
      <c r="AI250" s="3"/>
      <c r="AJ250" s="3"/>
      <c r="AK250" s="3"/>
      <c r="AL250" s="3"/>
      <c r="AM250" s="3"/>
      <c r="AN250" s="3"/>
      <c r="AO250" s="3"/>
      <c r="AP250" s="3"/>
      <c r="AQ250" s="3"/>
      <c r="AR250" s="3"/>
      <c r="AS250" s="3"/>
      <c r="AT250" s="3"/>
      <c r="AU250" s="3"/>
    </row>
    <row r="251" spans="1:47" ht="14.25" customHeight="1" x14ac:dyDescent="0.3">
      <c r="A251" s="42"/>
      <c r="B251" s="42"/>
      <c r="C251" s="42"/>
      <c r="D251" s="61" t="s">
        <v>33</v>
      </c>
      <c r="E251" s="62"/>
      <c r="F251" s="61"/>
      <c r="G251" s="62"/>
      <c r="H251" s="61"/>
      <c r="I251" s="62"/>
      <c r="J251" s="42"/>
      <c r="K251" s="42"/>
      <c r="L251" s="63">
        <v>0</v>
      </c>
      <c r="M251" s="64"/>
      <c r="N251" s="62"/>
      <c r="O251" s="49" t="str">
        <f t="shared" si="2"/>
        <v>PLAN</v>
      </c>
      <c r="P251" s="61" t="s">
        <v>33</v>
      </c>
      <c r="Q251" s="62"/>
      <c r="R251" s="46"/>
      <c r="S251" s="2" t="str">
        <f t="shared" si="0"/>
        <v>01</v>
      </c>
      <c r="T251" s="2">
        <v>137</v>
      </c>
      <c r="U251" s="48" t="s">
        <v>91</v>
      </c>
      <c r="V251" s="2"/>
      <c r="W251" s="2" t="str">
        <f t="shared" si="3"/>
        <v>02</v>
      </c>
      <c r="X251" s="2"/>
      <c r="Y251" s="3"/>
      <c r="Z251" s="3"/>
      <c r="AA251" s="3"/>
      <c r="AB251" s="3"/>
      <c r="AC251" s="3"/>
      <c r="AD251" s="3"/>
      <c r="AE251" s="3"/>
      <c r="AF251" s="3"/>
      <c r="AG251" s="3"/>
      <c r="AH251" s="3"/>
      <c r="AI251" s="3"/>
      <c r="AJ251" s="3"/>
      <c r="AK251" s="3"/>
      <c r="AL251" s="3"/>
      <c r="AM251" s="3"/>
      <c r="AN251" s="3"/>
      <c r="AO251" s="3"/>
      <c r="AP251" s="3"/>
      <c r="AQ251" s="3"/>
      <c r="AR251" s="3"/>
      <c r="AS251" s="3"/>
      <c r="AT251" s="3"/>
      <c r="AU251" s="3"/>
    </row>
    <row r="252" spans="1:47" ht="14.25" customHeight="1" x14ac:dyDescent="0.3">
      <c r="A252" s="42"/>
      <c r="B252" s="42"/>
      <c r="C252" s="42"/>
      <c r="D252" s="61" t="s">
        <v>33</v>
      </c>
      <c r="E252" s="62"/>
      <c r="F252" s="61"/>
      <c r="G252" s="62"/>
      <c r="H252" s="61"/>
      <c r="I252" s="62"/>
      <c r="J252" s="42"/>
      <c r="K252" s="42"/>
      <c r="L252" s="63">
        <v>0</v>
      </c>
      <c r="M252" s="64"/>
      <c r="N252" s="62"/>
      <c r="O252" s="49" t="str">
        <f t="shared" si="2"/>
        <v>PLAN</v>
      </c>
      <c r="P252" s="61" t="s">
        <v>33</v>
      </c>
      <c r="Q252" s="62"/>
      <c r="R252" s="46"/>
      <c r="S252" s="2" t="str">
        <f t="shared" si="0"/>
        <v>01</v>
      </c>
      <c r="T252" s="2">
        <v>138</v>
      </c>
      <c r="U252" s="48" t="s">
        <v>91</v>
      </c>
      <c r="V252" s="2"/>
      <c r="W252" s="2" t="str">
        <f t="shared" si="3"/>
        <v>02</v>
      </c>
      <c r="X252" s="2"/>
      <c r="Y252" s="3"/>
      <c r="Z252" s="3"/>
      <c r="AA252" s="3"/>
      <c r="AB252" s="3"/>
      <c r="AC252" s="3"/>
      <c r="AD252" s="3"/>
      <c r="AE252" s="3"/>
      <c r="AF252" s="3"/>
      <c r="AG252" s="3"/>
      <c r="AH252" s="3"/>
      <c r="AI252" s="3"/>
      <c r="AJ252" s="3"/>
      <c r="AK252" s="3"/>
      <c r="AL252" s="3"/>
      <c r="AM252" s="3"/>
      <c r="AN252" s="3"/>
      <c r="AO252" s="3"/>
      <c r="AP252" s="3"/>
      <c r="AQ252" s="3"/>
      <c r="AR252" s="3"/>
      <c r="AS252" s="3"/>
      <c r="AT252" s="3"/>
      <c r="AU252" s="3"/>
    </row>
    <row r="253" spans="1:47" ht="14.25" customHeight="1" x14ac:dyDescent="0.3">
      <c r="A253" s="42"/>
      <c r="B253" s="42"/>
      <c r="C253" s="42"/>
      <c r="D253" s="61" t="s">
        <v>33</v>
      </c>
      <c r="E253" s="62"/>
      <c r="F253" s="61"/>
      <c r="G253" s="62"/>
      <c r="H253" s="61"/>
      <c r="I253" s="62"/>
      <c r="J253" s="42"/>
      <c r="K253" s="42"/>
      <c r="L253" s="63">
        <v>0</v>
      </c>
      <c r="M253" s="64"/>
      <c r="N253" s="62"/>
      <c r="O253" s="49" t="str">
        <f t="shared" si="2"/>
        <v>PLAN</v>
      </c>
      <c r="P253" s="61" t="s">
        <v>33</v>
      </c>
      <c r="Q253" s="62"/>
      <c r="R253" s="46"/>
      <c r="S253" s="2" t="str">
        <f t="shared" si="0"/>
        <v>01</v>
      </c>
      <c r="T253" s="2">
        <v>139</v>
      </c>
      <c r="U253" s="48" t="s">
        <v>91</v>
      </c>
      <c r="V253" s="2"/>
      <c r="W253" s="2" t="str">
        <f t="shared" si="3"/>
        <v>02</v>
      </c>
      <c r="X253" s="2"/>
      <c r="Y253" s="3"/>
      <c r="Z253" s="3"/>
      <c r="AA253" s="3"/>
      <c r="AB253" s="3"/>
      <c r="AC253" s="3"/>
      <c r="AD253" s="3"/>
      <c r="AE253" s="3"/>
      <c r="AF253" s="3"/>
      <c r="AG253" s="3"/>
      <c r="AH253" s="3"/>
      <c r="AI253" s="3"/>
      <c r="AJ253" s="3"/>
      <c r="AK253" s="3"/>
      <c r="AL253" s="3"/>
      <c r="AM253" s="3"/>
      <c r="AN253" s="3"/>
      <c r="AO253" s="3"/>
      <c r="AP253" s="3"/>
      <c r="AQ253" s="3"/>
      <c r="AR253" s="3"/>
      <c r="AS253" s="3"/>
      <c r="AT253" s="3"/>
      <c r="AU253" s="3"/>
    </row>
    <row r="254" spans="1:47" ht="14.25" customHeight="1" x14ac:dyDescent="0.3">
      <c r="A254" s="42"/>
      <c r="B254" s="42"/>
      <c r="C254" s="42"/>
      <c r="D254" s="61" t="s">
        <v>33</v>
      </c>
      <c r="E254" s="62"/>
      <c r="F254" s="61"/>
      <c r="G254" s="62"/>
      <c r="H254" s="61"/>
      <c r="I254" s="62"/>
      <c r="J254" s="42"/>
      <c r="K254" s="42"/>
      <c r="L254" s="63">
        <v>0</v>
      </c>
      <c r="M254" s="64"/>
      <c r="N254" s="62"/>
      <c r="O254" s="49" t="str">
        <f t="shared" si="2"/>
        <v>PLAN</v>
      </c>
      <c r="P254" s="61" t="s">
        <v>33</v>
      </c>
      <c r="Q254" s="62"/>
      <c r="R254" s="46"/>
      <c r="S254" s="2" t="str">
        <f t="shared" si="0"/>
        <v>01</v>
      </c>
      <c r="T254" s="2">
        <v>140</v>
      </c>
      <c r="U254" s="48" t="s">
        <v>91</v>
      </c>
      <c r="V254" s="2"/>
      <c r="W254" s="2" t="str">
        <f t="shared" si="3"/>
        <v>02</v>
      </c>
      <c r="X254" s="2"/>
      <c r="Y254" s="3"/>
      <c r="Z254" s="3"/>
      <c r="AA254" s="3"/>
      <c r="AB254" s="3"/>
      <c r="AC254" s="3"/>
      <c r="AD254" s="3"/>
      <c r="AE254" s="3"/>
      <c r="AF254" s="3"/>
      <c r="AG254" s="3"/>
      <c r="AH254" s="3"/>
      <c r="AI254" s="3"/>
      <c r="AJ254" s="3"/>
      <c r="AK254" s="3"/>
      <c r="AL254" s="3"/>
      <c r="AM254" s="3"/>
      <c r="AN254" s="3"/>
      <c r="AO254" s="3"/>
      <c r="AP254" s="3"/>
      <c r="AQ254" s="3"/>
      <c r="AR254" s="3"/>
      <c r="AS254" s="3"/>
      <c r="AT254" s="3"/>
      <c r="AU254" s="3"/>
    </row>
    <row r="255" spans="1:47" ht="14.25" customHeight="1" x14ac:dyDescent="0.3">
      <c r="A255" s="42"/>
      <c r="B255" s="42"/>
      <c r="C255" s="42"/>
      <c r="D255" s="61" t="s">
        <v>33</v>
      </c>
      <c r="E255" s="62"/>
      <c r="F255" s="61"/>
      <c r="G255" s="62"/>
      <c r="H255" s="61"/>
      <c r="I255" s="62"/>
      <c r="J255" s="42"/>
      <c r="K255" s="42"/>
      <c r="L255" s="63">
        <v>0</v>
      </c>
      <c r="M255" s="64"/>
      <c r="N255" s="62"/>
      <c r="O255" s="49" t="str">
        <f t="shared" si="2"/>
        <v>PLAN</v>
      </c>
      <c r="P255" s="61" t="s">
        <v>33</v>
      </c>
      <c r="Q255" s="62"/>
      <c r="R255" s="46"/>
      <c r="S255" s="2" t="str">
        <f t="shared" si="0"/>
        <v>01</v>
      </c>
      <c r="T255" s="2">
        <v>141</v>
      </c>
      <c r="U255" s="48" t="s">
        <v>91</v>
      </c>
      <c r="V255" s="2"/>
      <c r="W255" s="2" t="str">
        <f t="shared" si="3"/>
        <v>02</v>
      </c>
      <c r="X255" s="2"/>
      <c r="Y255" s="3"/>
      <c r="Z255" s="3"/>
      <c r="AA255" s="3"/>
      <c r="AB255" s="3"/>
      <c r="AC255" s="3"/>
      <c r="AD255" s="3"/>
      <c r="AE255" s="3"/>
      <c r="AF255" s="3"/>
      <c r="AG255" s="3"/>
      <c r="AH255" s="3"/>
      <c r="AI255" s="3"/>
      <c r="AJ255" s="3"/>
      <c r="AK255" s="3"/>
      <c r="AL255" s="3"/>
      <c r="AM255" s="3"/>
      <c r="AN255" s="3"/>
      <c r="AO255" s="3"/>
      <c r="AP255" s="3"/>
      <c r="AQ255" s="3"/>
      <c r="AR255" s="3"/>
      <c r="AS255" s="3"/>
      <c r="AT255" s="3"/>
      <c r="AU255" s="3"/>
    </row>
    <row r="256" spans="1:47" ht="14.25" customHeight="1" x14ac:dyDescent="0.3">
      <c r="A256" s="42"/>
      <c r="B256" s="42"/>
      <c r="C256" s="42"/>
      <c r="D256" s="61" t="s">
        <v>33</v>
      </c>
      <c r="E256" s="62"/>
      <c r="F256" s="61"/>
      <c r="G256" s="62"/>
      <c r="H256" s="61"/>
      <c r="I256" s="62"/>
      <c r="J256" s="42"/>
      <c r="K256" s="42"/>
      <c r="L256" s="63">
        <v>0</v>
      </c>
      <c r="M256" s="64"/>
      <c r="N256" s="62"/>
      <c r="O256" s="49" t="str">
        <f t="shared" si="2"/>
        <v>PLAN</v>
      </c>
      <c r="P256" s="61" t="s">
        <v>33</v>
      </c>
      <c r="Q256" s="62"/>
      <c r="R256" s="46"/>
      <c r="S256" s="2" t="str">
        <f t="shared" si="0"/>
        <v>01</v>
      </c>
      <c r="T256" s="2">
        <v>142</v>
      </c>
      <c r="U256" s="48" t="s">
        <v>91</v>
      </c>
      <c r="V256" s="2"/>
      <c r="W256" s="2" t="str">
        <f t="shared" si="3"/>
        <v>02</v>
      </c>
      <c r="X256" s="2"/>
      <c r="Y256" s="3"/>
      <c r="Z256" s="3"/>
      <c r="AA256" s="3"/>
      <c r="AB256" s="3"/>
      <c r="AC256" s="3"/>
      <c r="AD256" s="3"/>
      <c r="AE256" s="3"/>
      <c r="AF256" s="3"/>
      <c r="AG256" s="3"/>
      <c r="AH256" s="3"/>
      <c r="AI256" s="3"/>
      <c r="AJ256" s="3"/>
      <c r="AK256" s="3"/>
      <c r="AL256" s="3"/>
      <c r="AM256" s="3"/>
      <c r="AN256" s="3"/>
      <c r="AO256" s="3"/>
      <c r="AP256" s="3"/>
      <c r="AQ256" s="3"/>
      <c r="AR256" s="3"/>
      <c r="AS256" s="3"/>
      <c r="AT256" s="3"/>
      <c r="AU256" s="3"/>
    </row>
    <row r="257" spans="1:47" ht="14.25" customHeight="1" x14ac:dyDescent="0.3">
      <c r="A257" s="42"/>
      <c r="B257" s="42"/>
      <c r="C257" s="42"/>
      <c r="D257" s="61" t="s">
        <v>33</v>
      </c>
      <c r="E257" s="62"/>
      <c r="F257" s="61"/>
      <c r="G257" s="62"/>
      <c r="H257" s="61"/>
      <c r="I257" s="62"/>
      <c r="J257" s="42"/>
      <c r="K257" s="42"/>
      <c r="L257" s="63">
        <v>0</v>
      </c>
      <c r="M257" s="64"/>
      <c r="N257" s="62"/>
      <c r="O257" s="49" t="str">
        <f t="shared" si="2"/>
        <v>PLAN</v>
      </c>
      <c r="P257" s="61" t="s">
        <v>33</v>
      </c>
      <c r="Q257" s="62"/>
      <c r="R257" s="46"/>
      <c r="S257" s="2" t="str">
        <f t="shared" si="0"/>
        <v>01</v>
      </c>
      <c r="T257" s="2">
        <v>143</v>
      </c>
      <c r="U257" s="48" t="s">
        <v>91</v>
      </c>
      <c r="V257" s="2"/>
      <c r="W257" s="2" t="str">
        <f t="shared" si="3"/>
        <v>02</v>
      </c>
      <c r="X257" s="2"/>
      <c r="Y257" s="3"/>
      <c r="Z257" s="3"/>
      <c r="AA257" s="3"/>
      <c r="AB257" s="3"/>
      <c r="AC257" s="3"/>
      <c r="AD257" s="3"/>
      <c r="AE257" s="3"/>
      <c r="AF257" s="3"/>
      <c r="AG257" s="3"/>
      <c r="AH257" s="3"/>
      <c r="AI257" s="3"/>
      <c r="AJ257" s="3"/>
      <c r="AK257" s="3"/>
      <c r="AL257" s="3"/>
      <c r="AM257" s="3"/>
      <c r="AN257" s="3"/>
      <c r="AO257" s="3"/>
      <c r="AP257" s="3"/>
      <c r="AQ257" s="3"/>
      <c r="AR257" s="3"/>
      <c r="AS257" s="3"/>
      <c r="AT257" s="3"/>
      <c r="AU257" s="3"/>
    </row>
    <row r="258" spans="1:47" ht="14.25" customHeight="1" x14ac:dyDescent="0.3">
      <c r="A258" s="42"/>
      <c r="B258" s="42"/>
      <c r="C258" s="42"/>
      <c r="D258" s="61" t="s">
        <v>33</v>
      </c>
      <c r="E258" s="62"/>
      <c r="F258" s="61"/>
      <c r="G258" s="62"/>
      <c r="H258" s="61"/>
      <c r="I258" s="62"/>
      <c r="J258" s="42"/>
      <c r="K258" s="42"/>
      <c r="L258" s="63">
        <v>0</v>
      </c>
      <c r="M258" s="64"/>
      <c r="N258" s="62"/>
      <c r="O258" s="49" t="str">
        <f t="shared" si="2"/>
        <v>PLAN</v>
      </c>
      <c r="P258" s="61" t="s">
        <v>33</v>
      </c>
      <c r="Q258" s="62"/>
      <c r="R258" s="46"/>
      <c r="S258" s="2" t="str">
        <f t="shared" si="0"/>
        <v>01</v>
      </c>
      <c r="T258" s="2">
        <v>144</v>
      </c>
      <c r="U258" s="48" t="s">
        <v>91</v>
      </c>
      <c r="V258" s="2"/>
      <c r="W258" s="2" t="str">
        <f t="shared" si="3"/>
        <v>02</v>
      </c>
      <c r="X258" s="2"/>
      <c r="Y258" s="3"/>
      <c r="Z258" s="3"/>
      <c r="AA258" s="3"/>
      <c r="AB258" s="3"/>
      <c r="AC258" s="3"/>
      <c r="AD258" s="3"/>
      <c r="AE258" s="3"/>
      <c r="AF258" s="3"/>
      <c r="AG258" s="3"/>
      <c r="AH258" s="3"/>
      <c r="AI258" s="3"/>
      <c r="AJ258" s="3"/>
      <c r="AK258" s="3"/>
      <c r="AL258" s="3"/>
      <c r="AM258" s="3"/>
      <c r="AN258" s="3"/>
      <c r="AO258" s="3"/>
      <c r="AP258" s="3"/>
      <c r="AQ258" s="3"/>
      <c r="AR258" s="3"/>
      <c r="AS258" s="3"/>
      <c r="AT258" s="3"/>
      <c r="AU258" s="3"/>
    </row>
    <row r="259" spans="1:47" ht="14.25" customHeight="1" x14ac:dyDescent="0.3">
      <c r="A259" s="42"/>
      <c r="B259" s="42"/>
      <c r="C259" s="42"/>
      <c r="D259" s="61" t="s">
        <v>33</v>
      </c>
      <c r="E259" s="62"/>
      <c r="F259" s="61"/>
      <c r="G259" s="62"/>
      <c r="H259" s="61"/>
      <c r="I259" s="62"/>
      <c r="J259" s="42"/>
      <c r="K259" s="42"/>
      <c r="L259" s="63">
        <v>0</v>
      </c>
      <c r="M259" s="64"/>
      <c r="N259" s="62"/>
      <c r="O259" s="49" t="str">
        <f t="shared" si="2"/>
        <v>PLAN</v>
      </c>
      <c r="P259" s="61" t="s">
        <v>33</v>
      </c>
      <c r="Q259" s="62"/>
      <c r="R259" s="46"/>
      <c r="S259" s="2" t="str">
        <f t="shared" si="0"/>
        <v>01</v>
      </c>
      <c r="T259" s="2">
        <v>145</v>
      </c>
      <c r="U259" s="48" t="s">
        <v>91</v>
      </c>
      <c r="V259" s="2"/>
      <c r="W259" s="2" t="str">
        <f t="shared" si="3"/>
        <v>02</v>
      </c>
      <c r="X259" s="2"/>
      <c r="Y259" s="3"/>
      <c r="Z259" s="3"/>
      <c r="AA259" s="3"/>
      <c r="AB259" s="3"/>
      <c r="AC259" s="3"/>
      <c r="AD259" s="3"/>
      <c r="AE259" s="3"/>
      <c r="AF259" s="3"/>
      <c r="AG259" s="3"/>
      <c r="AH259" s="3"/>
      <c r="AI259" s="3"/>
      <c r="AJ259" s="3"/>
      <c r="AK259" s="3"/>
      <c r="AL259" s="3"/>
      <c r="AM259" s="3"/>
      <c r="AN259" s="3"/>
      <c r="AO259" s="3"/>
      <c r="AP259" s="3"/>
      <c r="AQ259" s="3"/>
      <c r="AR259" s="3"/>
      <c r="AS259" s="3"/>
      <c r="AT259" s="3"/>
      <c r="AU259" s="3"/>
    </row>
    <row r="260" spans="1:47" ht="14.25" customHeight="1" x14ac:dyDescent="0.3">
      <c r="A260" s="42"/>
      <c r="B260" s="42"/>
      <c r="C260" s="42"/>
      <c r="D260" s="61" t="s">
        <v>33</v>
      </c>
      <c r="E260" s="62"/>
      <c r="F260" s="61"/>
      <c r="G260" s="62"/>
      <c r="H260" s="61"/>
      <c r="I260" s="62"/>
      <c r="J260" s="42"/>
      <c r="K260" s="42"/>
      <c r="L260" s="63">
        <v>0</v>
      </c>
      <c r="M260" s="64"/>
      <c r="N260" s="62"/>
      <c r="O260" s="49" t="str">
        <f t="shared" si="2"/>
        <v>PLAN</v>
      </c>
      <c r="P260" s="61" t="s">
        <v>33</v>
      </c>
      <c r="Q260" s="62"/>
      <c r="R260" s="46"/>
      <c r="S260" s="2" t="str">
        <f t="shared" si="0"/>
        <v>01</v>
      </c>
      <c r="T260" s="2">
        <v>146</v>
      </c>
      <c r="U260" s="48" t="s">
        <v>91</v>
      </c>
      <c r="V260" s="2"/>
      <c r="W260" s="2" t="str">
        <f t="shared" si="3"/>
        <v>02</v>
      </c>
      <c r="X260" s="2"/>
      <c r="Y260" s="3"/>
      <c r="Z260" s="3"/>
      <c r="AA260" s="3"/>
      <c r="AB260" s="3"/>
      <c r="AC260" s="3"/>
      <c r="AD260" s="3"/>
      <c r="AE260" s="3"/>
      <c r="AF260" s="3"/>
      <c r="AG260" s="3"/>
      <c r="AH260" s="3"/>
      <c r="AI260" s="3"/>
      <c r="AJ260" s="3"/>
      <c r="AK260" s="3"/>
      <c r="AL260" s="3"/>
      <c r="AM260" s="3"/>
      <c r="AN260" s="3"/>
      <c r="AO260" s="3"/>
      <c r="AP260" s="3"/>
      <c r="AQ260" s="3"/>
      <c r="AR260" s="3"/>
      <c r="AS260" s="3"/>
      <c r="AT260" s="3"/>
      <c r="AU260" s="3"/>
    </row>
    <row r="261" spans="1:47" ht="14.25" customHeight="1" x14ac:dyDescent="0.3">
      <c r="A261" s="42"/>
      <c r="B261" s="42"/>
      <c r="C261" s="42"/>
      <c r="D261" s="61" t="s">
        <v>33</v>
      </c>
      <c r="E261" s="62"/>
      <c r="F261" s="61"/>
      <c r="G261" s="62"/>
      <c r="H261" s="61"/>
      <c r="I261" s="62"/>
      <c r="J261" s="42"/>
      <c r="K261" s="42"/>
      <c r="L261" s="63">
        <v>0</v>
      </c>
      <c r="M261" s="64"/>
      <c r="N261" s="62"/>
      <c r="O261" s="49" t="str">
        <f t="shared" si="2"/>
        <v>PLAN</v>
      </c>
      <c r="P261" s="61" t="s">
        <v>33</v>
      </c>
      <c r="Q261" s="62"/>
      <c r="R261" s="46"/>
      <c r="S261" s="2" t="str">
        <f t="shared" si="0"/>
        <v>01</v>
      </c>
      <c r="T261" s="2">
        <v>147</v>
      </c>
      <c r="U261" s="48" t="s">
        <v>91</v>
      </c>
      <c r="V261" s="2"/>
      <c r="W261" s="2" t="str">
        <f t="shared" si="3"/>
        <v>02</v>
      </c>
      <c r="X261" s="2"/>
      <c r="Y261" s="3"/>
      <c r="Z261" s="3"/>
      <c r="AA261" s="3"/>
      <c r="AB261" s="3"/>
      <c r="AC261" s="3"/>
      <c r="AD261" s="3"/>
      <c r="AE261" s="3"/>
      <c r="AF261" s="3"/>
      <c r="AG261" s="3"/>
      <c r="AH261" s="3"/>
      <c r="AI261" s="3"/>
      <c r="AJ261" s="3"/>
      <c r="AK261" s="3"/>
      <c r="AL261" s="3"/>
      <c r="AM261" s="3"/>
      <c r="AN261" s="3"/>
      <c r="AO261" s="3"/>
      <c r="AP261" s="3"/>
      <c r="AQ261" s="3"/>
      <c r="AR261" s="3"/>
      <c r="AS261" s="3"/>
      <c r="AT261" s="3"/>
      <c r="AU261" s="3"/>
    </row>
    <row r="262" spans="1:47" ht="14.25" customHeight="1" x14ac:dyDescent="0.3">
      <c r="A262" s="42"/>
      <c r="B262" s="42"/>
      <c r="C262" s="42"/>
      <c r="D262" s="61" t="s">
        <v>33</v>
      </c>
      <c r="E262" s="62"/>
      <c r="F262" s="61"/>
      <c r="G262" s="62"/>
      <c r="H262" s="61"/>
      <c r="I262" s="62"/>
      <c r="J262" s="42"/>
      <c r="K262" s="42"/>
      <c r="L262" s="63">
        <v>0</v>
      </c>
      <c r="M262" s="64"/>
      <c r="N262" s="62"/>
      <c r="O262" s="49" t="str">
        <f t="shared" si="2"/>
        <v>PLAN</v>
      </c>
      <c r="P262" s="61" t="s">
        <v>33</v>
      </c>
      <c r="Q262" s="62"/>
      <c r="R262" s="46"/>
      <c r="S262" s="2" t="str">
        <f t="shared" si="0"/>
        <v>01</v>
      </c>
      <c r="T262" s="2">
        <v>148</v>
      </c>
      <c r="U262" s="48" t="s">
        <v>91</v>
      </c>
      <c r="V262" s="2"/>
      <c r="W262" s="2" t="str">
        <f t="shared" si="3"/>
        <v>02</v>
      </c>
      <c r="X262" s="2"/>
      <c r="Y262" s="3"/>
      <c r="Z262" s="3"/>
      <c r="AA262" s="3"/>
      <c r="AB262" s="3"/>
      <c r="AC262" s="3"/>
      <c r="AD262" s="3"/>
      <c r="AE262" s="3"/>
      <c r="AF262" s="3"/>
      <c r="AG262" s="3"/>
      <c r="AH262" s="3"/>
      <c r="AI262" s="3"/>
      <c r="AJ262" s="3"/>
      <c r="AK262" s="3"/>
      <c r="AL262" s="3"/>
      <c r="AM262" s="3"/>
      <c r="AN262" s="3"/>
      <c r="AO262" s="3"/>
      <c r="AP262" s="3"/>
      <c r="AQ262" s="3"/>
      <c r="AR262" s="3"/>
      <c r="AS262" s="3"/>
      <c r="AT262" s="3"/>
      <c r="AU262" s="3"/>
    </row>
    <row r="263" spans="1:47" ht="14.25" customHeight="1" x14ac:dyDescent="0.3">
      <c r="A263" s="42"/>
      <c r="B263" s="42"/>
      <c r="C263" s="42"/>
      <c r="D263" s="61" t="s">
        <v>33</v>
      </c>
      <c r="E263" s="62"/>
      <c r="F263" s="61"/>
      <c r="G263" s="62"/>
      <c r="H263" s="61"/>
      <c r="I263" s="62"/>
      <c r="J263" s="42"/>
      <c r="K263" s="42"/>
      <c r="L263" s="63">
        <v>0</v>
      </c>
      <c r="M263" s="64"/>
      <c r="N263" s="62"/>
      <c r="O263" s="49" t="str">
        <f t="shared" si="2"/>
        <v>PLAN</v>
      </c>
      <c r="P263" s="61" t="s">
        <v>33</v>
      </c>
      <c r="Q263" s="62"/>
      <c r="R263" s="46"/>
      <c r="S263" s="2" t="str">
        <f t="shared" si="0"/>
        <v>01</v>
      </c>
      <c r="T263" s="2">
        <v>149</v>
      </c>
      <c r="U263" s="48" t="s">
        <v>91</v>
      </c>
      <c r="V263" s="2"/>
      <c r="W263" s="2" t="str">
        <f t="shared" si="3"/>
        <v>02</v>
      </c>
      <c r="X263" s="2"/>
      <c r="Y263" s="3"/>
      <c r="Z263" s="3"/>
      <c r="AA263" s="3"/>
      <c r="AB263" s="3"/>
      <c r="AC263" s="3"/>
      <c r="AD263" s="3"/>
      <c r="AE263" s="3"/>
      <c r="AF263" s="3"/>
      <c r="AG263" s="3"/>
      <c r="AH263" s="3"/>
      <c r="AI263" s="3"/>
      <c r="AJ263" s="3"/>
      <c r="AK263" s="3"/>
      <c r="AL263" s="3"/>
      <c r="AM263" s="3"/>
      <c r="AN263" s="3"/>
      <c r="AO263" s="3"/>
      <c r="AP263" s="3"/>
      <c r="AQ263" s="3"/>
      <c r="AR263" s="3"/>
      <c r="AS263" s="3"/>
      <c r="AT263" s="3"/>
      <c r="AU263" s="3"/>
    </row>
    <row r="264" spans="1:47" ht="14.25" customHeight="1" x14ac:dyDescent="0.3">
      <c r="A264" s="42"/>
      <c r="B264" s="42"/>
      <c r="C264" s="42"/>
      <c r="D264" s="61" t="s">
        <v>33</v>
      </c>
      <c r="E264" s="62"/>
      <c r="F264" s="61"/>
      <c r="G264" s="62"/>
      <c r="H264" s="61"/>
      <c r="I264" s="62"/>
      <c r="J264" s="42"/>
      <c r="K264" s="42"/>
      <c r="L264" s="63">
        <v>0</v>
      </c>
      <c r="M264" s="64"/>
      <c r="N264" s="62"/>
      <c r="O264" s="49" t="str">
        <f t="shared" si="2"/>
        <v>PLAN</v>
      </c>
      <c r="P264" s="61" t="s">
        <v>33</v>
      </c>
      <c r="Q264" s="62"/>
      <c r="R264" s="46"/>
      <c r="S264" s="2" t="str">
        <f t="shared" si="0"/>
        <v>01</v>
      </c>
      <c r="T264" s="2">
        <v>150</v>
      </c>
      <c r="U264" s="48" t="s">
        <v>91</v>
      </c>
      <c r="V264" s="2"/>
      <c r="W264" s="2" t="str">
        <f t="shared" si="3"/>
        <v>02</v>
      </c>
      <c r="X264" s="2"/>
      <c r="Y264" s="3"/>
      <c r="Z264" s="3"/>
      <c r="AA264" s="3"/>
      <c r="AB264" s="3"/>
      <c r="AC264" s="3"/>
      <c r="AD264" s="3"/>
      <c r="AE264" s="3"/>
      <c r="AF264" s="3"/>
      <c r="AG264" s="3"/>
      <c r="AH264" s="3"/>
      <c r="AI264" s="3"/>
      <c r="AJ264" s="3"/>
      <c r="AK264" s="3"/>
      <c r="AL264" s="3"/>
      <c r="AM264" s="3"/>
      <c r="AN264" s="3"/>
      <c r="AO264" s="3"/>
      <c r="AP264" s="3"/>
      <c r="AQ264" s="3"/>
      <c r="AR264" s="3"/>
      <c r="AS264" s="3"/>
      <c r="AT264" s="3"/>
      <c r="AU264" s="3"/>
    </row>
    <row r="265" spans="1:47" ht="14.25" customHeight="1" x14ac:dyDescent="0.3">
      <c r="A265" s="42"/>
      <c r="B265" s="42"/>
      <c r="C265" s="42"/>
      <c r="D265" s="61" t="s">
        <v>33</v>
      </c>
      <c r="E265" s="62"/>
      <c r="F265" s="61"/>
      <c r="G265" s="62"/>
      <c r="H265" s="61"/>
      <c r="I265" s="62"/>
      <c r="J265" s="42"/>
      <c r="K265" s="42"/>
      <c r="L265" s="63">
        <v>0</v>
      </c>
      <c r="M265" s="64"/>
      <c r="N265" s="62"/>
      <c r="O265" s="49" t="str">
        <f t="shared" si="2"/>
        <v>PLAN</v>
      </c>
      <c r="P265" s="61" t="s">
        <v>33</v>
      </c>
      <c r="Q265" s="62"/>
      <c r="R265" s="46"/>
      <c r="S265" s="2" t="str">
        <f t="shared" si="0"/>
        <v>01</v>
      </c>
      <c r="T265" s="2">
        <v>151</v>
      </c>
      <c r="U265" s="48" t="s">
        <v>91</v>
      </c>
      <c r="V265" s="2"/>
      <c r="W265" s="2" t="str">
        <f t="shared" si="3"/>
        <v>02</v>
      </c>
      <c r="X265" s="2"/>
      <c r="Y265" s="3"/>
      <c r="Z265" s="3"/>
      <c r="AA265" s="3"/>
      <c r="AB265" s="3"/>
      <c r="AC265" s="3"/>
      <c r="AD265" s="3"/>
      <c r="AE265" s="3"/>
      <c r="AF265" s="3"/>
      <c r="AG265" s="3"/>
      <c r="AH265" s="3"/>
      <c r="AI265" s="3"/>
      <c r="AJ265" s="3"/>
      <c r="AK265" s="3"/>
      <c r="AL265" s="3"/>
      <c r="AM265" s="3"/>
      <c r="AN265" s="3"/>
      <c r="AO265" s="3"/>
      <c r="AP265" s="3"/>
      <c r="AQ265" s="3"/>
      <c r="AR265" s="3"/>
      <c r="AS265" s="3"/>
      <c r="AT265" s="3"/>
      <c r="AU265" s="3"/>
    </row>
    <row r="266" spans="1:47" ht="14.25" customHeight="1" x14ac:dyDescent="0.3">
      <c r="A266" s="42"/>
      <c r="B266" s="42"/>
      <c r="C266" s="42"/>
      <c r="D266" s="61" t="s">
        <v>33</v>
      </c>
      <c r="E266" s="62"/>
      <c r="F266" s="61"/>
      <c r="G266" s="62"/>
      <c r="H266" s="61"/>
      <c r="I266" s="62"/>
      <c r="J266" s="42"/>
      <c r="K266" s="42"/>
      <c r="L266" s="63">
        <v>0</v>
      </c>
      <c r="M266" s="64"/>
      <c r="N266" s="62"/>
      <c r="O266" s="49" t="str">
        <f t="shared" si="2"/>
        <v>PLAN</v>
      </c>
      <c r="P266" s="61" t="s">
        <v>33</v>
      </c>
      <c r="Q266" s="62"/>
      <c r="R266" s="46"/>
      <c r="S266" s="2" t="str">
        <f t="shared" si="0"/>
        <v>01</v>
      </c>
      <c r="T266" s="2">
        <v>152</v>
      </c>
      <c r="U266" s="48" t="s">
        <v>91</v>
      </c>
      <c r="V266" s="2"/>
      <c r="W266" s="2" t="str">
        <f t="shared" si="3"/>
        <v>02</v>
      </c>
      <c r="X266" s="2"/>
      <c r="Y266" s="3"/>
      <c r="Z266" s="3"/>
      <c r="AA266" s="3"/>
      <c r="AB266" s="3"/>
      <c r="AC266" s="3"/>
      <c r="AD266" s="3"/>
      <c r="AE266" s="3"/>
      <c r="AF266" s="3"/>
      <c r="AG266" s="3"/>
      <c r="AH266" s="3"/>
      <c r="AI266" s="3"/>
      <c r="AJ266" s="3"/>
      <c r="AK266" s="3"/>
      <c r="AL266" s="3"/>
      <c r="AM266" s="3"/>
      <c r="AN266" s="3"/>
      <c r="AO266" s="3"/>
      <c r="AP266" s="3"/>
      <c r="AQ266" s="3"/>
      <c r="AR266" s="3"/>
      <c r="AS266" s="3"/>
      <c r="AT266" s="3"/>
      <c r="AU266" s="3"/>
    </row>
    <row r="267" spans="1:47" ht="14.25" customHeight="1" x14ac:dyDescent="0.3">
      <c r="A267" s="42"/>
      <c r="B267" s="42"/>
      <c r="C267" s="42"/>
      <c r="D267" s="61" t="s">
        <v>33</v>
      </c>
      <c r="E267" s="62"/>
      <c r="F267" s="61"/>
      <c r="G267" s="62"/>
      <c r="H267" s="61"/>
      <c r="I267" s="62"/>
      <c r="J267" s="42"/>
      <c r="K267" s="42"/>
      <c r="L267" s="63">
        <v>0</v>
      </c>
      <c r="M267" s="64"/>
      <c r="N267" s="62"/>
      <c r="O267" s="49" t="str">
        <f t="shared" si="2"/>
        <v>PLAN</v>
      </c>
      <c r="P267" s="61" t="s">
        <v>33</v>
      </c>
      <c r="Q267" s="62"/>
      <c r="R267" s="46"/>
      <c r="S267" s="2" t="str">
        <f t="shared" si="0"/>
        <v>01</v>
      </c>
      <c r="T267" s="2">
        <v>153</v>
      </c>
      <c r="U267" s="48" t="s">
        <v>91</v>
      </c>
      <c r="V267" s="2"/>
      <c r="W267" s="2" t="str">
        <f t="shared" si="3"/>
        <v>02</v>
      </c>
      <c r="X267" s="2"/>
      <c r="Y267" s="3"/>
      <c r="Z267" s="3"/>
      <c r="AA267" s="3"/>
      <c r="AB267" s="3"/>
      <c r="AC267" s="3"/>
      <c r="AD267" s="3"/>
      <c r="AE267" s="3"/>
      <c r="AF267" s="3"/>
      <c r="AG267" s="3"/>
      <c r="AH267" s="3"/>
      <c r="AI267" s="3"/>
      <c r="AJ267" s="3"/>
      <c r="AK267" s="3"/>
      <c r="AL267" s="3"/>
      <c r="AM267" s="3"/>
      <c r="AN267" s="3"/>
      <c r="AO267" s="3"/>
      <c r="AP267" s="3"/>
      <c r="AQ267" s="3"/>
      <c r="AR267" s="3"/>
      <c r="AS267" s="3"/>
      <c r="AT267" s="3"/>
      <c r="AU267" s="3"/>
    </row>
    <row r="268" spans="1:47" ht="14.25" customHeight="1" x14ac:dyDescent="0.3">
      <c r="A268" s="42"/>
      <c r="B268" s="42"/>
      <c r="C268" s="42"/>
      <c r="D268" s="61" t="s">
        <v>33</v>
      </c>
      <c r="E268" s="62"/>
      <c r="F268" s="61"/>
      <c r="G268" s="62"/>
      <c r="H268" s="61"/>
      <c r="I268" s="62"/>
      <c r="J268" s="42"/>
      <c r="K268" s="42"/>
      <c r="L268" s="63">
        <v>0</v>
      </c>
      <c r="M268" s="64"/>
      <c r="N268" s="62"/>
      <c r="O268" s="49" t="str">
        <f t="shared" si="2"/>
        <v>PLAN</v>
      </c>
      <c r="P268" s="61" t="s">
        <v>33</v>
      </c>
      <c r="Q268" s="62"/>
      <c r="R268" s="46"/>
      <c r="S268" s="2" t="str">
        <f t="shared" si="0"/>
        <v>01</v>
      </c>
      <c r="T268" s="2">
        <v>154</v>
      </c>
      <c r="U268" s="48" t="s">
        <v>91</v>
      </c>
      <c r="V268" s="2"/>
      <c r="W268" s="2" t="str">
        <f t="shared" si="3"/>
        <v>02</v>
      </c>
      <c r="X268" s="2"/>
      <c r="Y268" s="3"/>
      <c r="Z268" s="3"/>
      <c r="AA268" s="3"/>
      <c r="AB268" s="3"/>
      <c r="AC268" s="3"/>
      <c r="AD268" s="3"/>
      <c r="AE268" s="3"/>
      <c r="AF268" s="3"/>
      <c r="AG268" s="3"/>
      <c r="AH268" s="3"/>
      <c r="AI268" s="3"/>
      <c r="AJ268" s="3"/>
      <c r="AK268" s="3"/>
      <c r="AL268" s="3"/>
      <c r="AM268" s="3"/>
      <c r="AN268" s="3"/>
      <c r="AO268" s="3"/>
      <c r="AP268" s="3"/>
      <c r="AQ268" s="3"/>
      <c r="AR268" s="3"/>
      <c r="AS268" s="3"/>
      <c r="AT268" s="3"/>
      <c r="AU268" s="3"/>
    </row>
    <row r="269" spans="1:47" ht="14.25" customHeight="1" x14ac:dyDescent="0.3">
      <c r="A269" s="42"/>
      <c r="B269" s="42"/>
      <c r="C269" s="42"/>
      <c r="D269" s="61" t="s">
        <v>33</v>
      </c>
      <c r="E269" s="62"/>
      <c r="F269" s="61"/>
      <c r="G269" s="62"/>
      <c r="H269" s="61"/>
      <c r="I269" s="62"/>
      <c r="J269" s="42"/>
      <c r="K269" s="42"/>
      <c r="L269" s="63">
        <v>0</v>
      </c>
      <c r="M269" s="64"/>
      <c r="N269" s="62"/>
      <c r="O269" s="49" t="str">
        <f t="shared" si="2"/>
        <v>PLAN</v>
      </c>
      <c r="P269" s="61" t="s">
        <v>33</v>
      </c>
      <c r="Q269" s="62"/>
      <c r="R269" s="46"/>
      <c r="S269" s="2" t="str">
        <f t="shared" si="0"/>
        <v>01</v>
      </c>
      <c r="T269" s="2">
        <v>155</v>
      </c>
      <c r="U269" s="48" t="s">
        <v>91</v>
      </c>
      <c r="V269" s="2"/>
      <c r="W269" s="2" t="str">
        <f t="shared" si="3"/>
        <v>02</v>
      </c>
      <c r="X269" s="2"/>
      <c r="Y269" s="3"/>
      <c r="Z269" s="3"/>
      <c r="AA269" s="3"/>
      <c r="AB269" s="3"/>
      <c r="AC269" s="3"/>
      <c r="AD269" s="3"/>
      <c r="AE269" s="3"/>
      <c r="AF269" s="3"/>
      <c r="AG269" s="3"/>
      <c r="AH269" s="3"/>
      <c r="AI269" s="3"/>
      <c r="AJ269" s="3"/>
      <c r="AK269" s="3"/>
      <c r="AL269" s="3"/>
      <c r="AM269" s="3"/>
      <c r="AN269" s="3"/>
      <c r="AO269" s="3"/>
      <c r="AP269" s="3"/>
      <c r="AQ269" s="3"/>
      <c r="AR269" s="3"/>
      <c r="AS269" s="3"/>
      <c r="AT269" s="3"/>
      <c r="AU269" s="3"/>
    </row>
    <row r="270" spans="1:47" ht="14.25" customHeight="1" x14ac:dyDescent="0.3">
      <c r="A270" s="42"/>
      <c r="B270" s="42"/>
      <c r="C270" s="42"/>
      <c r="D270" s="61" t="s">
        <v>33</v>
      </c>
      <c r="E270" s="62"/>
      <c r="F270" s="61"/>
      <c r="G270" s="62"/>
      <c r="H270" s="61"/>
      <c r="I270" s="62"/>
      <c r="J270" s="42"/>
      <c r="K270" s="42"/>
      <c r="L270" s="63">
        <v>0</v>
      </c>
      <c r="M270" s="64"/>
      <c r="N270" s="62"/>
      <c r="O270" s="49" t="str">
        <f t="shared" si="2"/>
        <v>PLAN</v>
      </c>
      <c r="P270" s="61" t="s">
        <v>33</v>
      </c>
      <c r="Q270" s="62"/>
      <c r="R270" s="46"/>
      <c r="S270" s="2" t="str">
        <f t="shared" si="0"/>
        <v>01</v>
      </c>
      <c r="T270" s="2">
        <v>156</v>
      </c>
      <c r="U270" s="48" t="s">
        <v>91</v>
      </c>
      <c r="V270" s="2"/>
      <c r="W270" s="2" t="str">
        <f t="shared" si="3"/>
        <v>02</v>
      </c>
      <c r="X270" s="2"/>
      <c r="Y270" s="3"/>
      <c r="Z270" s="3"/>
      <c r="AA270" s="3"/>
      <c r="AB270" s="3"/>
      <c r="AC270" s="3"/>
      <c r="AD270" s="3"/>
      <c r="AE270" s="3"/>
      <c r="AF270" s="3"/>
      <c r="AG270" s="3"/>
      <c r="AH270" s="3"/>
      <c r="AI270" s="3"/>
      <c r="AJ270" s="3"/>
      <c r="AK270" s="3"/>
      <c r="AL270" s="3"/>
      <c r="AM270" s="3"/>
      <c r="AN270" s="3"/>
      <c r="AO270" s="3"/>
      <c r="AP270" s="3"/>
      <c r="AQ270" s="3"/>
      <c r="AR270" s="3"/>
      <c r="AS270" s="3"/>
      <c r="AT270" s="3"/>
      <c r="AU270" s="3"/>
    </row>
    <row r="271" spans="1:47" ht="14.25" customHeight="1" x14ac:dyDescent="0.3">
      <c r="A271" s="42"/>
      <c r="B271" s="42"/>
      <c r="C271" s="42"/>
      <c r="D271" s="61" t="s">
        <v>33</v>
      </c>
      <c r="E271" s="62"/>
      <c r="F271" s="61"/>
      <c r="G271" s="62"/>
      <c r="H271" s="61"/>
      <c r="I271" s="62"/>
      <c r="J271" s="42"/>
      <c r="K271" s="42"/>
      <c r="L271" s="63">
        <v>0</v>
      </c>
      <c r="M271" s="64"/>
      <c r="N271" s="62"/>
      <c r="O271" s="49" t="str">
        <f t="shared" si="2"/>
        <v>PLAN</v>
      </c>
      <c r="P271" s="61" t="s">
        <v>33</v>
      </c>
      <c r="Q271" s="62"/>
      <c r="R271" s="46"/>
      <c r="S271" s="2" t="str">
        <f t="shared" si="0"/>
        <v>01</v>
      </c>
      <c r="T271" s="2">
        <v>157</v>
      </c>
      <c r="U271" s="48" t="s">
        <v>91</v>
      </c>
      <c r="V271" s="2"/>
      <c r="W271" s="2" t="str">
        <f t="shared" si="3"/>
        <v>02</v>
      </c>
      <c r="X271" s="2"/>
      <c r="Y271" s="3"/>
      <c r="Z271" s="3"/>
      <c r="AA271" s="3"/>
      <c r="AB271" s="3"/>
      <c r="AC271" s="3"/>
      <c r="AD271" s="3"/>
      <c r="AE271" s="3"/>
      <c r="AF271" s="3"/>
      <c r="AG271" s="3"/>
      <c r="AH271" s="3"/>
      <c r="AI271" s="3"/>
      <c r="AJ271" s="3"/>
      <c r="AK271" s="3"/>
      <c r="AL271" s="3"/>
      <c r="AM271" s="3"/>
      <c r="AN271" s="3"/>
      <c r="AO271" s="3"/>
      <c r="AP271" s="3"/>
      <c r="AQ271" s="3"/>
      <c r="AR271" s="3"/>
      <c r="AS271" s="3"/>
      <c r="AT271" s="3"/>
      <c r="AU271" s="3"/>
    </row>
    <row r="272" spans="1:47" ht="14.25" customHeight="1" x14ac:dyDescent="0.3">
      <c r="A272" s="42"/>
      <c r="B272" s="42"/>
      <c r="C272" s="42"/>
      <c r="D272" s="61" t="s">
        <v>33</v>
      </c>
      <c r="E272" s="62"/>
      <c r="F272" s="61"/>
      <c r="G272" s="62"/>
      <c r="H272" s="61"/>
      <c r="I272" s="62"/>
      <c r="J272" s="42"/>
      <c r="K272" s="42"/>
      <c r="L272" s="63">
        <v>0</v>
      </c>
      <c r="M272" s="64"/>
      <c r="N272" s="62"/>
      <c r="O272" s="49" t="str">
        <f t="shared" si="2"/>
        <v>PLAN</v>
      </c>
      <c r="P272" s="61" t="s">
        <v>33</v>
      </c>
      <c r="Q272" s="62"/>
      <c r="R272" s="46"/>
      <c r="S272" s="2" t="str">
        <f t="shared" si="0"/>
        <v>01</v>
      </c>
      <c r="T272" s="2">
        <v>158</v>
      </c>
      <c r="U272" s="48" t="s">
        <v>91</v>
      </c>
      <c r="V272" s="2"/>
      <c r="W272" s="2" t="str">
        <f t="shared" si="3"/>
        <v>02</v>
      </c>
      <c r="X272" s="2"/>
      <c r="Y272" s="3"/>
      <c r="Z272" s="3"/>
      <c r="AA272" s="3"/>
      <c r="AB272" s="3"/>
      <c r="AC272" s="3"/>
      <c r="AD272" s="3"/>
      <c r="AE272" s="3"/>
      <c r="AF272" s="3"/>
      <c r="AG272" s="3"/>
      <c r="AH272" s="3"/>
      <c r="AI272" s="3"/>
      <c r="AJ272" s="3"/>
      <c r="AK272" s="3"/>
      <c r="AL272" s="3"/>
      <c r="AM272" s="3"/>
      <c r="AN272" s="3"/>
      <c r="AO272" s="3"/>
      <c r="AP272" s="3"/>
      <c r="AQ272" s="3"/>
      <c r="AR272" s="3"/>
      <c r="AS272" s="3"/>
      <c r="AT272" s="3"/>
      <c r="AU272" s="3"/>
    </row>
    <row r="273" spans="1:47" ht="14.25" customHeight="1" x14ac:dyDescent="0.3">
      <c r="A273" s="42"/>
      <c r="B273" s="42"/>
      <c r="C273" s="42"/>
      <c r="D273" s="61" t="s">
        <v>33</v>
      </c>
      <c r="E273" s="62"/>
      <c r="F273" s="61"/>
      <c r="G273" s="62"/>
      <c r="H273" s="61"/>
      <c r="I273" s="62"/>
      <c r="J273" s="42"/>
      <c r="K273" s="42"/>
      <c r="L273" s="63">
        <v>0</v>
      </c>
      <c r="M273" s="64"/>
      <c r="N273" s="62"/>
      <c r="O273" s="49" t="str">
        <f t="shared" si="2"/>
        <v>PLAN</v>
      </c>
      <c r="P273" s="61" t="s">
        <v>33</v>
      </c>
      <c r="Q273" s="62"/>
      <c r="R273" s="46"/>
      <c r="S273" s="2" t="str">
        <f t="shared" si="0"/>
        <v>01</v>
      </c>
      <c r="T273" s="2">
        <v>159</v>
      </c>
      <c r="U273" s="48" t="s">
        <v>91</v>
      </c>
      <c r="V273" s="2"/>
      <c r="W273" s="2" t="str">
        <f t="shared" si="3"/>
        <v>02</v>
      </c>
      <c r="X273" s="2"/>
      <c r="Y273" s="3"/>
      <c r="Z273" s="3"/>
      <c r="AA273" s="3"/>
      <c r="AB273" s="3"/>
      <c r="AC273" s="3"/>
      <c r="AD273" s="3"/>
      <c r="AE273" s="3"/>
      <c r="AF273" s="3"/>
      <c r="AG273" s="3"/>
      <c r="AH273" s="3"/>
      <c r="AI273" s="3"/>
      <c r="AJ273" s="3"/>
      <c r="AK273" s="3"/>
      <c r="AL273" s="3"/>
      <c r="AM273" s="3"/>
      <c r="AN273" s="3"/>
      <c r="AO273" s="3"/>
      <c r="AP273" s="3"/>
      <c r="AQ273" s="3"/>
      <c r="AR273" s="3"/>
      <c r="AS273" s="3"/>
      <c r="AT273" s="3"/>
      <c r="AU273" s="3"/>
    </row>
    <row r="274" spans="1:47" ht="14.25" customHeight="1" x14ac:dyDescent="0.3">
      <c r="A274" s="42"/>
      <c r="B274" s="42"/>
      <c r="C274" s="42"/>
      <c r="D274" s="61" t="s">
        <v>33</v>
      </c>
      <c r="E274" s="62"/>
      <c r="F274" s="61"/>
      <c r="G274" s="62"/>
      <c r="H274" s="61"/>
      <c r="I274" s="62"/>
      <c r="J274" s="42"/>
      <c r="K274" s="42"/>
      <c r="L274" s="63">
        <v>0</v>
      </c>
      <c r="M274" s="64"/>
      <c r="N274" s="62"/>
      <c r="O274" s="49" t="str">
        <f t="shared" si="2"/>
        <v>PLAN</v>
      </c>
      <c r="P274" s="61" t="s">
        <v>33</v>
      </c>
      <c r="Q274" s="62"/>
      <c r="R274" s="46"/>
      <c r="S274" s="2" t="str">
        <f t="shared" si="0"/>
        <v>01</v>
      </c>
      <c r="T274" s="2">
        <v>160</v>
      </c>
      <c r="U274" s="48" t="s">
        <v>91</v>
      </c>
      <c r="V274" s="2"/>
      <c r="W274" s="2" t="str">
        <f t="shared" si="3"/>
        <v>02</v>
      </c>
      <c r="X274" s="2"/>
      <c r="Y274" s="3"/>
      <c r="Z274" s="3"/>
      <c r="AA274" s="3"/>
      <c r="AB274" s="3"/>
      <c r="AC274" s="3"/>
      <c r="AD274" s="3"/>
      <c r="AE274" s="3"/>
      <c r="AF274" s="3"/>
      <c r="AG274" s="3"/>
      <c r="AH274" s="3"/>
      <c r="AI274" s="3"/>
      <c r="AJ274" s="3"/>
      <c r="AK274" s="3"/>
      <c r="AL274" s="3"/>
      <c r="AM274" s="3"/>
      <c r="AN274" s="3"/>
      <c r="AO274" s="3"/>
      <c r="AP274" s="3"/>
      <c r="AQ274" s="3"/>
      <c r="AR274" s="3"/>
      <c r="AS274" s="3"/>
      <c r="AT274" s="3"/>
      <c r="AU274" s="3"/>
    </row>
    <row r="275" spans="1:47" ht="14.25" customHeight="1" x14ac:dyDescent="0.3">
      <c r="A275" s="42"/>
      <c r="B275" s="42"/>
      <c r="C275" s="42"/>
      <c r="D275" s="61" t="s">
        <v>33</v>
      </c>
      <c r="E275" s="62"/>
      <c r="F275" s="61"/>
      <c r="G275" s="62"/>
      <c r="H275" s="61"/>
      <c r="I275" s="62"/>
      <c r="J275" s="42"/>
      <c r="K275" s="42"/>
      <c r="L275" s="63">
        <v>0</v>
      </c>
      <c r="M275" s="64"/>
      <c r="N275" s="62"/>
      <c r="O275" s="49" t="str">
        <f t="shared" si="2"/>
        <v>PLAN</v>
      </c>
      <c r="P275" s="61" t="s">
        <v>33</v>
      </c>
      <c r="Q275" s="62"/>
      <c r="R275" s="46"/>
      <c r="S275" s="2" t="str">
        <f t="shared" si="0"/>
        <v>01</v>
      </c>
      <c r="T275" s="2">
        <v>161</v>
      </c>
      <c r="U275" s="48" t="s">
        <v>91</v>
      </c>
      <c r="V275" s="2"/>
      <c r="W275" s="2" t="str">
        <f t="shared" si="3"/>
        <v>02</v>
      </c>
      <c r="X275" s="2"/>
      <c r="Y275" s="3"/>
      <c r="Z275" s="3"/>
      <c r="AA275" s="3"/>
      <c r="AB275" s="3"/>
      <c r="AC275" s="3"/>
      <c r="AD275" s="3"/>
      <c r="AE275" s="3"/>
      <c r="AF275" s="3"/>
      <c r="AG275" s="3"/>
      <c r="AH275" s="3"/>
      <c r="AI275" s="3"/>
      <c r="AJ275" s="3"/>
      <c r="AK275" s="3"/>
      <c r="AL275" s="3"/>
      <c r="AM275" s="3"/>
      <c r="AN275" s="3"/>
      <c r="AO275" s="3"/>
      <c r="AP275" s="3"/>
      <c r="AQ275" s="3"/>
      <c r="AR275" s="3"/>
      <c r="AS275" s="3"/>
      <c r="AT275" s="3"/>
      <c r="AU275" s="3"/>
    </row>
    <row r="276" spans="1:47" ht="14.25" customHeight="1" x14ac:dyDescent="0.3">
      <c r="A276" s="42"/>
      <c r="B276" s="42"/>
      <c r="C276" s="42"/>
      <c r="D276" s="61" t="s">
        <v>33</v>
      </c>
      <c r="E276" s="62"/>
      <c r="F276" s="61"/>
      <c r="G276" s="62"/>
      <c r="H276" s="61"/>
      <c r="I276" s="62"/>
      <c r="J276" s="42"/>
      <c r="K276" s="42"/>
      <c r="L276" s="63">
        <v>0</v>
      </c>
      <c r="M276" s="64"/>
      <c r="N276" s="62"/>
      <c r="O276" s="49" t="str">
        <f t="shared" si="2"/>
        <v>PLAN</v>
      </c>
      <c r="P276" s="61" t="s">
        <v>33</v>
      </c>
      <c r="Q276" s="62"/>
      <c r="R276" s="46"/>
      <c r="S276" s="2" t="str">
        <f t="shared" si="0"/>
        <v>01</v>
      </c>
      <c r="T276" s="2">
        <v>162</v>
      </c>
      <c r="U276" s="48" t="s">
        <v>91</v>
      </c>
      <c r="V276" s="2"/>
      <c r="W276" s="2" t="str">
        <f t="shared" si="3"/>
        <v>02</v>
      </c>
      <c r="X276" s="2"/>
      <c r="Y276" s="3"/>
      <c r="Z276" s="3"/>
      <c r="AA276" s="3"/>
      <c r="AB276" s="3"/>
      <c r="AC276" s="3"/>
      <c r="AD276" s="3"/>
      <c r="AE276" s="3"/>
      <c r="AF276" s="3"/>
      <c r="AG276" s="3"/>
      <c r="AH276" s="3"/>
      <c r="AI276" s="3"/>
      <c r="AJ276" s="3"/>
      <c r="AK276" s="3"/>
      <c r="AL276" s="3"/>
      <c r="AM276" s="3"/>
      <c r="AN276" s="3"/>
      <c r="AO276" s="3"/>
      <c r="AP276" s="3"/>
      <c r="AQ276" s="3"/>
      <c r="AR276" s="3"/>
      <c r="AS276" s="3"/>
      <c r="AT276" s="3"/>
      <c r="AU276" s="3"/>
    </row>
    <row r="277" spans="1:47" ht="14.25" customHeight="1" x14ac:dyDescent="0.3">
      <c r="A277" s="42"/>
      <c r="B277" s="42"/>
      <c r="C277" s="42"/>
      <c r="D277" s="61" t="s">
        <v>33</v>
      </c>
      <c r="E277" s="62"/>
      <c r="F277" s="61"/>
      <c r="G277" s="62"/>
      <c r="H277" s="61"/>
      <c r="I277" s="62"/>
      <c r="J277" s="42"/>
      <c r="K277" s="42"/>
      <c r="L277" s="63">
        <v>0</v>
      </c>
      <c r="M277" s="64"/>
      <c r="N277" s="62"/>
      <c r="O277" s="49" t="str">
        <f t="shared" si="2"/>
        <v>PLAN</v>
      </c>
      <c r="P277" s="61" t="s">
        <v>33</v>
      </c>
      <c r="Q277" s="62"/>
      <c r="R277" s="46"/>
      <c r="S277" s="2" t="str">
        <f t="shared" si="0"/>
        <v>01</v>
      </c>
      <c r="T277" s="2">
        <v>163</v>
      </c>
      <c r="U277" s="48" t="s">
        <v>91</v>
      </c>
      <c r="V277" s="2"/>
      <c r="W277" s="2" t="str">
        <f t="shared" si="3"/>
        <v>02</v>
      </c>
      <c r="X277" s="2"/>
      <c r="Y277" s="3"/>
      <c r="Z277" s="3"/>
      <c r="AA277" s="3"/>
      <c r="AB277" s="3"/>
      <c r="AC277" s="3"/>
      <c r="AD277" s="3"/>
      <c r="AE277" s="3"/>
      <c r="AF277" s="3"/>
      <c r="AG277" s="3"/>
      <c r="AH277" s="3"/>
      <c r="AI277" s="3"/>
      <c r="AJ277" s="3"/>
      <c r="AK277" s="3"/>
      <c r="AL277" s="3"/>
      <c r="AM277" s="3"/>
      <c r="AN277" s="3"/>
      <c r="AO277" s="3"/>
      <c r="AP277" s="3"/>
      <c r="AQ277" s="3"/>
      <c r="AR277" s="3"/>
      <c r="AS277" s="3"/>
      <c r="AT277" s="3"/>
      <c r="AU277" s="3"/>
    </row>
    <row r="278" spans="1:47" ht="14.25" customHeight="1" x14ac:dyDescent="0.3">
      <c r="A278" s="42"/>
      <c r="B278" s="42"/>
      <c r="C278" s="42"/>
      <c r="D278" s="61" t="s">
        <v>33</v>
      </c>
      <c r="E278" s="62"/>
      <c r="F278" s="61"/>
      <c r="G278" s="62"/>
      <c r="H278" s="61"/>
      <c r="I278" s="62"/>
      <c r="J278" s="42"/>
      <c r="K278" s="42"/>
      <c r="L278" s="63">
        <v>0</v>
      </c>
      <c r="M278" s="64"/>
      <c r="N278" s="62"/>
      <c r="O278" s="49" t="str">
        <f t="shared" si="2"/>
        <v>PLAN</v>
      </c>
      <c r="P278" s="61" t="s">
        <v>33</v>
      </c>
      <c r="Q278" s="62"/>
      <c r="R278" s="46"/>
      <c r="S278" s="2" t="str">
        <f t="shared" si="0"/>
        <v>01</v>
      </c>
      <c r="T278" s="2">
        <v>164</v>
      </c>
      <c r="U278" s="48" t="s">
        <v>91</v>
      </c>
      <c r="V278" s="2"/>
      <c r="W278" s="2" t="str">
        <f t="shared" si="3"/>
        <v>02</v>
      </c>
      <c r="X278" s="2"/>
      <c r="Y278" s="3"/>
      <c r="Z278" s="3"/>
      <c r="AA278" s="3"/>
      <c r="AB278" s="3"/>
      <c r="AC278" s="3"/>
      <c r="AD278" s="3"/>
      <c r="AE278" s="3"/>
      <c r="AF278" s="3"/>
      <c r="AG278" s="3"/>
      <c r="AH278" s="3"/>
      <c r="AI278" s="3"/>
      <c r="AJ278" s="3"/>
      <c r="AK278" s="3"/>
      <c r="AL278" s="3"/>
      <c r="AM278" s="3"/>
      <c r="AN278" s="3"/>
      <c r="AO278" s="3"/>
      <c r="AP278" s="3"/>
      <c r="AQ278" s="3"/>
      <c r="AR278" s="3"/>
      <c r="AS278" s="3"/>
      <c r="AT278" s="3"/>
      <c r="AU278" s="3"/>
    </row>
    <row r="279" spans="1:47" ht="14.25" customHeight="1" x14ac:dyDescent="0.3">
      <c r="A279" s="42"/>
      <c r="B279" s="42"/>
      <c r="C279" s="42"/>
      <c r="D279" s="61" t="s">
        <v>33</v>
      </c>
      <c r="E279" s="62"/>
      <c r="F279" s="61"/>
      <c r="G279" s="62"/>
      <c r="H279" s="61"/>
      <c r="I279" s="62"/>
      <c r="J279" s="42"/>
      <c r="K279" s="42"/>
      <c r="L279" s="63">
        <v>0</v>
      </c>
      <c r="M279" s="64"/>
      <c r="N279" s="62"/>
      <c r="O279" s="49" t="str">
        <f t="shared" si="2"/>
        <v>PLAN</v>
      </c>
      <c r="P279" s="61" t="s">
        <v>33</v>
      </c>
      <c r="Q279" s="62"/>
      <c r="R279" s="46"/>
      <c r="S279" s="2" t="str">
        <f t="shared" si="0"/>
        <v>01</v>
      </c>
      <c r="T279" s="2">
        <v>165</v>
      </c>
      <c r="U279" s="48" t="s">
        <v>91</v>
      </c>
      <c r="V279" s="2"/>
      <c r="W279" s="2" t="str">
        <f t="shared" si="3"/>
        <v>02</v>
      </c>
      <c r="X279" s="2"/>
      <c r="Y279" s="3"/>
      <c r="Z279" s="3"/>
      <c r="AA279" s="3"/>
      <c r="AB279" s="3"/>
      <c r="AC279" s="3"/>
      <c r="AD279" s="3"/>
      <c r="AE279" s="3"/>
      <c r="AF279" s="3"/>
      <c r="AG279" s="3"/>
      <c r="AH279" s="3"/>
      <c r="AI279" s="3"/>
      <c r="AJ279" s="3"/>
      <c r="AK279" s="3"/>
      <c r="AL279" s="3"/>
      <c r="AM279" s="3"/>
      <c r="AN279" s="3"/>
      <c r="AO279" s="3"/>
      <c r="AP279" s="3"/>
      <c r="AQ279" s="3"/>
      <c r="AR279" s="3"/>
      <c r="AS279" s="3"/>
      <c r="AT279" s="3"/>
      <c r="AU279" s="3"/>
    </row>
    <row r="280" spans="1:47" ht="14.25" customHeight="1" x14ac:dyDescent="0.3">
      <c r="A280" s="42"/>
      <c r="B280" s="42"/>
      <c r="C280" s="42"/>
      <c r="D280" s="61" t="s">
        <v>33</v>
      </c>
      <c r="E280" s="62"/>
      <c r="F280" s="61"/>
      <c r="G280" s="62"/>
      <c r="H280" s="61"/>
      <c r="I280" s="62"/>
      <c r="J280" s="42"/>
      <c r="K280" s="42"/>
      <c r="L280" s="63">
        <v>0</v>
      </c>
      <c r="M280" s="64"/>
      <c r="N280" s="62"/>
      <c r="O280" s="49" t="str">
        <f t="shared" si="2"/>
        <v>PLAN</v>
      </c>
      <c r="P280" s="61" t="s">
        <v>33</v>
      </c>
      <c r="Q280" s="62"/>
      <c r="R280" s="46"/>
      <c r="S280" s="2" t="str">
        <f t="shared" si="0"/>
        <v>01</v>
      </c>
      <c r="T280" s="2">
        <v>166</v>
      </c>
      <c r="U280" s="48" t="s">
        <v>91</v>
      </c>
      <c r="V280" s="2"/>
      <c r="W280" s="2" t="str">
        <f t="shared" si="3"/>
        <v>02</v>
      </c>
      <c r="X280" s="2"/>
      <c r="Y280" s="3"/>
      <c r="Z280" s="3"/>
      <c r="AA280" s="3"/>
      <c r="AB280" s="3"/>
      <c r="AC280" s="3"/>
      <c r="AD280" s="3"/>
      <c r="AE280" s="3"/>
      <c r="AF280" s="3"/>
      <c r="AG280" s="3"/>
      <c r="AH280" s="3"/>
      <c r="AI280" s="3"/>
      <c r="AJ280" s="3"/>
      <c r="AK280" s="3"/>
      <c r="AL280" s="3"/>
      <c r="AM280" s="3"/>
      <c r="AN280" s="3"/>
      <c r="AO280" s="3"/>
      <c r="AP280" s="3"/>
      <c r="AQ280" s="3"/>
      <c r="AR280" s="3"/>
      <c r="AS280" s="3"/>
      <c r="AT280" s="3"/>
      <c r="AU280" s="3"/>
    </row>
    <row r="281" spans="1:47" ht="14.25" customHeight="1" x14ac:dyDescent="0.3">
      <c r="A281" s="42"/>
      <c r="B281" s="42"/>
      <c r="C281" s="42"/>
      <c r="D281" s="61" t="s">
        <v>33</v>
      </c>
      <c r="E281" s="62"/>
      <c r="F281" s="61"/>
      <c r="G281" s="62"/>
      <c r="H281" s="61"/>
      <c r="I281" s="62"/>
      <c r="J281" s="42"/>
      <c r="K281" s="42"/>
      <c r="L281" s="63">
        <v>0</v>
      </c>
      <c r="M281" s="64"/>
      <c r="N281" s="62"/>
      <c r="O281" s="49" t="str">
        <f t="shared" si="2"/>
        <v>PLAN</v>
      </c>
      <c r="P281" s="61" t="s">
        <v>33</v>
      </c>
      <c r="Q281" s="62"/>
      <c r="R281" s="46"/>
      <c r="S281" s="2" t="str">
        <f t="shared" si="0"/>
        <v>01</v>
      </c>
      <c r="T281" s="2">
        <v>167</v>
      </c>
      <c r="U281" s="48" t="s">
        <v>91</v>
      </c>
      <c r="V281" s="2"/>
      <c r="W281" s="2" t="str">
        <f t="shared" si="3"/>
        <v>02</v>
      </c>
      <c r="X281" s="2"/>
      <c r="Y281" s="3"/>
      <c r="Z281" s="3"/>
      <c r="AA281" s="3"/>
      <c r="AB281" s="3"/>
      <c r="AC281" s="3"/>
      <c r="AD281" s="3"/>
      <c r="AE281" s="3"/>
      <c r="AF281" s="3"/>
      <c r="AG281" s="3"/>
      <c r="AH281" s="3"/>
      <c r="AI281" s="3"/>
      <c r="AJ281" s="3"/>
      <c r="AK281" s="3"/>
      <c r="AL281" s="3"/>
      <c r="AM281" s="3"/>
      <c r="AN281" s="3"/>
      <c r="AO281" s="3"/>
      <c r="AP281" s="3"/>
      <c r="AQ281" s="3"/>
      <c r="AR281" s="3"/>
      <c r="AS281" s="3"/>
      <c r="AT281" s="3"/>
      <c r="AU281" s="3"/>
    </row>
    <row r="282" spans="1:47" ht="14.25" customHeight="1" x14ac:dyDescent="0.3">
      <c r="A282" s="42"/>
      <c r="B282" s="42"/>
      <c r="C282" s="42"/>
      <c r="D282" s="61" t="s">
        <v>33</v>
      </c>
      <c r="E282" s="62"/>
      <c r="F282" s="61"/>
      <c r="G282" s="62"/>
      <c r="H282" s="61"/>
      <c r="I282" s="62"/>
      <c r="J282" s="42"/>
      <c r="K282" s="42"/>
      <c r="L282" s="63">
        <v>0</v>
      </c>
      <c r="M282" s="64"/>
      <c r="N282" s="62"/>
      <c r="O282" s="49" t="str">
        <f t="shared" si="2"/>
        <v>PLAN</v>
      </c>
      <c r="P282" s="61" t="s">
        <v>33</v>
      </c>
      <c r="Q282" s="62"/>
      <c r="R282" s="46"/>
      <c r="S282" s="2" t="str">
        <f t="shared" si="0"/>
        <v>01</v>
      </c>
      <c r="T282" s="2">
        <v>168</v>
      </c>
      <c r="U282" s="48" t="s">
        <v>91</v>
      </c>
      <c r="V282" s="2"/>
      <c r="W282" s="2" t="str">
        <f t="shared" si="3"/>
        <v>02</v>
      </c>
      <c r="X282" s="2"/>
      <c r="Y282" s="3"/>
      <c r="Z282" s="3"/>
      <c r="AA282" s="3"/>
      <c r="AB282" s="3"/>
      <c r="AC282" s="3"/>
      <c r="AD282" s="3"/>
      <c r="AE282" s="3"/>
      <c r="AF282" s="3"/>
      <c r="AG282" s="3"/>
      <c r="AH282" s="3"/>
      <c r="AI282" s="3"/>
      <c r="AJ282" s="3"/>
      <c r="AK282" s="3"/>
      <c r="AL282" s="3"/>
      <c r="AM282" s="3"/>
      <c r="AN282" s="3"/>
      <c r="AO282" s="3"/>
      <c r="AP282" s="3"/>
      <c r="AQ282" s="3"/>
      <c r="AR282" s="3"/>
      <c r="AS282" s="3"/>
      <c r="AT282" s="3"/>
      <c r="AU282" s="3"/>
    </row>
    <row r="283" spans="1:47" ht="14.25" customHeight="1" x14ac:dyDescent="0.3">
      <c r="A283" s="42"/>
      <c r="B283" s="42"/>
      <c r="C283" s="42"/>
      <c r="D283" s="61" t="s">
        <v>33</v>
      </c>
      <c r="E283" s="62"/>
      <c r="F283" s="61"/>
      <c r="G283" s="62"/>
      <c r="H283" s="61"/>
      <c r="I283" s="62"/>
      <c r="J283" s="42"/>
      <c r="K283" s="42"/>
      <c r="L283" s="63">
        <v>0</v>
      </c>
      <c r="M283" s="64"/>
      <c r="N283" s="62"/>
      <c r="O283" s="49" t="str">
        <f t="shared" si="2"/>
        <v>PLAN</v>
      </c>
      <c r="P283" s="61" t="s">
        <v>33</v>
      </c>
      <c r="Q283" s="62"/>
      <c r="R283" s="46"/>
      <c r="S283" s="2" t="str">
        <f t="shared" si="0"/>
        <v>01</v>
      </c>
      <c r="T283" s="2">
        <v>169</v>
      </c>
      <c r="U283" s="48" t="s">
        <v>91</v>
      </c>
      <c r="V283" s="2"/>
      <c r="W283" s="2" t="str">
        <f t="shared" si="3"/>
        <v>02</v>
      </c>
      <c r="X283" s="2"/>
      <c r="Y283" s="3"/>
      <c r="Z283" s="3"/>
      <c r="AA283" s="3"/>
      <c r="AB283" s="3"/>
      <c r="AC283" s="3"/>
      <c r="AD283" s="3"/>
      <c r="AE283" s="3"/>
      <c r="AF283" s="3"/>
      <c r="AG283" s="3"/>
      <c r="AH283" s="3"/>
      <c r="AI283" s="3"/>
      <c r="AJ283" s="3"/>
      <c r="AK283" s="3"/>
      <c r="AL283" s="3"/>
      <c r="AM283" s="3"/>
      <c r="AN283" s="3"/>
      <c r="AO283" s="3"/>
      <c r="AP283" s="3"/>
      <c r="AQ283" s="3"/>
      <c r="AR283" s="3"/>
      <c r="AS283" s="3"/>
      <c r="AT283" s="3"/>
      <c r="AU283" s="3"/>
    </row>
    <row r="284" spans="1:47" ht="14.25" customHeight="1" x14ac:dyDescent="0.3">
      <c r="A284" s="42"/>
      <c r="B284" s="42"/>
      <c r="C284" s="42"/>
      <c r="D284" s="61" t="s">
        <v>33</v>
      </c>
      <c r="E284" s="62"/>
      <c r="F284" s="61"/>
      <c r="G284" s="62"/>
      <c r="H284" s="61"/>
      <c r="I284" s="62"/>
      <c r="J284" s="42"/>
      <c r="K284" s="42"/>
      <c r="L284" s="63">
        <v>0</v>
      </c>
      <c r="M284" s="64"/>
      <c r="N284" s="62"/>
      <c r="O284" s="49" t="str">
        <f t="shared" si="2"/>
        <v>PLAN</v>
      </c>
      <c r="P284" s="61" t="s">
        <v>33</v>
      </c>
      <c r="Q284" s="62"/>
      <c r="R284" s="46"/>
      <c r="S284" s="2" t="str">
        <f t="shared" si="0"/>
        <v>01</v>
      </c>
      <c r="T284" s="2">
        <v>170</v>
      </c>
      <c r="U284" s="48" t="s">
        <v>91</v>
      </c>
      <c r="V284" s="2"/>
      <c r="W284" s="2" t="str">
        <f t="shared" si="3"/>
        <v>02</v>
      </c>
      <c r="X284" s="2"/>
      <c r="Y284" s="3"/>
      <c r="Z284" s="3"/>
      <c r="AA284" s="3"/>
      <c r="AB284" s="3"/>
      <c r="AC284" s="3"/>
      <c r="AD284" s="3"/>
      <c r="AE284" s="3"/>
      <c r="AF284" s="3"/>
      <c r="AG284" s="3"/>
      <c r="AH284" s="3"/>
      <c r="AI284" s="3"/>
      <c r="AJ284" s="3"/>
      <c r="AK284" s="3"/>
      <c r="AL284" s="3"/>
      <c r="AM284" s="3"/>
      <c r="AN284" s="3"/>
      <c r="AO284" s="3"/>
      <c r="AP284" s="3"/>
      <c r="AQ284" s="3"/>
      <c r="AR284" s="3"/>
      <c r="AS284" s="3"/>
      <c r="AT284" s="3"/>
      <c r="AU284" s="3"/>
    </row>
    <row r="285" spans="1:47" ht="14.25" customHeight="1" x14ac:dyDescent="0.3">
      <c r="A285" s="42"/>
      <c r="B285" s="42"/>
      <c r="C285" s="42"/>
      <c r="D285" s="61" t="s">
        <v>33</v>
      </c>
      <c r="E285" s="62"/>
      <c r="F285" s="61"/>
      <c r="G285" s="62"/>
      <c r="H285" s="61"/>
      <c r="I285" s="62"/>
      <c r="J285" s="42"/>
      <c r="K285" s="42"/>
      <c r="L285" s="63">
        <v>0</v>
      </c>
      <c r="M285" s="64"/>
      <c r="N285" s="62"/>
      <c r="O285" s="49" t="str">
        <f t="shared" si="2"/>
        <v>PLAN</v>
      </c>
      <c r="P285" s="61" t="s">
        <v>33</v>
      </c>
      <c r="Q285" s="62"/>
      <c r="R285" s="46"/>
      <c r="S285" s="2" t="str">
        <f t="shared" si="0"/>
        <v>01</v>
      </c>
      <c r="T285" s="2">
        <v>171</v>
      </c>
      <c r="U285" s="48" t="s">
        <v>91</v>
      </c>
      <c r="V285" s="2"/>
      <c r="W285" s="2" t="str">
        <f t="shared" si="3"/>
        <v>02</v>
      </c>
      <c r="X285" s="2"/>
      <c r="Y285" s="3"/>
      <c r="Z285" s="3"/>
      <c r="AA285" s="3"/>
      <c r="AB285" s="3"/>
      <c r="AC285" s="3"/>
      <c r="AD285" s="3"/>
      <c r="AE285" s="3"/>
      <c r="AF285" s="3"/>
      <c r="AG285" s="3"/>
      <c r="AH285" s="3"/>
      <c r="AI285" s="3"/>
      <c r="AJ285" s="3"/>
      <c r="AK285" s="3"/>
      <c r="AL285" s="3"/>
      <c r="AM285" s="3"/>
      <c r="AN285" s="3"/>
      <c r="AO285" s="3"/>
      <c r="AP285" s="3"/>
      <c r="AQ285" s="3"/>
      <c r="AR285" s="3"/>
      <c r="AS285" s="3"/>
      <c r="AT285" s="3"/>
      <c r="AU285" s="3"/>
    </row>
    <row r="286" spans="1:47" ht="14.25" customHeight="1" x14ac:dyDescent="0.3">
      <c r="A286" s="42"/>
      <c r="B286" s="42"/>
      <c r="C286" s="42"/>
      <c r="D286" s="61" t="s">
        <v>33</v>
      </c>
      <c r="E286" s="62"/>
      <c r="F286" s="61"/>
      <c r="G286" s="62"/>
      <c r="H286" s="61"/>
      <c r="I286" s="62"/>
      <c r="J286" s="42"/>
      <c r="K286" s="42"/>
      <c r="L286" s="63">
        <v>0</v>
      </c>
      <c r="M286" s="64"/>
      <c r="N286" s="62"/>
      <c r="O286" s="49" t="str">
        <f t="shared" si="2"/>
        <v>PLAN</v>
      </c>
      <c r="P286" s="61" t="s">
        <v>33</v>
      </c>
      <c r="Q286" s="62"/>
      <c r="R286" s="46"/>
      <c r="S286" s="2" t="str">
        <f t="shared" si="0"/>
        <v>01</v>
      </c>
      <c r="T286" s="2">
        <v>172</v>
      </c>
      <c r="U286" s="48" t="s">
        <v>91</v>
      </c>
      <c r="V286" s="2"/>
      <c r="W286" s="2" t="str">
        <f t="shared" si="3"/>
        <v>02</v>
      </c>
      <c r="X286" s="2"/>
      <c r="Y286" s="3"/>
      <c r="Z286" s="3"/>
      <c r="AA286" s="3"/>
      <c r="AB286" s="3"/>
      <c r="AC286" s="3"/>
      <c r="AD286" s="3"/>
      <c r="AE286" s="3"/>
      <c r="AF286" s="3"/>
      <c r="AG286" s="3"/>
      <c r="AH286" s="3"/>
      <c r="AI286" s="3"/>
      <c r="AJ286" s="3"/>
      <c r="AK286" s="3"/>
      <c r="AL286" s="3"/>
      <c r="AM286" s="3"/>
      <c r="AN286" s="3"/>
      <c r="AO286" s="3"/>
      <c r="AP286" s="3"/>
      <c r="AQ286" s="3"/>
      <c r="AR286" s="3"/>
      <c r="AS286" s="3"/>
      <c r="AT286" s="3"/>
      <c r="AU286" s="3"/>
    </row>
    <row r="287" spans="1:47" ht="14.25" customHeight="1" x14ac:dyDescent="0.3">
      <c r="A287" s="42"/>
      <c r="B287" s="42"/>
      <c r="C287" s="42"/>
      <c r="D287" s="61" t="s">
        <v>33</v>
      </c>
      <c r="E287" s="62"/>
      <c r="F287" s="61"/>
      <c r="G287" s="62"/>
      <c r="H287" s="61"/>
      <c r="I287" s="62"/>
      <c r="J287" s="42"/>
      <c r="K287" s="42"/>
      <c r="L287" s="63">
        <v>0</v>
      </c>
      <c r="M287" s="64"/>
      <c r="N287" s="62"/>
      <c r="O287" s="49" t="str">
        <f t="shared" si="2"/>
        <v>PLAN</v>
      </c>
      <c r="P287" s="61" t="s">
        <v>33</v>
      </c>
      <c r="Q287" s="62"/>
      <c r="R287" s="46"/>
      <c r="S287" s="2" t="str">
        <f t="shared" si="0"/>
        <v>01</v>
      </c>
      <c r="T287" s="2">
        <v>173</v>
      </c>
      <c r="U287" s="48" t="s">
        <v>91</v>
      </c>
      <c r="V287" s="2"/>
      <c r="W287" s="2" t="str">
        <f t="shared" si="3"/>
        <v>02</v>
      </c>
      <c r="X287" s="2"/>
      <c r="Y287" s="3"/>
      <c r="Z287" s="3"/>
      <c r="AA287" s="3"/>
      <c r="AB287" s="3"/>
      <c r="AC287" s="3"/>
      <c r="AD287" s="3"/>
      <c r="AE287" s="3"/>
      <c r="AF287" s="3"/>
      <c r="AG287" s="3"/>
      <c r="AH287" s="3"/>
      <c r="AI287" s="3"/>
      <c r="AJ287" s="3"/>
      <c r="AK287" s="3"/>
      <c r="AL287" s="3"/>
      <c r="AM287" s="3"/>
      <c r="AN287" s="3"/>
      <c r="AO287" s="3"/>
      <c r="AP287" s="3"/>
      <c r="AQ287" s="3"/>
      <c r="AR287" s="3"/>
      <c r="AS287" s="3"/>
      <c r="AT287" s="3"/>
      <c r="AU287" s="3"/>
    </row>
    <row r="288" spans="1:47" ht="14.25" customHeight="1" x14ac:dyDescent="0.3">
      <c r="A288" s="42"/>
      <c r="B288" s="42"/>
      <c r="C288" s="42"/>
      <c r="D288" s="61" t="s">
        <v>33</v>
      </c>
      <c r="E288" s="62"/>
      <c r="F288" s="61"/>
      <c r="G288" s="62"/>
      <c r="H288" s="61"/>
      <c r="I288" s="62"/>
      <c r="J288" s="42"/>
      <c r="K288" s="42"/>
      <c r="L288" s="63">
        <v>0</v>
      </c>
      <c r="M288" s="64"/>
      <c r="N288" s="62"/>
      <c r="O288" s="49" t="str">
        <f t="shared" si="2"/>
        <v>PLAN</v>
      </c>
      <c r="P288" s="61" t="s">
        <v>33</v>
      </c>
      <c r="Q288" s="62"/>
      <c r="R288" s="46"/>
      <c r="S288" s="2" t="str">
        <f t="shared" si="0"/>
        <v>01</v>
      </c>
      <c r="T288" s="2">
        <v>174</v>
      </c>
      <c r="U288" s="48" t="s">
        <v>91</v>
      </c>
      <c r="V288" s="2"/>
      <c r="W288" s="2" t="str">
        <f t="shared" si="3"/>
        <v>02</v>
      </c>
      <c r="X288" s="2"/>
      <c r="Y288" s="3"/>
      <c r="Z288" s="3"/>
      <c r="AA288" s="3"/>
      <c r="AB288" s="3"/>
      <c r="AC288" s="3"/>
      <c r="AD288" s="3"/>
      <c r="AE288" s="3"/>
      <c r="AF288" s="3"/>
      <c r="AG288" s="3"/>
      <c r="AH288" s="3"/>
      <c r="AI288" s="3"/>
      <c r="AJ288" s="3"/>
      <c r="AK288" s="3"/>
      <c r="AL288" s="3"/>
      <c r="AM288" s="3"/>
      <c r="AN288" s="3"/>
      <c r="AO288" s="3"/>
      <c r="AP288" s="3"/>
      <c r="AQ288" s="3"/>
      <c r="AR288" s="3"/>
      <c r="AS288" s="3"/>
      <c r="AT288" s="3"/>
      <c r="AU288" s="3"/>
    </row>
    <row r="289" spans="1:47" ht="14.25" customHeight="1" x14ac:dyDescent="0.3">
      <c r="A289" s="42"/>
      <c r="B289" s="42"/>
      <c r="C289" s="42"/>
      <c r="D289" s="61" t="s">
        <v>33</v>
      </c>
      <c r="E289" s="62"/>
      <c r="F289" s="61"/>
      <c r="G289" s="62"/>
      <c r="H289" s="61"/>
      <c r="I289" s="62"/>
      <c r="J289" s="42"/>
      <c r="K289" s="42"/>
      <c r="L289" s="63">
        <v>0</v>
      </c>
      <c r="M289" s="64"/>
      <c r="N289" s="62"/>
      <c r="O289" s="49" t="str">
        <f t="shared" si="2"/>
        <v>PLAN</v>
      </c>
      <c r="P289" s="61" t="s">
        <v>33</v>
      </c>
      <c r="Q289" s="62"/>
      <c r="R289" s="46"/>
      <c r="S289" s="2" t="str">
        <f t="shared" si="0"/>
        <v>01</v>
      </c>
      <c r="T289" s="2">
        <v>175</v>
      </c>
      <c r="U289" s="48" t="s">
        <v>91</v>
      </c>
      <c r="V289" s="2"/>
      <c r="W289" s="2" t="str">
        <f t="shared" si="3"/>
        <v>02</v>
      </c>
      <c r="X289" s="2"/>
      <c r="Y289" s="3"/>
      <c r="Z289" s="3"/>
      <c r="AA289" s="3"/>
      <c r="AB289" s="3"/>
      <c r="AC289" s="3"/>
      <c r="AD289" s="3"/>
      <c r="AE289" s="3"/>
      <c r="AF289" s="3"/>
      <c r="AG289" s="3"/>
      <c r="AH289" s="3"/>
      <c r="AI289" s="3"/>
      <c r="AJ289" s="3"/>
      <c r="AK289" s="3"/>
      <c r="AL289" s="3"/>
      <c r="AM289" s="3"/>
      <c r="AN289" s="3"/>
      <c r="AO289" s="3"/>
      <c r="AP289" s="3"/>
      <c r="AQ289" s="3"/>
      <c r="AR289" s="3"/>
      <c r="AS289" s="3"/>
      <c r="AT289" s="3"/>
      <c r="AU289" s="3"/>
    </row>
    <row r="290" spans="1:47" ht="14.25" customHeight="1" x14ac:dyDescent="0.3">
      <c r="A290" s="42"/>
      <c r="B290" s="42"/>
      <c r="C290" s="42"/>
      <c r="D290" s="61" t="s">
        <v>33</v>
      </c>
      <c r="E290" s="62"/>
      <c r="F290" s="61"/>
      <c r="G290" s="62"/>
      <c r="H290" s="61"/>
      <c r="I290" s="62"/>
      <c r="J290" s="42"/>
      <c r="K290" s="42"/>
      <c r="L290" s="63">
        <v>0</v>
      </c>
      <c r="M290" s="64"/>
      <c r="N290" s="62"/>
      <c r="O290" s="49" t="str">
        <f t="shared" si="2"/>
        <v>PLAN</v>
      </c>
      <c r="P290" s="61" t="s">
        <v>33</v>
      </c>
      <c r="Q290" s="62"/>
      <c r="R290" s="46"/>
      <c r="S290" s="2" t="str">
        <f t="shared" si="0"/>
        <v>01</v>
      </c>
      <c r="T290" s="2">
        <v>176</v>
      </c>
      <c r="U290" s="48" t="s">
        <v>91</v>
      </c>
      <c r="V290" s="2"/>
      <c r="W290" s="2" t="str">
        <f t="shared" si="3"/>
        <v>02</v>
      </c>
      <c r="X290" s="2"/>
      <c r="Y290" s="3"/>
      <c r="Z290" s="3"/>
      <c r="AA290" s="3"/>
      <c r="AB290" s="3"/>
      <c r="AC290" s="3"/>
      <c r="AD290" s="3"/>
      <c r="AE290" s="3"/>
      <c r="AF290" s="3"/>
      <c r="AG290" s="3"/>
      <c r="AH290" s="3"/>
      <c r="AI290" s="3"/>
      <c r="AJ290" s="3"/>
      <c r="AK290" s="3"/>
      <c r="AL290" s="3"/>
      <c r="AM290" s="3"/>
      <c r="AN290" s="3"/>
      <c r="AO290" s="3"/>
      <c r="AP290" s="3"/>
      <c r="AQ290" s="3"/>
      <c r="AR290" s="3"/>
      <c r="AS290" s="3"/>
      <c r="AT290" s="3"/>
      <c r="AU290" s="3"/>
    </row>
    <row r="291" spans="1:47" ht="14.25" customHeight="1" x14ac:dyDescent="0.3">
      <c r="A291" s="42"/>
      <c r="B291" s="42"/>
      <c r="C291" s="42"/>
      <c r="D291" s="61" t="s">
        <v>33</v>
      </c>
      <c r="E291" s="62"/>
      <c r="F291" s="61"/>
      <c r="G291" s="62"/>
      <c r="H291" s="61"/>
      <c r="I291" s="62"/>
      <c r="J291" s="42"/>
      <c r="K291" s="42"/>
      <c r="L291" s="63">
        <v>0</v>
      </c>
      <c r="M291" s="64"/>
      <c r="N291" s="62"/>
      <c r="O291" s="49" t="str">
        <f t="shared" si="2"/>
        <v>PLAN</v>
      </c>
      <c r="P291" s="61" t="s">
        <v>33</v>
      </c>
      <c r="Q291" s="62"/>
      <c r="R291" s="46"/>
      <c r="S291" s="2" t="str">
        <f t="shared" si="0"/>
        <v>01</v>
      </c>
      <c r="T291" s="2">
        <v>177</v>
      </c>
      <c r="U291" s="48" t="s">
        <v>91</v>
      </c>
      <c r="V291" s="2"/>
      <c r="W291" s="2" t="str">
        <f t="shared" si="3"/>
        <v>02</v>
      </c>
      <c r="X291" s="2"/>
      <c r="Y291" s="3"/>
      <c r="Z291" s="3"/>
      <c r="AA291" s="3"/>
      <c r="AB291" s="3"/>
      <c r="AC291" s="3"/>
      <c r="AD291" s="3"/>
      <c r="AE291" s="3"/>
      <c r="AF291" s="3"/>
      <c r="AG291" s="3"/>
      <c r="AH291" s="3"/>
      <c r="AI291" s="3"/>
      <c r="AJ291" s="3"/>
      <c r="AK291" s="3"/>
      <c r="AL291" s="3"/>
      <c r="AM291" s="3"/>
      <c r="AN291" s="3"/>
      <c r="AO291" s="3"/>
      <c r="AP291" s="3"/>
      <c r="AQ291" s="3"/>
      <c r="AR291" s="3"/>
      <c r="AS291" s="3"/>
      <c r="AT291" s="3"/>
      <c r="AU291" s="3"/>
    </row>
    <row r="292" spans="1:47" ht="14.25" customHeight="1" x14ac:dyDescent="0.3">
      <c r="A292" s="42"/>
      <c r="B292" s="42"/>
      <c r="C292" s="42"/>
      <c r="D292" s="61" t="s">
        <v>33</v>
      </c>
      <c r="E292" s="62"/>
      <c r="F292" s="61"/>
      <c r="G292" s="62"/>
      <c r="H292" s="61"/>
      <c r="I292" s="62"/>
      <c r="J292" s="42"/>
      <c r="K292" s="42"/>
      <c r="L292" s="63">
        <v>0</v>
      </c>
      <c r="M292" s="64"/>
      <c r="N292" s="62"/>
      <c r="O292" s="49" t="str">
        <f t="shared" si="2"/>
        <v>PLAN</v>
      </c>
      <c r="P292" s="61" t="s">
        <v>33</v>
      </c>
      <c r="Q292" s="62"/>
      <c r="R292" s="46"/>
      <c r="S292" s="2" t="str">
        <f t="shared" si="0"/>
        <v>01</v>
      </c>
      <c r="T292" s="2">
        <v>178</v>
      </c>
      <c r="U292" s="48" t="s">
        <v>91</v>
      </c>
      <c r="V292" s="2"/>
      <c r="W292" s="2" t="str">
        <f t="shared" si="3"/>
        <v>02</v>
      </c>
      <c r="X292" s="2"/>
      <c r="Y292" s="3"/>
      <c r="Z292" s="3"/>
      <c r="AA292" s="3"/>
      <c r="AB292" s="3"/>
      <c r="AC292" s="3"/>
      <c r="AD292" s="3"/>
      <c r="AE292" s="3"/>
      <c r="AF292" s="3"/>
      <c r="AG292" s="3"/>
      <c r="AH292" s="3"/>
      <c r="AI292" s="3"/>
      <c r="AJ292" s="3"/>
      <c r="AK292" s="3"/>
      <c r="AL292" s="3"/>
      <c r="AM292" s="3"/>
      <c r="AN292" s="3"/>
      <c r="AO292" s="3"/>
      <c r="AP292" s="3"/>
      <c r="AQ292" s="3"/>
      <c r="AR292" s="3"/>
      <c r="AS292" s="3"/>
      <c r="AT292" s="3"/>
      <c r="AU292" s="3"/>
    </row>
    <row r="293" spans="1:47" ht="14.25" customHeight="1" x14ac:dyDescent="0.3">
      <c r="A293" s="42"/>
      <c r="B293" s="42"/>
      <c r="C293" s="42"/>
      <c r="D293" s="61" t="s">
        <v>33</v>
      </c>
      <c r="E293" s="62"/>
      <c r="F293" s="61"/>
      <c r="G293" s="62"/>
      <c r="H293" s="61"/>
      <c r="I293" s="62"/>
      <c r="J293" s="42"/>
      <c r="K293" s="42"/>
      <c r="L293" s="63">
        <v>0</v>
      </c>
      <c r="M293" s="64"/>
      <c r="N293" s="62"/>
      <c r="O293" s="49" t="str">
        <f t="shared" si="2"/>
        <v>PLAN</v>
      </c>
      <c r="P293" s="61" t="s">
        <v>33</v>
      </c>
      <c r="Q293" s="62"/>
      <c r="R293" s="46"/>
      <c r="S293" s="2" t="str">
        <f t="shared" si="0"/>
        <v>01</v>
      </c>
      <c r="T293" s="2">
        <v>179</v>
      </c>
      <c r="U293" s="48" t="s">
        <v>91</v>
      </c>
      <c r="V293" s="2"/>
      <c r="W293" s="2" t="str">
        <f t="shared" si="3"/>
        <v>02</v>
      </c>
      <c r="X293" s="2"/>
      <c r="Y293" s="3"/>
      <c r="Z293" s="3"/>
      <c r="AA293" s="3"/>
      <c r="AB293" s="3"/>
      <c r="AC293" s="3"/>
      <c r="AD293" s="3"/>
      <c r="AE293" s="3"/>
      <c r="AF293" s="3"/>
      <c r="AG293" s="3"/>
      <c r="AH293" s="3"/>
      <c r="AI293" s="3"/>
      <c r="AJ293" s="3"/>
      <c r="AK293" s="3"/>
      <c r="AL293" s="3"/>
      <c r="AM293" s="3"/>
      <c r="AN293" s="3"/>
      <c r="AO293" s="3"/>
      <c r="AP293" s="3"/>
      <c r="AQ293" s="3"/>
      <c r="AR293" s="3"/>
      <c r="AS293" s="3"/>
      <c r="AT293" s="3"/>
      <c r="AU293" s="3"/>
    </row>
    <row r="294" spans="1:47" ht="14.25" customHeight="1" x14ac:dyDescent="0.3">
      <c r="A294" s="42"/>
      <c r="B294" s="42"/>
      <c r="C294" s="42"/>
      <c r="D294" s="61" t="s">
        <v>33</v>
      </c>
      <c r="E294" s="62"/>
      <c r="F294" s="61"/>
      <c r="G294" s="62"/>
      <c r="H294" s="61"/>
      <c r="I294" s="62"/>
      <c r="J294" s="42"/>
      <c r="K294" s="42"/>
      <c r="L294" s="63">
        <v>0</v>
      </c>
      <c r="M294" s="64"/>
      <c r="N294" s="62"/>
      <c r="O294" s="49" t="str">
        <f t="shared" si="2"/>
        <v>PLAN</v>
      </c>
      <c r="P294" s="61" t="s">
        <v>33</v>
      </c>
      <c r="Q294" s="62"/>
      <c r="R294" s="46"/>
      <c r="S294" s="2" t="str">
        <f t="shared" si="0"/>
        <v>01</v>
      </c>
      <c r="T294" s="2">
        <v>180</v>
      </c>
      <c r="U294" s="48" t="s">
        <v>91</v>
      </c>
      <c r="V294" s="2"/>
      <c r="W294" s="2" t="str">
        <f t="shared" si="3"/>
        <v>02</v>
      </c>
      <c r="X294" s="2"/>
      <c r="Y294" s="3"/>
      <c r="Z294" s="3"/>
      <c r="AA294" s="3"/>
      <c r="AB294" s="3"/>
      <c r="AC294" s="3"/>
      <c r="AD294" s="3"/>
      <c r="AE294" s="3"/>
      <c r="AF294" s="3"/>
      <c r="AG294" s="3"/>
      <c r="AH294" s="3"/>
      <c r="AI294" s="3"/>
      <c r="AJ294" s="3"/>
      <c r="AK294" s="3"/>
      <c r="AL294" s="3"/>
      <c r="AM294" s="3"/>
      <c r="AN294" s="3"/>
      <c r="AO294" s="3"/>
      <c r="AP294" s="3"/>
      <c r="AQ294" s="3"/>
      <c r="AR294" s="3"/>
      <c r="AS294" s="3"/>
      <c r="AT294" s="3"/>
      <c r="AU294" s="3"/>
    </row>
    <row r="295" spans="1:47" ht="14.25" customHeight="1" x14ac:dyDescent="0.3">
      <c r="A295" s="42"/>
      <c r="B295" s="42"/>
      <c r="C295" s="42"/>
      <c r="D295" s="61" t="s">
        <v>33</v>
      </c>
      <c r="E295" s="62"/>
      <c r="F295" s="61"/>
      <c r="G295" s="62"/>
      <c r="H295" s="61"/>
      <c r="I295" s="62"/>
      <c r="J295" s="42"/>
      <c r="K295" s="42"/>
      <c r="L295" s="63">
        <v>0</v>
      </c>
      <c r="M295" s="64"/>
      <c r="N295" s="62"/>
      <c r="O295" s="49" t="str">
        <f t="shared" si="2"/>
        <v>PLAN</v>
      </c>
      <c r="P295" s="61" t="s">
        <v>33</v>
      </c>
      <c r="Q295" s="62"/>
      <c r="R295" s="46"/>
      <c r="S295" s="2" t="str">
        <f t="shared" si="0"/>
        <v>01</v>
      </c>
      <c r="T295" s="2">
        <v>181</v>
      </c>
      <c r="U295" s="48" t="s">
        <v>91</v>
      </c>
      <c r="V295" s="2"/>
      <c r="W295" s="2" t="str">
        <f t="shared" si="3"/>
        <v>02</v>
      </c>
      <c r="X295" s="2"/>
      <c r="Y295" s="3"/>
      <c r="Z295" s="3"/>
      <c r="AA295" s="3"/>
      <c r="AB295" s="3"/>
      <c r="AC295" s="3"/>
      <c r="AD295" s="3"/>
      <c r="AE295" s="3"/>
      <c r="AF295" s="3"/>
      <c r="AG295" s="3"/>
      <c r="AH295" s="3"/>
      <c r="AI295" s="3"/>
      <c r="AJ295" s="3"/>
      <c r="AK295" s="3"/>
      <c r="AL295" s="3"/>
      <c r="AM295" s="3"/>
      <c r="AN295" s="3"/>
      <c r="AO295" s="3"/>
      <c r="AP295" s="3"/>
      <c r="AQ295" s="3"/>
      <c r="AR295" s="3"/>
      <c r="AS295" s="3"/>
      <c r="AT295" s="3"/>
      <c r="AU295" s="3"/>
    </row>
    <row r="296" spans="1:47" ht="14.25" customHeight="1" x14ac:dyDescent="0.3">
      <c r="A296" s="42"/>
      <c r="B296" s="42"/>
      <c r="C296" s="42"/>
      <c r="D296" s="61" t="s">
        <v>33</v>
      </c>
      <c r="E296" s="62"/>
      <c r="F296" s="61"/>
      <c r="G296" s="62"/>
      <c r="H296" s="61"/>
      <c r="I296" s="62"/>
      <c r="J296" s="42"/>
      <c r="K296" s="42"/>
      <c r="L296" s="63">
        <v>0</v>
      </c>
      <c r="M296" s="64"/>
      <c r="N296" s="62"/>
      <c r="O296" s="49" t="str">
        <f t="shared" si="2"/>
        <v>PLAN</v>
      </c>
      <c r="P296" s="61" t="s">
        <v>33</v>
      </c>
      <c r="Q296" s="62"/>
      <c r="R296" s="46"/>
      <c r="S296" s="2" t="str">
        <f t="shared" si="0"/>
        <v>01</v>
      </c>
      <c r="T296" s="2">
        <v>182</v>
      </c>
      <c r="U296" s="48" t="s">
        <v>91</v>
      </c>
      <c r="V296" s="2"/>
      <c r="W296" s="2" t="str">
        <f t="shared" si="3"/>
        <v>02</v>
      </c>
      <c r="X296" s="2"/>
      <c r="Y296" s="3"/>
      <c r="Z296" s="3"/>
      <c r="AA296" s="3"/>
      <c r="AB296" s="3"/>
      <c r="AC296" s="3"/>
      <c r="AD296" s="3"/>
      <c r="AE296" s="3"/>
      <c r="AF296" s="3"/>
      <c r="AG296" s="3"/>
      <c r="AH296" s="3"/>
      <c r="AI296" s="3"/>
      <c r="AJ296" s="3"/>
      <c r="AK296" s="3"/>
      <c r="AL296" s="3"/>
      <c r="AM296" s="3"/>
      <c r="AN296" s="3"/>
      <c r="AO296" s="3"/>
      <c r="AP296" s="3"/>
      <c r="AQ296" s="3"/>
      <c r="AR296" s="3"/>
      <c r="AS296" s="3"/>
      <c r="AT296" s="3"/>
      <c r="AU296" s="3"/>
    </row>
    <row r="297" spans="1:47" ht="14.25" customHeight="1" x14ac:dyDescent="0.3">
      <c r="A297" s="42"/>
      <c r="B297" s="42"/>
      <c r="C297" s="42"/>
      <c r="D297" s="61" t="s">
        <v>33</v>
      </c>
      <c r="E297" s="62"/>
      <c r="F297" s="61"/>
      <c r="G297" s="62"/>
      <c r="H297" s="61"/>
      <c r="I297" s="62"/>
      <c r="J297" s="42"/>
      <c r="K297" s="42"/>
      <c r="L297" s="63">
        <v>0</v>
      </c>
      <c r="M297" s="64"/>
      <c r="N297" s="62"/>
      <c r="O297" s="49" t="str">
        <f t="shared" si="2"/>
        <v>PLAN</v>
      </c>
      <c r="P297" s="61" t="s">
        <v>33</v>
      </c>
      <c r="Q297" s="62"/>
      <c r="R297" s="46"/>
      <c r="S297" s="2" t="str">
        <f t="shared" si="0"/>
        <v>01</v>
      </c>
      <c r="T297" s="2">
        <v>183</v>
      </c>
      <c r="U297" s="48" t="s">
        <v>91</v>
      </c>
      <c r="V297" s="2"/>
      <c r="W297" s="2" t="str">
        <f t="shared" si="3"/>
        <v>02</v>
      </c>
      <c r="X297" s="2"/>
      <c r="Y297" s="3"/>
      <c r="Z297" s="3"/>
      <c r="AA297" s="3"/>
      <c r="AB297" s="3"/>
      <c r="AC297" s="3"/>
      <c r="AD297" s="3"/>
      <c r="AE297" s="3"/>
      <c r="AF297" s="3"/>
      <c r="AG297" s="3"/>
      <c r="AH297" s="3"/>
      <c r="AI297" s="3"/>
      <c r="AJ297" s="3"/>
      <c r="AK297" s="3"/>
      <c r="AL297" s="3"/>
      <c r="AM297" s="3"/>
      <c r="AN297" s="3"/>
      <c r="AO297" s="3"/>
      <c r="AP297" s="3"/>
      <c r="AQ297" s="3"/>
      <c r="AR297" s="3"/>
      <c r="AS297" s="3"/>
      <c r="AT297" s="3"/>
      <c r="AU297" s="3"/>
    </row>
    <row r="298" spans="1:47" ht="14.25" customHeight="1" x14ac:dyDescent="0.3">
      <c r="A298" s="42"/>
      <c r="B298" s="42"/>
      <c r="C298" s="42"/>
      <c r="D298" s="61" t="s">
        <v>33</v>
      </c>
      <c r="E298" s="62"/>
      <c r="F298" s="61"/>
      <c r="G298" s="62"/>
      <c r="H298" s="61"/>
      <c r="I298" s="62"/>
      <c r="J298" s="42"/>
      <c r="K298" s="42"/>
      <c r="L298" s="63">
        <v>0</v>
      </c>
      <c r="M298" s="64"/>
      <c r="N298" s="62"/>
      <c r="O298" s="49" t="str">
        <f t="shared" si="2"/>
        <v>PLAN</v>
      </c>
      <c r="P298" s="61" t="s">
        <v>33</v>
      </c>
      <c r="Q298" s="62"/>
      <c r="R298" s="46"/>
      <c r="S298" s="2" t="str">
        <f t="shared" si="0"/>
        <v>01</v>
      </c>
      <c r="T298" s="2">
        <v>184</v>
      </c>
      <c r="U298" s="48" t="s">
        <v>91</v>
      </c>
      <c r="V298" s="2"/>
      <c r="W298" s="2" t="str">
        <f t="shared" si="3"/>
        <v>02</v>
      </c>
      <c r="X298" s="2"/>
      <c r="Y298" s="3"/>
      <c r="Z298" s="3"/>
      <c r="AA298" s="3"/>
      <c r="AB298" s="3"/>
      <c r="AC298" s="3"/>
      <c r="AD298" s="3"/>
      <c r="AE298" s="3"/>
      <c r="AF298" s="3"/>
      <c r="AG298" s="3"/>
      <c r="AH298" s="3"/>
      <c r="AI298" s="3"/>
      <c r="AJ298" s="3"/>
      <c r="AK298" s="3"/>
      <c r="AL298" s="3"/>
      <c r="AM298" s="3"/>
      <c r="AN298" s="3"/>
      <c r="AO298" s="3"/>
      <c r="AP298" s="3"/>
      <c r="AQ298" s="3"/>
      <c r="AR298" s="3"/>
      <c r="AS298" s="3"/>
      <c r="AT298" s="3"/>
      <c r="AU298" s="3"/>
    </row>
    <row r="299" spans="1:47" ht="14.25" customHeight="1" x14ac:dyDescent="0.3">
      <c r="A299" s="42"/>
      <c r="B299" s="42"/>
      <c r="C299" s="42"/>
      <c r="D299" s="61" t="s">
        <v>33</v>
      </c>
      <c r="E299" s="62"/>
      <c r="F299" s="61"/>
      <c r="G299" s="62"/>
      <c r="H299" s="61"/>
      <c r="I299" s="62"/>
      <c r="J299" s="42"/>
      <c r="K299" s="42"/>
      <c r="L299" s="63">
        <v>0</v>
      </c>
      <c r="M299" s="64"/>
      <c r="N299" s="62"/>
      <c r="O299" s="49" t="str">
        <f t="shared" si="2"/>
        <v>PLAN</v>
      </c>
      <c r="P299" s="61" t="s">
        <v>33</v>
      </c>
      <c r="Q299" s="62"/>
      <c r="R299" s="46"/>
      <c r="S299" s="2" t="str">
        <f t="shared" si="0"/>
        <v>01</v>
      </c>
      <c r="T299" s="2">
        <v>185</v>
      </c>
      <c r="U299" s="48" t="s">
        <v>91</v>
      </c>
      <c r="V299" s="2"/>
      <c r="W299" s="2" t="str">
        <f t="shared" si="3"/>
        <v>02</v>
      </c>
      <c r="X299" s="2"/>
      <c r="Y299" s="3"/>
      <c r="Z299" s="3"/>
      <c r="AA299" s="3"/>
      <c r="AB299" s="3"/>
      <c r="AC299" s="3"/>
      <c r="AD299" s="3"/>
      <c r="AE299" s="3"/>
      <c r="AF299" s="3"/>
      <c r="AG299" s="3"/>
      <c r="AH299" s="3"/>
      <c r="AI299" s="3"/>
      <c r="AJ299" s="3"/>
      <c r="AK299" s="3"/>
      <c r="AL299" s="3"/>
      <c r="AM299" s="3"/>
      <c r="AN299" s="3"/>
      <c r="AO299" s="3"/>
      <c r="AP299" s="3"/>
      <c r="AQ299" s="3"/>
      <c r="AR299" s="3"/>
      <c r="AS299" s="3"/>
      <c r="AT299" s="3"/>
      <c r="AU299" s="3"/>
    </row>
    <row r="300" spans="1:47" ht="14.25" customHeight="1" x14ac:dyDescent="0.3">
      <c r="A300" s="42"/>
      <c r="B300" s="42"/>
      <c r="C300" s="42"/>
      <c r="D300" s="61" t="s">
        <v>33</v>
      </c>
      <c r="E300" s="62"/>
      <c r="F300" s="61"/>
      <c r="G300" s="62"/>
      <c r="H300" s="61"/>
      <c r="I300" s="62"/>
      <c r="J300" s="42"/>
      <c r="K300" s="42"/>
      <c r="L300" s="63">
        <v>0</v>
      </c>
      <c r="M300" s="64"/>
      <c r="N300" s="62"/>
      <c r="O300" s="49" t="str">
        <f t="shared" si="2"/>
        <v>PLAN</v>
      </c>
      <c r="P300" s="61" t="s">
        <v>33</v>
      </c>
      <c r="Q300" s="62"/>
      <c r="R300" s="46"/>
      <c r="S300" s="2" t="str">
        <f t="shared" si="0"/>
        <v>01</v>
      </c>
      <c r="T300" s="2">
        <v>186</v>
      </c>
      <c r="U300" s="48" t="s">
        <v>91</v>
      </c>
      <c r="V300" s="2"/>
      <c r="W300" s="2" t="str">
        <f t="shared" si="3"/>
        <v>02</v>
      </c>
      <c r="X300" s="2"/>
      <c r="Y300" s="3"/>
      <c r="Z300" s="3"/>
      <c r="AA300" s="3"/>
      <c r="AB300" s="3"/>
      <c r="AC300" s="3"/>
      <c r="AD300" s="3"/>
      <c r="AE300" s="3"/>
      <c r="AF300" s="3"/>
      <c r="AG300" s="3"/>
      <c r="AH300" s="3"/>
      <c r="AI300" s="3"/>
      <c r="AJ300" s="3"/>
      <c r="AK300" s="3"/>
      <c r="AL300" s="3"/>
      <c r="AM300" s="3"/>
      <c r="AN300" s="3"/>
      <c r="AO300" s="3"/>
      <c r="AP300" s="3"/>
      <c r="AQ300" s="3"/>
      <c r="AR300" s="3"/>
      <c r="AS300" s="3"/>
      <c r="AT300" s="3"/>
      <c r="AU300" s="3"/>
    </row>
    <row r="301" spans="1:47" ht="14.25" customHeight="1" x14ac:dyDescent="0.3">
      <c r="A301" s="42"/>
      <c r="B301" s="42"/>
      <c r="C301" s="42"/>
      <c r="D301" s="61" t="s">
        <v>33</v>
      </c>
      <c r="E301" s="62"/>
      <c r="F301" s="61"/>
      <c r="G301" s="62"/>
      <c r="H301" s="61"/>
      <c r="I301" s="62"/>
      <c r="J301" s="42"/>
      <c r="K301" s="42"/>
      <c r="L301" s="63">
        <v>0</v>
      </c>
      <c r="M301" s="64"/>
      <c r="N301" s="62"/>
      <c r="O301" s="49" t="str">
        <f t="shared" si="2"/>
        <v>PLAN</v>
      </c>
      <c r="P301" s="61" t="s">
        <v>33</v>
      </c>
      <c r="Q301" s="62"/>
      <c r="R301" s="46"/>
      <c r="S301" s="2" t="str">
        <f t="shared" si="0"/>
        <v>01</v>
      </c>
      <c r="T301" s="2">
        <v>187</v>
      </c>
      <c r="U301" s="48" t="s">
        <v>91</v>
      </c>
      <c r="V301" s="2"/>
      <c r="W301" s="2" t="str">
        <f t="shared" si="3"/>
        <v>02</v>
      </c>
      <c r="X301" s="2"/>
      <c r="Y301" s="3"/>
      <c r="Z301" s="3"/>
      <c r="AA301" s="3"/>
      <c r="AB301" s="3"/>
      <c r="AC301" s="3"/>
      <c r="AD301" s="3"/>
      <c r="AE301" s="3"/>
      <c r="AF301" s="3"/>
      <c r="AG301" s="3"/>
      <c r="AH301" s="3"/>
      <c r="AI301" s="3"/>
      <c r="AJ301" s="3"/>
      <c r="AK301" s="3"/>
      <c r="AL301" s="3"/>
      <c r="AM301" s="3"/>
      <c r="AN301" s="3"/>
      <c r="AO301" s="3"/>
      <c r="AP301" s="3"/>
      <c r="AQ301" s="3"/>
      <c r="AR301" s="3"/>
      <c r="AS301" s="3"/>
      <c r="AT301" s="3"/>
      <c r="AU301" s="3"/>
    </row>
    <row r="302" spans="1:47" ht="14.25" customHeight="1" x14ac:dyDescent="0.3">
      <c r="A302" s="42"/>
      <c r="B302" s="42"/>
      <c r="C302" s="42"/>
      <c r="D302" s="61" t="s">
        <v>33</v>
      </c>
      <c r="E302" s="62"/>
      <c r="F302" s="61"/>
      <c r="G302" s="62"/>
      <c r="H302" s="61"/>
      <c r="I302" s="62"/>
      <c r="J302" s="42"/>
      <c r="K302" s="42"/>
      <c r="L302" s="63">
        <v>0</v>
      </c>
      <c r="M302" s="64"/>
      <c r="N302" s="62"/>
      <c r="O302" s="49" t="str">
        <f t="shared" si="2"/>
        <v>PLAN</v>
      </c>
      <c r="P302" s="61" t="s">
        <v>33</v>
      </c>
      <c r="Q302" s="62"/>
      <c r="R302" s="46"/>
      <c r="S302" s="2" t="str">
        <f t="shared" si="0"/>
        <v>01</v>
      </c>
      <c r="T302" s="2">
        <v>188</v>
      </c>
      <c r="U302" s="48" t="s">
        <v>91</v>
      </c>
      <c r="V302" s="2"/>
      <c r="W302" s="2" t="str">
        <f t="shared" si="3"/>
        <v>02</v>
      </c>
      <c r="X302" s="2"/>
      <c r="Y302" s="3"/>
      <c r="Z302" s="3"/>
      <c r="AA302" s="3"/>
      <c r="AB302" s="3"/>
      <c r="AC302" s="3"/>
      <c r="AD302" s="3"/>
      <c r="AE302" s="3"/>
      <c r="AF302" s="3"/>
      <c r="AG302" s="3"/>
      <c r="AH302" s="3"/>
      <c r="AI302" s="3"/>
      <c r="AJ302" s="3"/>
      <c r="AK302" s="3"/>
      <c r="AL302" s="3"/>
      <c r="AM302" s="3"/>
      <c r="AN302" s="3"/>
      <c r="AO302" s="3"/>
      <c r="AP302" s="3"/>
      <c r="AQ302" s="3"/>
      <c r="AR302" s="3"/>
      <c r="AS302" s="3"/>
      <c r="AT302" s="3"/>
      <c r="AU302" s="3"/>
    </row>
    <row r="303" spans="1:47" ht="14.25" customHeight="1" x14ac:dyDescent="0.3">
      <c r="A303" s="42"/>
      <c r="B303" s="42"/>
      <c r="C303" s="42"/>
      <c r="D303" s="61" t="s">
        <v>33</v>
      </c>
      <c r="E303" s="62"/>
      <c r="F303" s="61"/>
      <c r="G303" s="62"/>
      <c r="H303" s="61"/>
      <c r="I303" s="62"/>
      <c r="J303" s="42"/>
      <c r="K303" s="42"/>
      <c r="L303" s="63">
        <v>0</v>
      </c>
      <c r="M303" s="64"/>
      <c r="N303" s="62"/>
      <c r="O303" s="49" t="str">
        <f t="shared" si="2"/>
        <v>PLAN</v>
      </c>
      <c r="P303" s="61" t="s">
        <v>33</v>
      </c>
      <c r="Q303" s="62"/>
      <c r="R303" s="46"/>
      <c r="S303" s="2" t="str">
        <f t="shared" si="0"/>
        <v>01</v>
      </c>
      <c r="T303" s="2">
        <v>189</v>
      </c>
      <c r="U303" s="48" t="s">
        <v>91</v>
      </c>
      <c r="V303" s="2"/>
      <c r="W303" s="2" t="str">
        <f t="shared" si="3"/>
        <v>02</v>
      </c>
      <c r="X303" s="2"/>
      <c r="Y303" s="3"/>
      <c r="Z303" s="3"/>
      <c r="AA303" s="3"/>
      <c r="AB303" s="3"/>
      <c r="AC303" s="3"/>
      <c r="AD303" s="3"/>
      <c r="AE303" s="3"/>
      <c r="AF303" s="3"/>
      <c r="AG303" s="3"/>
      <c r="AH303" s="3"/>
      <c r="AI303" s="3"/>
      <c r="AJ303" s="3"/>
      <c r="AK303" s="3"/>
      <c r="AL303" s="3"/>
      <c r="AM303" s="3"/>
      <c r="AN303" s="3"/>
      <c r="AO303" s="3"/>
      <c r="AP303" s="3"/>
      <c r="AQ303" s="3"/>
      <c r="AR303" s="3"/>
      <c r="AS303" s="3"/>
      <c r="AT303" s="3"/>
      <c r="AU303" s="3"/>
    </row>
    <row r="304" spans="1:47" ht="14.25" customHeight="1" x14ac:dyDescent="0.3">
      <c r="A304" s="42"/>
      <c r="B304" s="42"/>
      <c r="C304" s="42"/>
      <c r="D304" s="61" t="s">
        <v>33</v>
      </c>
      <c r="E304" s="62"/>
      <c r="F304" s="61"/>
      <c r="G304" s="62"/>
      <c r="H304" s="61"/>
      <c r="I304" s="62"/>
      <c r="J304" s="42"/>
      <c r="K304" s="42"/>
      <c r="L304" s="63">
        <v>0</v>
      </c>
      <c r="M304" s="64"/>
      <c r="N304" s="62"/>
      <c r="O304" s="49" t="str">
        <f t="shared" si="2"/>
        <v>PLAN</v>
      </c>
      <c r="P304" s="61" t="s">
        <v>33</v>
      </c>
      <c r="Q304" s="62"/>
      <c r="R304" s="46"/>
      <c r="S304" s="2" t="str">
        <f t="shared" si="0"/>
        <v>01</v>
      </c>
      <c r="T304" s="2">
        <v>190</v>
      </c>
      <c r="U304" s="48" t="s">
        <v>91</v>
      </c>
      <c r="V304" s="2"/>
      <c r="W304" s="2" t="str">
        <f t="shared" si="3"/>
        <v>02</v>
      </c>
      <c r="X304" s="2"/>
      <c r="Y304" s="3"/>
      <c r="Z304" s="3"/>
      <c r="AA304" s="3"/>
      <c r="AB304" s="3"/>
      <c r="AC304" s="3"/>
      <c r="AD304" s="3"/>
      <c r="AE304" s="3"/>
      <c r="AF304" s="3"/>
      <c r="AG304" s="3"/>
      <c r="AH304" s="3"/>
      <c r="AI304" s="3"/>
      <c r="AJ304" s="3"/>
      <c r="AK304" s="3"/>
      <c r="AL304" s="3"/>
      <c r="AM304" s="3"/>
      <c r="AN304" s="3"/>
      <c r="AO304" s="3"/>
      <c r="AP304" s="3"/>
      <c r="AQ304" s="3"/>
      <c r="AR304" s="3"/>
      <c r="AS304" s="3"/>
      <c r="AT304" s="3"/>
      <c r="AU304" s="3"/>
    </row>
    <row r="305" spans="1:47" ht="14.25" customHeight="1" x14ac:dyDescent="0.3">
      <c r="A305" s="42"/>
      <c r="B305" s="42"/>
      <c r="C305" s="42"/>
      <c r="D305" s="61" t="s">
        <v>33</v>
      </c>
      <c r="E305" s="62"/>
      <c r="F305" s="61"/>
      <c r="G305" s="62"/>
      <c r="H305" s="61"/>
      <c r="I305" s="62"/>
      <c r="J305" s="42"/>
      <c r="K305" s="42"/>
      <c r="L305" s="63">
        <v>0</v>
      </c>
      <c r="M305" s="64"/>
      <c r="N305" s="62"/>
      <c r="O305" s="49" t="str">
        <f t="shared" si="2"/>
        <v>PLAN</v>
      </c>
      <c r="P305" s="61" t="s">
        <v>33</v>
      </c>
      <c r="Q305" s="62"/>
      <c r="R305" s="46"/>
      <c r="S305" s="2" t="str">
        <f t="shared" si="0"/>
        <v>01</v>
      </c>
      <c r="T305" s="2">
        <v>191</v>
      </c>
      <c r="U305" s="48" t="s">
        <v>91</v>
      </c>
      <c r="V305" s="2"/>
      <c r="W305" s="2" t="str">
        <f t="shared" si="3"/>
        <v>02</v>
      </c>
      <c r="X305" s="2"/>
      <c r="Y305" s="3"/>
      <c r="Z305" s="3"/>
      <c r="AA305" s="3"/>
      <c r="AB305" s="3"/>
      <c r="AC305" s="3"/>
      <c r="AD305" s="3"/>
      <c r="AE305" s="3"/>
      <c r="AF305" s="3"/>
      <c r="AG305" s="3"/>
      <c r="AH305" s="3"/>
      <c r="AI305" s="3"/>
      <c r="AJ305" s="3"/>
      <c r="AK305" s="3"/>
      <c r="AL305" s="3"/>
      <c r="AM305" s="3"/>
      <c r="AN305" s="3"/>
      <c r="AO305" s="3"/>
      <c r="AP305" s="3"/>
      <c r="AQ305" s="3"/>
      <c r="AR305" s="3"/>
      <c r="AS305" s="3"/>
      <c r="AT305" s="3"/>
      <c r="AU305" s="3"/>
    </row>
    <row r="306" spans="1:47" ht="14.25" customHeight="1" x14ac:dyDescent="0.3">
      <c r="A306" s="42"/>
      <c r="B306" s="42"/>
      <c r="C306" s="42"/>
      <c r="D306" s="61" t="s">
        <v>33</v>
      </c>
      <c r="E306" s="62"/>
      <c r="F306" s="61"/>
      <c r="G306" s="62"/>
      <c r="H306" s="61"/>
      <c r="I306" s="62"/>
      <c r="J306" s="42"/>
      <c r="K306" s="42"/>
      <c r="L306" s="63">
        <v>0</v>
      </c>
      <c r="M306" s="64"/>
      <c r="N306" s="62"/>
      <c r="O306" s="49" t="str">
        <f t="shared" si="2"/>
        <v>PLAN</v>
      </c>
      <c r="P306" s="61" t="s">
        <v>33</v>
      </c>
      <c r="Q306" s="62"/>
      <c r="R306" s="46"/>
      <c r="S306" s="2" t="str">
        <f t="shared" si="0"/>
        <v>01</v>
      </c>
      <c r="T306" s="2">
        <v>192</v>
      </c>
      <c r="U306" s="48" t="s">
        <v>91</v>
      </c>
      <c r="V306" s="2"/>
      <c r="W306" s="2" t="str">
        <f t="shared" si="3"/>
        <v>02</v>
      </c>
      <c r="X306" s="2"/>
      <c r="Y306" s="3"/>
      <c r="Z306" s="3"/>
      <c r="AA306" s="3"/>
      <c r="AB306" s="3"/>
      <c r="AC306" s="3"/>
      <c r="AD306" s="3"/>
      <c r="AE306" s="3"/>
      <c r="AF306" s="3"/>
      <c r="AG306" s="3"/>
      <c r="AH306" s="3"/>
      <c r="AI306" s="3"/>
      <c r="AJ306" s="3"/>
      <c r="AK306" s="3"/>
      <c r="AL306" s="3"/>
      <c r="AM306" s="3"/>
      <c r="AN306" s="3"/>
      <c r="AO306" s="3"/>
      <c r="AP306" s="3"/>
      <c r="AQ306" s="3"/>
      <c r="AR306" s="3"/>
      <c r="AS306" s="3"/>
      <c r="AT306" s="3"/>
      <c r="AU306" s="3"/>
    </row>
    <row r="307" spans="1:47" ht="14.25" customHeight="1" x14ac:dyDescent="0.3">
      <c r="A307" s="42"/>
      <c r="B307" s="42"/>
      <c r="C307" s="42"/>
      <c r="D307" s="61" t="s">
        <v>33</v>
      </c>
      <c r="E307" s="62"/>
      <c r="F307" s="61"/>
      <c r="G307" s="62"/>
      <c r="H307" s="61"/>
      <c r="I307" s="62"/>
      <c r="J307" s="42"/>
      <c r="K307" s="42"/>
      <c r="L307" s="63">
        <v>0</v>
      </c>
      <c r="M307" s="64"/>
      <c r="N307" s="62"/>
      <c r="O307" s="49" t="str">
        <f t="shared" si="2"/>
        <v>PLAN</v>
      </c>
      <c r="P307" s="61" t="s">
        <v>33</v>
      </c>
      <c r="Q307" s="62"/>
      <c r="R307" s="46"/>
      <c r="S307" s="2" t="str">
        <f t="shared" si="0"/>
        <v>01</v>
      </c>
      <c r="T307" s="2">
        <v>193</v>
      </c>
      <c r="U307" s="48" t="s">
        <v>91</v>
      </c>
      <c r="V307" s="2"/>
      <c r="W307" s="2" t="str">
        <f t="shared" si="3"/>
        <v>02</v>
      </c>
      <c r="X307" s="2"/>
      <c r="Y307" s="3"/>
      <c r="Z307" s="3"/>
      <c r="AA307" s="3"/>
      <c r="AB307" s="3"/>
      <c r="AC307" s="3"/>
      <c r="AD307" s="3"/>
      <c r="AE307" s="3"/>
      <c r="AF307" s="3"/>
      <c r="AG307" s="3"/>
      <c r="AH307" s="3"/>
      <c r="AI307" s="3"/>
      <c r="AJ307" s="3"/>
      <c r="AK307" s="3"/>
      <c r="AL307" s="3"/>
      <c r="AM307" s="3"/>
      <c r="AN307" s="3"/>
      <c r="AO307" s="3"/>
      <c r="AP307" s="3"/>
      <c r="AQ307" s="3"/>
      <c r="AR307" s="3"/>
      <c r="AS307" s="3"/>
      <c r="AT307" s="3"/>
      <c r="AU307" s="3"/>
    </row>
    <row r="308" spans="1:47" ht="14.25" customHeight="1" x14ac:dyDescent="0.3">
      <c r="A308" s="42"/>
      <c r="B308" s="42"/>
      <c r="C308" s="42"/>
      <c r="D308" s="61" t="s">
        <v>33</v>
      </c>
      <c r="E308" s="62"/>
      <c r="F308" s="61"/>
      <c r="G308" s="62"/>
      <c r="H308" s="61"/>
      <c r="I308" s="62"/>
      <c r="J308" s="42"/>
      <c r="K308" s="42"/>
      <c r="L308" s="63">
        <v>0</v>
      </c>
      <c r="M308" s="64"/>
      <c r="N308" s="62"/>
      <c r="O308" s="49" t="str">
        <f t="shared" si="2"/>
        <v>PLAN</v>
      </c>
      <c r="P308" s="61" t="s">
        <v>33</v>
      </c>
      <c r="Q308" s="62"/>
      <c r="R308" s="46"/>
      <c r="S308" s="2" t="str">
        <f t="shared" si="0"/>
        <v>01</v>
      </c>
      <c r="T308" s="2">
        <v>194</v>
      </c>
      <c r="U308" s="48" t="s">
        <v>91</v>
      </c>
      <c r="V308" s="2"/>
      <c r="W308" s="2" t="str">
        <f t="shared" si="3"/>
        <v>02</v>
      </c>
      <c r="X308" s="2"/>
      <c r="Y308" s="3"/>
      <c r="Z308" s="3"/>
      <c r="AA308" s="3"/>
      <c r="AB308" s="3"/>
      <c r="AC308" s="3"/>
      <c r="AD308" s="3"/>
      <c r="AE308" s="3"/>
      <c r="AF308" s="3"/>
      <c r="AG308" s="3"/>
      <c r="AH308" s="3"/>
      <c r="AI308" s="3"/>
      <c r="AJ308" s="3"/>
      <c r="AK308" s="3"/>
      <c r="AL308" s="3"/>
      <c r="AM308" s="3"/>
      <c r="AN308" s="3"/>
      <c r="AO308" s="3"/>
      <c r="AP308" s="3"/>
      <c r="AQ308" s="3"/>
      <c r="AR308" s="3"/>
      <c r="AS308" s="3"/>
      <c r="AT308" s="3"/>
      <c r="AU308" s="3"/>
    </row>
    <row r="309" spans="1:47" ht="14.25" customHeight="1" x14ac:dyDescent="0.3">
      <c r="A309" s="42"/>
      <c r="B309" s="42"/>
      <c r="C309" s="42"/>
      <c r="D309" s="61" t="s">
        <v>33</v>
      </c>
      <c r="E309" s="62"/>
      <c r="F309" s="61"/>
      <c r="G309" s="62"/>
      <c r="H309" s="61"/>
      <c r="I309" s="62"/>
      <c r="J309" s="42"/>
      <c r="K309" s="42"/>
      <c r="L309" s="63">
        <v>0</v>
      </c>
      <c r="M309" s="64"/>
      <c r="N309" s="62"/>
      <c r="O309" s="49" t="str">
        <f t="shared" si="2"/>
        <v>PLAN</v>
      </c>
      <c r="P309" s="61" t="s">
        <v>33</v>
      </c>
      <c r="Q309" s="62"/>
      <c r="R309" s="46"/>
      <c r="S309" s="2" t="str">
        <f t="shared" si="0"/>
        <v>01</v>
      </c>
      <c r="T309" s="2">
        <v>195</v>
      </c>
      <c r="U309" s="48" t="s">
        <v>91</v>
      </c>
      <c r="V309" s="2"/>
      <c r="W309" s="2" t="str">
        <f t="shared" si="3"/>
        <v>02</v>
      </c>
      <c r="X309" s="2"/>
      <c r="Y309" s="3"/>
      <c r="Z309" s="3"/>
      <c r="AA309" s="3"/>
      <c r="AB309" s="3"/>
      <c r="AC309" s="3"/>
      <c r="AD309" s="3"/>
      <c r="AE309" s="3"/>
      <c r="AF309" s="3"/>
      <c r="AG309" s="3"/>
      <c r="AH309" s="3"/>
      <c r="AI309" s="3"/>
      <c r="AJ309" s="3"/>
      <c r="AK309" s="3"/>
      <c r="AL309" s="3"/>
      <c r="AM309" s="3"/>
      <c r="AN309" s="3"/>
      <c r="AO309" s="3"/>
      <c r="AP309" s="3"/>
      <c r="AQ309" s="3"/>
      <c r="AR309" s="3"/>
      <c r="AS309" s="3"/>
      <c r="AT309" s="3"/>
      <c r="AU309" s="3"/>
    </row>
    <row r="310" spans="1:47" ht="14.25" customHeight="1" x14ac:dyDescent="0.3">
      <c r="A310" s="42"/>
      <c r="B310" s="42"/>
      <c r="C310" s="42"/>
      <c r="D310" s="61" t="s">
        <v>33</v>
      </c>
      <c r="E310" s="62"/>
      <c r="F310" s="61"/>
      <c r="G310" s="62"/>
      <c r="H310" s="61"/>
      <c r="I310" s="62"/>
      <c r="J310" s="42"/>
      <c r="K310" s="42"/>
      <c r="L310" s="63">
        <v>0</v>
      </c>
      <c r="M310" s="64"/>
      <c r="N310" s="62"/>
      <c r="O310" s="49" t="str">
        <f t="shared" si="2"/>
        <v>PLAN</v>
      </c>
      <c r="P310" s="61" t="s">
        <v>33</v>
      </c>
      <c r="Q310" s="62"/>
      <c r="R310" s="46"/>
      <c r="S310" s="2" t="str">
        <f t="shared" si="0"/>
        <v>01</v>
      </c>
      <c r="T310" s="2">
        <v>196</v>
      </c>
      <c r="U310" s="48" t="s">
        <v>91</v>
      </c>
      <c r="V310" s="2"/>
      <c r="W310" s="2" t="str">
        <f t="shared" si="3"/>
        <v>02</v>
      </c>
      <c r="X310" s="2"/>
      <c r="Y310" s="3"/>
      <c r="Z310" s="3"/>
      <c r="AA310" s="3"/>
      <c r="AB310" s="3"/>
      <c r="AC310" s="3"/>
      <c r="AD310" s="3"/>
      <c r="AE310" s="3"/>
      <c r="AF310" s="3"/>
      <c r="AG310" s="3"/>
      <c r="AH310" s="3"/>
      <c r="AI310" s="3"/>
      <c r="AJ310" s="3"/>
      <c r="AK310" s="3"/>
      <c r="AL310" s="3"/>
      <c r="AM310" s="3"/>
      <c r="AN310" s="3"/>
      <c r="AO310" s="3"/>
      <c r="AP310" s="3"/>
      <c r="AQ310" s="3"/>
      <c r="AR310" s="3"/>
      <c r="AS310" s="3"/>
      <c r="AT310" s="3"/>
      <c r="AU310" s="3"/>
    </row>
    <row r="311" spans="1:47" ht="14.25" customHeight="1" x14ac:dyDescent="0.3">
      <c r="A311" s="42"/>
      <c r="B311" s="42"/>
      <c r="C311" s="42"/>
      <c r="D311" s="61" t="s">
        <v>33</v>
      </c>
      <c r="E311" s="62"/>
      <c r="F311" s="61"/>
      <c r="G311" s="62"/>
      <c r="H311" s="61"/>
      <c r="I311" s="62"/>
      <c r="J311" s="42"/>
      <c r="K311" s="42"/>
      <c r="L311" s="63">
        <v>0</v>
      </c>
      <c r="M311" s="64"/>
      <c r="N311" s="62"/>
      <c r="O311" s="49" t="str">
        <f t="shared" si="2"/>
        <v>PLAN</v>
      </c>
      <c r="P311" s="61" t="s">
        <v>33</v>
      </c>
      <c r="Q311" s="62"/>
      <c r="R311" s="46"/>
      <c r="S311" s="2" t="str">
        <f t="shared" si="0"/>
        <v>01</v>
      </c>
      <c r="T311" s="2">
        <v>197</v>
      </c>
      <c r="U311" s="48" t="s">
        <v>91</v>
      </c>
      <c r="V311" s="2"/>
      <c r="W311" s="2" t="str">
        <f t="shared" si="3"/>
        <v>02</v>
      </c>
      <c r="X311" s="2"/>
      <c r="Y311" s="3"/>
      <c r="Z311" s="3"/>
      <c r="AA311" s="3"/>
      <c r="AB311" s="3"/>
      <c r="AC311" s="3"/>
      <c r="AD311" s="3"/>
      <c r="AE311" s="3"/>
      <c r="AF311" s="3"/>
      <c r="AG311" s="3"/>
      <c r="AH311" s="3"/>
      <c r="AI311" s="3"/>
      <c r="AJ311" s="3"/>
      <c r="AK311" s="3"/>
      <c r="AL311" s="3"/>
      <c r="AM311" s="3"/>
      <c r="AN311" s="3"/>
      <c r="AO311" s="3"/>
      <c r="AP311" s="3"/>
      <c r="AQ311" s="3"/>
      <c r="AR311" s="3"/>
      <c r="AS311" s="3"/>
      <c r="AT311" s="3"/>
      <c r="AU311" s="3"/>
    </row>
    <row r="312" spans="1:47" ht="14.25" customHeight="1" x14ac:dyDescent="0.3">
      <c r="A312" s="42"/>
      <c r="B312" s="42"/>
      <c r="C312" s="42"/>
      <c r="D312" s="61" t="s">
        <v>33</v>
      </c>
      <c r="E312" s="62"/>
      <c r="F312" s="61"/>
      <c r="G312" s="62"/>
      <c r="H312" s="61"/>
      <c r="I312" s="62"/>
      <c r="J312" s="42"/>
      <c r="K312" s="42"/>
      <c r="L312" s="63">
        <v>0</v>
      </c>
      <c r="M312" s="64"/>
      <c r="N312" s="62"/>
      <c r="O312" s="49" t="str">
        <f t="shared" si="2"/>
        <v>PLAN</v>
      </c>
      <c r="P312" s="61" t="s">
        <v>33</v>
      </c>
      <c r="Q312" s="62"/>
      <c r="R312" s="46"/>
      <c r="S312" s="2" t="str">
        <f t="shared" si="0"/>
        <v>01</v>
      </c>
      <c r="T312" s="2">
        <v>198</v>
      </c>
      <c r="U312" s="48" t="s">
        <v>91</v>
      </c>
      <c r="V312" s="2"/>
      <c r="W312" s="2" t="str">
        <f t="shared" si="3"/>
        <v>02</v>
      </c>
      <c r="X312" s="2"/>
      <c r="Y312" s="3"/>
      <c r="Z312" s="3"/>
      <c r="AA312" s="3"/>
      <c r="AB312" s="3"/>
      <c r="AC312" s="3"/>
      <c r="AD312" s="3"/>
      <c r="AE312" s="3"/>
      <c r="AF312" s="3"/>
      <c r="AG312" s="3"/>
      <c r="AH312" s="3"/>
      <c r="AI312" s="3"/>
      <c r="AJ312" s="3"/>
      <c r="AK312" s="3"/>
      <c r="AL312" s="3"/>
      <c r="AM312" s="3"/>
      <c r="AN312" s="3"/>
      <c r="AO312" s="3"/>
      <c r="AP312" s="3"/>
      <c r="AQ312" s="3"/>
      <c r="AR312" s="3"/>
      <c r="AS312" s="3"/>
      <c r="AT312" s="3"/>
      <c r="AU312" s="3"/>
    </row>
    <row r="313" spans="1:47" ht="14.25" customHeight="1" x14ac:dyDescent="0.3">
      <c r="A313" s="42"/>
      <c r="B313" s="42"/>
      <c r="C313" s="42"/>
      <c r="D313" s="61" t="s">
        <v>33</v>
      </c>
      <c r="E313" s="62"/>
      <c r="F313" s="61"/>
      <c r="G313" s="62"/>
      <c r="H313" s="61"/>
      <c r="I313" s="62"/>
      <c r="J313" s="42"/>
      <c r="K313" s="42"/>
      <c r="L313" s="63">
        <v>0</v>
      </c>
      <c r="M313" s="64"/>
      <c r="N313" s="62"/>
      <c r="O313" s="49" t="str">
        <f t="shared" si="2"/>
        <v>PLAN</v>
      </c>
      <c r="P313" s="61" t="s">
        <v>33</v>
      </c>
      <c r="Q313" s="62"/>
      <c r="R313" s="46"/>
      <c r="S313" s="2" t="str">
        <f t="shared" si="0"/>
        <v>01</v>
      </c>
      <c r="T313" s="2">
        <v>199</v>
      </c>
      <c r="U313" s="48" t="s">
        <v>91</v>
      </c>
      <c r="V313" s="2"/>
      <c r="W313" s="2" t="str">
        <f t="shared" si="3"/>
        <v>02</v>
      </c>
      <c r="X313" s="2"/>
      <c r="Y313" s="3"/>
      <c r="Z313" s="3"/>
      <c r="AA313" s="3"/>
      <c r="AB313" s="3"/>
      <c r="AC313" s="3"/>
      <c r="AD313" s="3"/>
      <c r="AE313" s="3"/>
      <c r="AF313" s="3"/>
      <c r="AG313" s="3"/>
      <c r="AH313" s="3"/>
      <c r="AI313" s="3"/>
      <c r="AJ313" s="3"/>
      <c r="AK313" s="3"/>
      <c r="AL313" s="3"/>
      <c r="AM313" s="3"/>
      <c r="AN313" s="3"/>
      <c r="AO313" s="3"/>
      <c r="AP313" s="3"/>
      <c r="AQ313" s="3"/>
      <c r="AR313" s="3"/>
      <c r="AS313" s="3"/>
      <c r="AT313" s="3"/>
      <c r="AU313" s="3"/>
    </row>
    <row r="314" spans="1:47" ht="14.25" customHeight="1" x14ac:dyDescent="0.3">
      <c r="A314" s="42"/>
      <c r="B314" s="42"/>
      <c r="C314" s="42"/>
      <c r="D314" s="61" t="s">
        <v>33</v>
      </c>
      <c r="E314" s="62"/>
      <c r="F314" s="61"/>
      <c r="G314" s="62"/>
      <c r="H314" s="61"/>
      <c r="I314" s="62"/>
      <c r="J314" s="42"/>
      <c r="K314" s="42"/>
      <c r="L314" s="63">
        <v>0</v>
      </c>
      <c r="M314" s="64"/>
      <c r="N314" s="62"/>
      <c r="O314" s="49" t="str">
        <f t="shared" si="2"/>
        <v>PLAN</v>
      </c>
      <c r="P314" s="61" t="s">
        <v>33</v>
      </c>
      <c r="Q314" s="62"/>
      <c r="R314" s="46"/>
      <c r="S314" s="2" t="str">
        <f t="shared" si="0"/>
        <v>01</v>
      </c>
      <c r="T314" s="2">
        <v>200</v>
      </c>
      <c r="U314" s="48" t="s">
        <v>91</v>
      </c>
      <c r="V314" s="2"/>
      <c r="W314" s="2" t="str">
        <f t="shared" si="3"/>
        <v>02</v>
      </c>
      <c r="X314" s="2"/>
      <c r="Y314" s="3"/>
      <c r="Z314" s="3"/>
      <c r="AA314" s="3"/>
      <c r="AB314" s="3"/>
      <c r="AC314" s="3"/>
      <c r="AD314" s="3"/>
      <c r="AE314" s="3"/>
      <c r="AF314" s="3"/>
      <c r="AG314" s="3"/>
      <c r="AH314" s="3"/>
      <c r="AI314" s="3"/>
      <c r="AJ314" s="3"/>
      <c r="AK314" s="3"/>
      <c r="AL314" s="3"/>
      <c r="AM314" s="3"/>
      <c r="AN314" s="3"/>
      <c r="AO314" s="3"/>
      <c r="AP314" s="3"/>
      <c r="AQ314" s="3"/>
      <c r="AR314" s="3"/>
      <c r="AS314" s="3"/>
      <c r="AT314" s="3"/>
      <c r="AU314" s="3"/>
    </row>
    <row r="315" spans="1:47" ht="14.25" customHeight="1" x14ac:dyDescent="0.3">
      <c r="A315" s="42"/>
      <c r="B315" s="42"/>
      <c r="C315" s="42"/>
      <c r="D315" s="61" t="s">
        <v>33</v>
      </c>
      <c r="E315" s="62"/>
      <c r="F315" s="61"/>
      <c r="G315" s="62"/>
      <c r="H315" s="61"/>
      <c r="I315" s="62"/>
      <c r="J315" s="42"/>
      <c r="K315" s="42"/>
      <c r="L315" s="63">
        <v>0</v>
      </c>
      <c r="M315" s="64"/>
      <c r="N315" s="62"/>
      <c r="O315" s="49" t="str">
        <f t="shared" si="2"/>
        <v>PLAN</v>
      </c>
      <c r="P315" s="61" t="s">
        <v>33</v>
      </c>
      <c r="Q315" s="62"/>
      <c r="R315" s="46"/>
      <c r="S315" s="2" t="str">
        <f t="shared" si="0"/>
        <v>01</v>
      </c>
      <c r="T315" s="2">
        <v>201</v>
      </c>
      <c r="U315" s="48" t="s">
        <v>91</v>
      </c>
      <c r="V315" s="2"/>
      <c r="W315" s="2" t="str">
        <f t="shared" si="3"/>
        <v>02</v>
      </c>
      <c r="X315" s="2"/>
      <c r="Y315" s="3"/>
      <c r="Z315" s="3"/>
      <c r="AA315" s="3"/>
      <c r="AB315" s="3"/>
      <c r="AC315" s="3"/>
      <c r="AD315" s="3"/>
      <c r="AE315" s="3"/>
      <c r="AF315" s="3"/>
      <c r="AG315" s="3"/>
      <c r="AH315" s="3"/>
      <c r="AI315" s="3"/>
      <c r="AJ315" s="3"/>
      <c r="AK315" s="3"/>
      <c r="AL315" s="3"/>
      <c r="AM315" s="3"/>
      <c r="AN315" s="3"/>
      <c r="AO315" s="3"/>
      <c r="AP315" s="3"/>
      <c r="AQ315" s="3"/>
      <c r="AR315" s="3"/>
      <c r="AS315" s="3"/>
      <c r="AT315" s="3"/>
      <c r="AU315" s="3"/>
    </row>
    <row r="316" spans="1:47" ht="14.25" customHeight="1" x14ac:dyDescent="0.3">
      <c r="A316" s="42"/>
      <c r="B316" s="42"/>
      <c r="C316" s="42"/>
      <c r="D316" s="61" t="s">
        <v>33</v>
      </c>
      <c r="E316" s="62"/>
      <c r="F316" s="61"/>
      <c r="G316" s="62"/>
      <c r="H316" s="61"/>
      <c r="I316" s="62"/>
      <c r="J316" s="42"/>
      <c r="K316" s="42"/>
      <c r="L316" s="63">
        <v>0</v>
      </c>
      <c r="M316" s="64"/>
      <c r="N316" s="62"/>
      <c r="O316" s="49" t="str">
        <f t="shared" si="2"/>
        <v>PLAN</v>
      </c>
      <c r="P316" s="61" t="s">
        <v>33</v>
      </c>
      <c r="Q316" s="62"/>
      <c r="R316" s="46"/>
      <c r="S316" s="2" t="str">
        <f t="shared" si="0"/>
        <v>01</v>
      </c>
      <c r="T316" s="2">
        <v>202</v>
      </c>
      <c r="U316" s="48" t="s">
        <v>91</v>
      </c>
      <c r="V316" s="2"/>
      <c r="W316" s="2" t="str">
        <f t="shared" si="3"/>
        <v>02</v>
      </c>
      <c r="X316" s="2"/>
      <c r="Y316" s="3"/>
      <c r="Z316" s="3"/>
      <c r="AA316" s="3"/>
      <c r="AB316" s="3"/>
      <c r="AC316" s="3"/>
      <c r="AD316" s="3"/>
      <c r="AE316" s="3"/>
      <c r="AF316" s="3"/>
      <c r="AG316" s="3"/>
      <c r="AH316" s="3"/>
      <c r="AI316" s="3"/>
      <c r="AJ316" s="3"/>
      <c r="AK316" s="3"/>
      <c r="AL316" s="3"/>
      <c r="AM316" s="3"/>
      <c r="AN316" s="3"/>
      <c r="AO316" s="3"/>
      <c r="AP316" s="3"/>
      <c r="AQ316" s="3"/>
      <c r="AR316" s="3"/>
      <c r="AS316" s="3"/>
      <c r="AT316" s="3"/>
      <c r="AU316" s="3"/>
    </row>
    <row r="317" spans="1:47" ht="14.25" customHeight="1" x14ac:dyDescent="0.3">
      <c r="A317" s="42"/>
      <c r="B317" s="42"/>
      <c r="C317" s="42"/>
      <c r="D317" s="61" t="s">
        <v>33</v>
      </c>
      <c r="E317" s="62"/>
      <c r="F317" s="61"/>
      <c r="G317" s="62"/>
      <c r="H317" s="61"/>
      <c r="I317" s="62"/>
      <c r="J317" s="42"/>
      <c r="K317" s="42"/>
      <c r="L317" s="63">
        <v>0</v>
      </c>
      <c r="M317" s="64"/>
      <c r="N317" s="62"/>
      <c r="O317" s="49" t="str">
        <f t="shared" si="2"/>
        <v>PLAN</v>
      </c>
      <c r="P317" s="61" t="s">
        <v>33</v>
      </c>
      <c r="Q317" s="62"/>
      <c r="R317" s="46"/>
      <c r="S317" s="2" t="str">
        <f t="shared" si="0"/>
        <v>01</v>
      </c>
      <c r="T317" s="2">
        <v>203</v>
      </c>
      <c r="U317" s="48" t="s">
        <v>91</v>
      </c>
      <c r="V317" s="2"/>
      <c r="W317" s="2" t="str">
        <f t="shared" si="3"/>
        <v>02</v>
      </c>
      <c r="X317" s="2"/>
      <c r="Y317" s="3"/>
      <c r="Z317" s="3"/>
      <c r="AA317" s="3"/>
      <c r="AB317" s="3"/>
      <c r="AC317" s="3"/>
      <c r="AD317" s="3"/>
      <c r="AE317" s="3"/>
      <c r="AF317" s="3"/>
      <c r="AG317" s="3"/>
      <c r="AH317" s="3"/>
      <c r="AI317" s="3"/>
      <c r="AJ317" s="3"/>
      <c r="AK317" s="3"/>
      <c r="AL317" s="3"/>
      <c r="AM317" s="3"/>
      <c r="AN317" s="3"/>
      <c r="AO317" s="3"/>
      <c r="AP317" s="3"/>
      <c r="AQ317" s="3"/>
      <c r="AR317" s="3"/>
      <c r="AS317" s="3"/>
      <c r="AT317" s="3"/>
      <c r="AU317" s="3"/>
    </row>
    <row r="318" spans="1:47" ht="14.25" customHeight="1" x14ac:dyDescent="0.3">
      <c r="A318" s="42"/>
      <c r="B318" s="42"/>
      <c r="C318" s="42"/>
      <c r="D318" s="61" t="s">
        <v>33</v>
      </c>
      <c r="E318" s="62"/>
      <c r="F318" s="61"/>
      <c r="G318" s="62"/>
      <c r="H318" s="61"/>
      <c r="I318" s="62"/>
      <c r="J318" s="42"/>
      <c r="K318" s="42"/>
      <c r="L318" s="63">
        <v>0</v>
      </c>
      <c r="M318" s="64"/>
      <c r="N318" s="62"/>
      <c r="O318" s="49" t="str">
        <f t="shared" si="2"/>
        <v>PLAN</v>
      </c>
      <c r="P318" s="61" t="s">
        <v>33</v>
      </c>
      <c r="Q318" s="62"/>
      <c r="R318" s="46"/>
      <c r="S318" s="2" t="str">
        <f t="shared" si="0"/>
        <v>01</v>
      </c>
      <c r="T318" s="2">
        <v>204</v>
      </c>
      <c r="U318" s="48" t="s">
        <v>91</v>
      </c>
      <c r="V318" s="2"/>
      <c r="W318" s="2" t="str">
        <f t="shared" si="3"/>
        <v>02</v>
      </c>
      <c r="X318" s="2"/>
      <c r="Y318" s="3"/>
      <c r="Z318" s="3"/>
      <c r="AA318" s="3"/>
      <c r="AB318" s="3"/>
      <c r="AC318" s="3"/>
      <c r="AD318" s="3"/>
      <c r="AE318" s="3"/>
      <c r="AF318" s="3"/>
      <c r="AG318" s="3"/>
      <c r="AH318" s="3"/>
      <c r="AI318" s="3"/>
      <c r="AJ318" s="3"/>
      <c r="AK318" s="3"/>
      <c r="AL318" s="3"/>
      <c r="AM318" s="3"/>
      <c r="AN318" s="3"/>
      <c r="AO318" s="3"/>
      <c r="AP318" s="3"/>
      <c r="AQ318" s="3"/>
      <c r="AR318" s="3"/>
      <c r="AS318" s="3"/>
      <c r="AT318" s="3"/>
      <c r="AU318" s="3"/>
    </row>
    <row r="319" spans="1:47" ht="14.25" customHeight="1" x14ac:dyDescent="0.3">
      <c r="A319" s="42"/>
      <c r="B319" s="42"/>
      <c r="C319" s="42"/>
      <c r="D319" s="61" t="s">
        <v>33</v>
      </c>
      <c r="E319" s="62"/>
      <c r="F319" s="61"/>
      <c r="G319" s="62"/>
      <c r="H319" s="61"/>
      <c r="I319" s="62"/>
      <c r="J319" s="42"/>
      <c r="K319" s="42"/>
      <c r="L319" s="63">
        <v>0</v>
      </c>
      <c r="M319" s="64"/>
      <c r="N319" s="62"/>
      <c r="O319" s="49" t="str">
        <f t="shared" si="2"/>
        <v>PLAN</v>
      </c>
      <c r="P319" s="61" t="s">
        <v>33</v>
      </c>
      <c r="Q319" s="62"/>
      <c r="R319" s="46"/>
      <c r="S319" s="2" t="str">
        <f t="shared" si="0"/>
        <v>01</v>
      </c>
      <c r="T319" s="2">
        <v>205</v>
      </c>
      <c r="U319" s="48" t="s">
        <v>91</v>
      </c>
      <c r="V319" s="2"/>
      <c r="W319" s="2" t="str">
        <f t="shared" si="3"/>
        <v>02</v>
      </c>
      <c r="X319" s="2"/>
      <c r="Y319" s="3"/>
      <c r="Z319" s="3"/>
      <c r="AA319" s="3"/>
      <c r="AB319" s="3"/>
      <c r="AC319" s="3"/>
      <c r="AD319" s="3"/>
      <c r="AE319" s="3"/>
      <c r="AF319" s="3"/>
      <c r="AG319" s="3"/>
      <c r="AH319" s="3"/>
      <c r="AI319" s="3"/>
      <c r="AJ319" s="3"/>
      <c r="AK319" s="3"/>
      <c r="AL319" s="3"/>
      <c r="AM319" s="3"/>
      <c r="AN319" s="3"/>
      <c r="AO319" s="3"/>
      <c r="AP319" s="3"/>
      <c r="AQ319" s="3"/>
      <c r="AR319" s="3"/>
      <c r="AS319" s="3"/>
      <c r="AT319" s="3"/>
      <c r="AU319" s="3"/>
    </row>
    <row r="320" spans="1:47" ht="14.25" customHeight="1" x14ac:dyDescent="0.3">
      <c r="A320" s="42"/>
      <c r="B320" s="42"/>
      <c r="C320" s="42"/>
      <c r="D320" s="61" t="s">
        <v>33</v>
      </c>
      <c r="E320" s="62"/>
      <c r="F320" s="61"/>
      <c r="G320" s="62"/>
      <c r="H320" s="61"/>
      <c r="I320" s="62"/>
      <c r="J320" s="42"/>
      <c r="K320" s="42"/>
      <c r="L320" s="63">
        <v>0</v>
      </c>
      <c r="M320" s="64"/>
      <c r="N320" s="62"/>
      <c r="O320" s="49" t="str">
        <f t="shared" si="2"/>
        <v>PLAN</v>
      </c>
      <c r="P320" s="61" t="s">
        <v>33</v>
      </c>
      <c r="Q320" s="62"/>
      <c r="R320" s="46"/>
      <c r="S320" s="2" t="str">
        <f t="shared" si="0"/>
        <v>01</v>
      </c>
      <c r="T320" s="2">
        <v>206</v>
      </c>
      <c r="U320" s="48" t="s">
        <v>91</v>
      </c>
      <c r="V320" s="2"/>
      <c r="W320" s="2" t="str">
        <f t="shared" si="3"/>
        <v>02</v>
      </c>
      <c r="X320" s="2"/>
      <c r="Y320" s="3"/>
      <c r="Z320" s="3"/>
      <c r="AA320" s="3"/>
      <c r="AB320" s="3"/>
      <c r="AC320" s="3"/>
      <c r="AD320" s="3"/>
      <c r="AE320" s="3"/>
      <c r="AF320" s="3"/>
      <c r="AG320" s="3"/>
      <c r="AH320" s="3"/>
      <c r="AI320" s="3"/>
      <c r="AJ320" s="3"/>
      <c r="AK320" s="3"/>
      <c r="AL320" s="3"/>
      <c r="AM320" s="3"/>
      <c r="AN320" s="3"/>
      <c r="AO320" s="3"/>
      <c r="AP320" s="3"/>
      <c r="AQ320" s="3"/>
      <c r="AR320" s="3"/>
      <c r="AS320" s="3"/>
      <c r="AT320" s="3"/>
      <c r="AU320" s="3"/>
    </row>
    <row r="321" spans="1:47" ht="14.25" customHeight="1" x14ac:dyDescent="0.3">
      <c r="A321" s="42"/>
      <c r="B321" s="42"/>
      <c r="C321" s="42"/>
      <c r="D321" s="61" t="s">
        <v>33</v>
      </c>
      <c r="E321" s="62"/>
      <c r="F321" s="61"/>
      <c r="G321" s="62"/>
      <c r="H321" s="61"/>
      <c r="I321" s="62"/>
      <c r="J321" s="42"/>
      <c r="K321" s="42"/>
      <c r="L321" s="63">
        <v>0</v>
      </c>
      <c r="M321" s="64"/>
      <c r="N321" s="62"/>
      <c r="O321" s="49" t="str">
        <f t="shared" si="2"/>
        <v>PLAN</v>
      </c>
      <c r="P321" s="61" t="s">
        <v>33</v>
      </c>
      <c r="Q321" s="62"/>
      <c r="R321" s="46"/>
      <c r="S321" s="2" t="str">
        <f t="shared" si="0"/>
        <v>01</v>
      </c>
      <c r="T321" s="2">
        <v>207</v>
      </c>
      <c r="U321" s="48" t="s">
        <v>91</v>
      </c>
      <c r="V321" s="2"/>
      <c r="W321" s="2" t="str">
        <f t="shared" si="3"/>
        <v>02</v>
      </c>
      <c r="X321" s="2"/>
      <c r="Y321" s="3"/>
      <c r="Z321" s="3"/>
      <c r="AA321" s="3"/>
      <c r="AB321" s="3"/>
      <c r="AC321" s="3"/>
      <c r="AD321" s="3"/>
      <c r="AE321" s="3"/>
      <c r="AF321" s="3"/>
      <c r="AG321" s="3"/>
      <c r="AH321" s="3"/>
      <c r="AI321" s="3"/>
      <c r="AJ321" s="3"/>
      <c r="AK321" s="3"/>
      <c r="AL321" s="3"/>
      <c r="AM321" s="3"/>
      <c r="AN321" s="3"/>
      <c r="AO321" s="3"/>
      <c r="AP321" s="3"/>
      <c r="AQ321" s="3"/>
      <c r="AR321" s="3"/>
      <c r="AS321" s="3"/>
      <c r="AT321" s="3"/>
      <c r="AU321" s="3"/>
    </row>
    <row r="322" spans="1:47" ht="14.25" customHeight="1" x14ac:dyDescent="0.3">
      <c r="A322" s="42"/>
      <c r="B322" s="42"/>
      <c r="C322" s="42"/>
      <c r="D322" s="61" t="s">
        <v>33</v>
      </c>
      <c r="E322" s="62"/>
      <c r="F322" s="61"/>
      <c r="G322" s="62"/>
      <c r="H322" s="61"/>
      <c r="I322" s="62"/>
      <c r="J322" s="42"/>
      <c r="K322" s="42"/>
      <c r="L322" s="63">
        <v>0</v>
      </c>
      <c r="M322" s="64"/>
      <c r="N322" s="62"/>
      <c r="O322" s="49" t="str">
        <f t="shared" si="2"/>
        <v>PLAN</v>
      </c>
      <c r="P322" s="61" t="s">
        <v>33</v>
      </c>
      <c r="Q322" s="62"/>
      <c r="R322" s="46"/>
      <c r="S322" s="2" t="str">
        <f t="shared" si="0"/>
        <v>01</v>
      </c>
      <c r="T322" s="2">
        <v>208</v>
      </c>
      <c r="U322" s="48" t="s">
        <v>91</v>
      </c>
      <c r="V322" s="2"/>
      <c r="W322" s="2" t="str">
        <f t="shared" si="3"/>
        <v>02</v>
      </c>
      <c r="X322" s="2"/>
      <c r="Y322" s="3"/>
      <c r="Z322" s="3"/>
      <c r="AA322" s="3"/>
      <c r="AB322" s="3"/>
      <c r="AC322" s="3"/>
      <c r="AD322" s="3"/>
      <c r="AE322" s="3"/>
      <c r="AF322" s="3"/>
      <c r="AG322" s="3"/>
      <c r="AH322" s="3"/>
      <c r="AI322" s="3"/>
      <c r="AJ322" s="3"/>
      <c r="AK322" s="3"/>
      <c r="AL322" s="3"/>
      <c r="AM322" s="3"/>
      <c r="AN322" s="3"/>
      <c r="AO322" s="3"/>
      <c r="AP322" s="3"/>
      <c r="AQ322" s="3"/>
      <c r="AR322" s="3"/>
      <c r="AS322" s="3"/>
      <c r="AT322" s="3"/>
      <c r="AU322" s="3"/>
    </row>
    <row r="323" spans="1:47" ht="14.25" customHeight="1" x14ac:dyDescent="0.3">
      <c r="A323" s="42"/>
      <c r="B323" s="42"/>
      <c r="C323" s="42"/>
      <c r="D323" s="61" t="s">
        <v>33</v>
      </c>
      <c r="E323" s="62"/>
      <c r="F323" s="61"/>
      <c r="G323" s="62"/>
      <c r="H323" s="61"/>
      <c r="I323" s="62"/>
      <c r="J323" s="42"/>
      <c r="K323" s="42"/>
      <c r="L323" s="63">
        <v>0</v>
      </c>
      <c r="M323" s="64"/>
      <c r="N323" s="62"/>
      <c r="O323" s="49" t="str">
        <f t="shared" si="2"/>
        <v>PLAN</v>
      </c>
      <c r="P323" s="61" t="s">
        <v>33</v>
      </c>
      <c r="Q323" s="62"/>
      <c r="R323" s="46"/>
      <c r="S323" s="2" t="str">
        <f t="shared" si="0"/>
        <v>01</v>
      </c>
      <c r="T323" s="2">
        <v>209</v>
      </c>
      <c r="U323" s="48" t="s">
        <v>91</v>
      </c>
      <c r="V323" s="2"/>
      <c r="W323" s="2" t="str">
        <f t="shared" si="3"/>
        <v>02</v>
      </c>
      <c r="X323" s="2"/>
      <c r="Y323" s="3"/>
      <c r="Z323" s="3"/>
      <c r="AA323" s="3"/>
      <c r="AB323" s="3"/>
      <c r="AC323" s="3"/>
      <c r="AD323" s="3"/>
      <c r="AE323" s="3"/>
      <c r="AF323" s="3"/>
      <c r="AG323" s="3"/>
      <c r="AH323" s="3"/>
      <c r="AI323" s="3"/>
      <c r="AJ323" s="3"/>
      <c r="AK323" s="3"/>
      <c r="AL323" s="3"/>
      <c r="AM323" s="3"/>
      <c r="AN323" s="3"/>
      <c r="AO323" s="3"/>
      <c r="AP323" s="3"/>
      <c r="AQ323" s="3"/>
      <c r="AR323" s="3"/>
      <c r="AS323" s="3"/>
      <c r="AT323" s="3"/>
      <c r="AU323" s="3"/>
    </row>
    <row r="324" spans="1:47" ht="14.25" customHeight="1" x14ac:dyDescent="0.3">
      <c r="A324" s="42"/>
      <c r="B324" s="42"/>
      <c r="C324" s="42"/>
      <c r="D324" s="61" t="s">
        <v>33</v>
      </c>
      <c r="E324" s="62"/>
      <c r="F324" s="61"/>
      <c r="G324" s="62"/>
      <c r="H324" s="61"/>
      <c r="I324" s="62"/>
      <c r="J324" s="42"/>
      <c r="K324" s="42"/>
      <c r="L324" s="63">
        <v>0</v>
      </c>
      <c r="M324" s="64"/>
      <c r="N324" s="62"/>
      <c r="O324" s="49" t="str">
        <f t="shared" si="2"/>
        <v>PLAN</v>
      </c>
      <c r="P324" s="61" t="s">
        <v>33</v>
      </c>
      <c r="Q324" s="62"/>
      <c r="R324" s="46"/>
      <c r="S324" s="2" t="str">
        <f t="shared" si="0"/>
        <v>01</v>
      </c>
      <c r="T324" s="2">
        <v>210</v>
      </c>
      <c r="U324" s="48" t="s">
        <v>91</v>
      </c>
      <c r="V324" s="2"/>
      <c r="W324" s="2" t="str">
        <f t="shared" si="3"/>
        <v>02</v>
      </c>
      <c r="X324" s="2"/>
      <c r="Y324" s="3"/>
      <c r="Z324" s="3"/>
      <c r="AA324" s="3"/>
      <c r="AB324" s="3"/>
      <c r="AC324" s="3"/>
      <c r="AD324" s="3"/>
      <c r="AE324" s="3"/>
      <c r="AF324" s="3"/>
      <c r="AG324" s="3"/>
      <c r="AH324" s="3"/>
      <c r="AI324" s="3"/>
      <c r="AJ324" s="3"/>
      <c r="AK324" s="3"/>
      <c r="AL324" s="3"/>
      <c r="AM324" s="3"/>
      <c r="AN324" s="3"/>
      <c r="AO324" s="3"/>
      <c r="AP324" s="3"/>
      <c r="AQ324" s="3"/>
      <c r="AR324" s="3"/>
      <c r="AS324" s="3"/>
      <c r="AT324" s="3"/>
      <c r="AU324" s="3"/>
    </row>
    <row r="325" spans="1:47" ht="14.25" customHeight="1" x14ac:dyDescent="0.3">
      <c r="A325" s="42"/>
      <c r="B325" s="42"/>
      <c r="C325" s="42"/>
      <c r="D325" s="61" t="s">
        <v>33</v>
      </c>
      <c r="E325" s="62"/>
      <c r="F325" s="61"/>
      <c r="G325" s="62"/>
      <c r="H325" s="61"/>
      <c r="I325" s="62"/>
      <c r="J325" s="42"/>
      <c r="K325" s="42"/>
      <c r="L325" s="63">
        <v>0</v>
      </c>
      <c r="M325" s="64"/>
      <c r="N325" s="62"/>
      <c r="O325" s="49" t="str">
        <f t="shared" si="2"/>
        <v>PLAN</v>
      </c>
      <c r="P325" s="61" t="s">
        <v>33</v>
      </c>
      <c r="Q325" s="62"/>
      <c r="R325" s="46"/>
      <c r="S325" s="2" t="str">
        <f t="shared" si="0"/>
        <v>01</v>
      </c>
      <c r="T325" s="2">
        <v>211</v>
      </c>
      <c r="U325" s="48" t="s">
        <v>91</v>
      </c>
      <c r="V325" s="2"/>
      <c r="W325" s="2" t="str">
        <f t="shared" si="3"/>
        <v>02</v>
      </c>
      <c r="X325" s="2"/>
      <c r="Y325" s="3"/>
      <c r="Z325" s="3"/>
      <c r="AA325" s="3"/>
      <c r="AB325" s="3"/>
      <c r="AC325" s="3"/>
      <c r="AD325" s="3"/>
      <c r="AE325" s="3"/>
      <c r="AF325" s="3"/>
      <c r="AG325" s="3"/>
      <c r="AH325" s="3"/>
      <c r="AI325" s="3"/>
      <c r="AJ325" s="3"/>
      <c r="AK325" s="3"/>
      <c r="AL325" s="3"/>
      <c r="AM325" s="3"/>
      <c r="AN325" s="3"/>
      <c r="AO325" s="3"/>
      <c r="AP325" s="3"/>
      <c r="AQ325" s="3"/>
      <c r="AR325" s="3"/>
      <c r="AS325" s="3"/>
      <c r="AT325" s="3"/>
      <c r="AU325" s="3"/>
    </row>
    <row r="326" spans="1:47" ht="14.25" customHeight="1" x14ac:dyDescent="0.3">
      <c r="A326" s="42"/>
      <c r="B326" s="42"/>
      <c r="C326" s="42"/>
      <c r="D326" s="61" t="s">
        <v>33</v>
      </c>
      <c r="E326" s="62"/>
      <c r="F326" s="61"/>
      <c r="G326" s="62"/>
      <c r="H326" s="61"/>
      <c r="I326" s="62"/>
      <c r="J326" s="42"/>
      <c r="K326" s="42"/>
      <c r="L326" s="63">
        <v>0</v>
      </c>
      <c r="M326" s="64"/>
      <c r="N326" s="62"/>
      <c r="O326" s="49" t="str">
        <f t="shared" si="2"/>
        <v>PLAN</v>
      </c>
      <c r="P326" s="61" t="s">
        <v>33</v>
      </c>
      <c r="Q326" s="62"/>
      <c r="R326" s="46"/>
      <c r="S326" s="2" t="str">
        <f t="shared" si="0"/>
        <v>01</v>
      </c>
      <c r="T326" s="2">
        <v>212</v>
      </c>
      <c r="U326" s="48" t="s">
        <v>91</v>
      </c>
      <c r="V326" s="2"/>
      <c r="W326" s="2" t="str">
        <f t="shared" si="3"/>
        <v>02</v>
      </c>
      <c r="X326" s="2"/>
      <c r="Y326" s="3"/>
      <c r="Z326" s="3"/>
      <c r="AA326" s="3"/>
      <c r="AB326" s="3"/>
      <c r="AC326" s="3"/>
      <c r="AD326" s="3"/>
      <c r="AE326" s="3"/>
      <c r="AF326" s="3"/>
      <c r="AG326" s="3"/>
      <c r="AH326" s="3"/>
      <c r="AI326" s="3"/>
      <c r="AJ326" s="3"/>
      <c r="AK326" s="3"/>
      <c r="AL326" s="3"/>
      <c r="AM326" s="3"/>
      <c r="AN326" s="3"/>
      <c r="AO326" s="3"/>
      <c r="AP326" s="3"/>
      <c r="AQ326" s="3"/>
      <c r="AR326" s="3"/>
      <c r="AS326" s="3"/>
      <c r="AT326" s="3"/>
      <c r="AU326" s="3"/>
    </row>
    <row r="327" spans="1:47" ht="14.25" customHeight="1" x14ac:dyDescent="0.3">
      <c r="A327" s="42"/>
      <c r="B327" s="42"/>
      <c r="C327" s="42"/>
      <c r="D327" s="61" t="s">
        <v>33</v>
      </c>
      <c r="E327" s="62"/>
      <c r="F327" s="61"/>
      <c r="G327" s="62"/>
      <c r="H327" s="61"/>
      <c r="I327" s="62"/>
      <c r="J327" s="42"/>
      <c r="K327" s="42"/>
      <c r="L327" s="63">
        <v>0</v>
      </c>
      <c r="M327" s="64"/>
      <c r="N327" s="62"/>
      <c r="O327" s="49" t="str">
        <f t="shared" si="2"/>
        <v>PLAN</v>
      </c>
      <c r="P327" s="61" t="s">
        <v>33</v>
      </c>
      <c r="Q327" s="62"/>
      <c r="R327" s="46"/>
      <c r="S327" s="2" t="str">
        <f t="shared" si="0"/>
        <v>01</v>
      </c>
      <c r="T327" s="2">
        <v>213</v>
      </c>
      <c r="U327" s="48" t="s">
        <v>91</v>
      </c>
      <c r="V327" s="2"/>
      <c r="W327" s="2" t="str">
        <f t="shared" si="3"/>
        <v>02</v>
      </c>
      <c r="X327" s="2"/>
      <c r="Y327" s="3"/>
      <c r="Z327" s="3"/>
      <c r="AA327" s="3"/>
      <c r="AB327" s="3"/>
      <c r="AC327" s="3"/>
      <c r="AD327" s="3"/>
      <c r="AE327" s="3"/>
      <c r="AF327" s="3"/>
      <c r="AG327" s="3"/>
      <c r="AH327" s="3"/>
      <c r="AI327" s="3"/>
      <c r="AJ327" s="3"/>
      <c r="AK327" s="3"/>
      <c r="AL327" s="3"/>
      <c r="AM327" s="3"/>
      <c r="AN327" s="3"/>
      <c r="AO327" s="3"/>
      <c r="AP327" s="3"/>
      <c r="AQ327" s="3"/>
      <c r="AR327" s="3"/>
      <c r="AS327" s="3"/>
      <c r="AT327" s="3"/>
      <c r="AU327" s="3"/>
    </row>
    <row r="328" spans="1:47" ht="14.25" customHeight="1" x14ac:dyDescent="0.3">
      <c r="A328" s="42"/>
      <c r="B328" s="42"/>
      <c r="C328" s="42"/>
      <c r="D328" s="61" t="s">
        <v>33</v>
      </c>
      <c r="E328" s="62"/>
      <c r="F328" s="61"/>
      <c r="G328" s="62"/>
      <c r="H328" s="61"/>
      <c r="I328" s="62"/>
      <c r="J328" s="42"/>
      <c r="K328" s="42"/>
      <c r="L328" s="63">
        <v>0</v>
      </c>
      <c r="M328" s="64"/>
      <c r="N328" s="62"/>
      <c r="O328" s="49" t="str">
        <f t="shared" si="2"/>
        <v>PLAN</v>
      </c>
      <c r="P328" s="61" t="s">
        <v>33</v>
      </c>
      <c r="Q328" s="62"/>
      <c r="R328" s="46"/>
      <c r="S328" s="2" t="str">
        <f t="shared" si="0"/>
        <v>01</v>
      </c>
      <c r="T328" s="2">
        <v>214</v>
      </c>
      <c r="U328" s="48" t="s">
        <v>91</v>
      </c>
      <c r="V328" s="2"/>
      <c r="W328" s="2" t="str">
        <f t="shared" si="3"/>
        <v>02</v>
      </c>
      <c r="X328" s="2"/>
      <c r="Y328" s="3"/>
      <c r="Z328" s="3"/>
      <c r="AA328" s="3"/>
      <c r="AB328" s="3"/>
      <c r="AC328" s="3"/>
      <c r="AD328" s="3"/>
      <c r="AE328" s="3"/>
      <c r="AF328" s="3"/>
      <c r="AG328" s="3"/>
      <c r="AH328" s="3"/>
      <c r="AI328" s="3"/>
      <c r="AJ328" s="3"/>
      <c r="AK328" s="3"/>
      <c r="AL328" s="3"/>
      <c r="AM328" s="3"/>
      <c r="AN328" s="3"/>
      <c r="AO328" s="3"/>
      <c r="AP328" s="3"/>
      <c r="AQ328" s="3"/>
      <c r="AR328" s="3"/>
      <c r="AS328" s="3"/>
      <c r="AT328" s="3"/>
      <c r="AU328" s="3"/>
    </row>
    <row r="329" spans="1:47" ht="14.25" customHeight="1" x14ac:dyDescent="0.3">
      <c r="A329" s="42"/>
      <c r="B329" s="42"/>
      <c r="C329" s="42"/>
      <c r="D329" s="61" t="s">
        <v>33</v>
      </c>
      <c r="E329" s="62"/>
      <c r="F329" s="61"/>
      <c r="G329" s="62"/>
      <c r="H329" s="61"/>
      <c r="I329" s="62"/>
      <c r="J329" s="42"/>
      <c r="K329" s="42"/>
      <c r="L329" s="63">
        <v>0</v>
      </c>
      <c r="M329" s="64"/>
      <c r="N329" s="62"/>
      <c r="O329" s="49" t="str">
        <f t="shared" si="2"/>
        <v>PLAN</v>
      </c>
      <c r="P329" s="61" t="s">
        <v>33</v>
      </c>
      <c r="Q329" s="62"/>
      <c r="R329" s="46"/>
      <c r="S329" s="2" t="str">
        <f t="shared" si="0"/>
        <v>01</v>
      </c>
      <c r="T329" s="2">
        <v>215</v>
      </c>
      <c r="U329" s="48" t="s">
        <v>91</v>
      </c>
      <c r="V329" s="2"/>
      <c r="W329" s="2" t="str">
        <f t="shared" si="3"/>
        <v>02</v>
      </c>
      <c r="X329" s="2"/>
      <c r="Y329" s="3"/>
      <c r="Z329" s="3"/>
      <c r="AA329" s="3"/>
      <c r="AB329" s="3"/>
      <c r="AC329" s="3"/>
      <c r="AD329" s="3"/>
      <c r="AE329" s="3"/>
      <c r="AF329" s="3"/>
      <c r="AG329" s="3"/>
      <c r="AH329" s="3"/>
      <c r="AI329" s="3"/>
      <c r="AJ329" s="3"/>
      <c r="AK329" s="3"/>
      <c r="AL329" s="3"/>
      <c r="AM329" s="3"/>
      <c r="AN329" s="3"/>
      <c r="AO329" s="3"/>
      <c r="AP329" s="3"/>
      <c r="AQ329" s="3"/>
      <c r="AR329" s="3"/>
      <c r="AS329" s="3"/>
      <c r="AT329" s="3"/>
      <c r="AU329" s="3"/>
    </row>
    <row r="330" spans="1:47" ht="14.25" customHeight="1" x14ac:dyDescent="0.3">
      <c r="A330" s="42"/>
      <c r="B330" s="42"/>
      <c r="C330" s="42"/>
      <c r="D330" s="61" t="s">
        <v>33</v>
      </c>
      <c r="E330" s="62"/>
      <c r="F330" s="61"/>
      <c r="G330" s="62"/>
      <c r="H330" s="61"/>
      <c r="I330" s="62"/>
      <c r="J330" s="42"/>
      <c r="K330" s="42"/>
      <c r="L330" s="63">
        <v>0</v>
      </c>
      <c r="M330" s="64"/>
      <c r="N330" s="62"/>
      <c r="O330" s="49" t="str">
        <f t="shared" si="2"/>
        <v>PLAN</v>
      </c>
      <c r="P330" s="61" t="s">
        <v>33</v>
      </c>
      <c r="Q330" s="62"/>
      <c r="R330" s="46"/>
      <c r="S330" s="2" t="str">
        <f t="shared" si="0"/>
        <v>01</v>
      </c>
      <c r="T330" s="2">
        <v>216</v>
      </c>
      <c r="U330" s="48" t="s">
        <v>91</v>
      </c>
      <c r="V330" s="2"/>
      <c r="W330" s="2" t="str">
        <f t="shared" si="3"/>
        <v>02</v>
      </c>
      <c r="X330" s="2"/>
      <c r="Y330" s="3"/>
      <c r="Z330" s="3"/>
      <c r="AA330" s="3"/>
      <c r="AB330" s="3"/>
      <c r="AC330" s="3"/>
      <c r="AD330" s="3"/>
      <c r="AE330" s="3"/>
      <c r="AF330" s="3"/>
      <c r="AG330" s="3"/>
      <c r="AH330" s="3"/>
      <c r="AI330" s="3"/>
      <c r="AJ330" s="3"/>
      <c r="AK330" s="3"/>
      <c r="AL330" s="3"/>
      <c r="AM330" s="3"/>
      <c r="AN330" s="3"/>
      <c r="AO330" s="3"/>
      <c r="AP330" s="3"/>
      <c r="AQ330" s="3"/>
      <c r="AR330" s="3"/>
      <c r="AS330" s="3"/>
      <c r="AT330" s="3"/>
      <c r="AU330" s="3"/>
    </row>
    <row r="331" spans="1:47" ht="14.25" customHeight="1" x14ac:dyDescent="0.3">
      <c r="A331" s="42"/>
      <c r="B331" s="42"/>
      <c r="C331" s="42"/>
      <c r="D331" s="61" t="s">
        <v>33</v>
      </c>
      <c r="E331" s="62"/>
      <c r="F331" s="61"/>
      <c r="G331" s="62"/>
      <c r="H331" s="61"/>
      <c r="I331" s="62"/>
      <c r="J331" s="42"/>
      <c r="K331" s="42"/>
      <c r="L331" s="63">
        <v>0</v>
      </c>
      <c r="M331" s="64"/>
      <c r="N331" s="62"/>
      <c r="O331" s="49" t="str">
        <f t="shared" si="2"/>
        <v>PLAN</v>
      </c>
      <c r="P331" s="61" t="s">
        <v>33</v>
      </c>
      <c r="Q331" s="62"/>
      <c r="R331" s="46"/>
      <c r="S331" s="2" t="str">
        <f t="shared" si="0"/>
        <v>01</v>
      </c>
      <c r="T331" s="2">
        <v>217</v>
      </c>
      <c r="U331" s="48" t="s">
        <v>91</v>
      </c>
      <c r="V331" s="2"/>
      <c r="W331" s="2" t="str">
        <f t="shared" si="3"/>
        <v>02</v>
      </c>
      <c r="X331" s="2"/>
      <c r="Y331" s="3"/>
      <c r="Z331" s="3"/>
      <c r="AA331" s="3"/>
      <c r="AB331" s="3"/>
      <c r="AC331" s="3"/>
      <c r="AD331" s="3"/>
      <c r="AE331" s="3"/>
      <c r="AF331" s="3"/>
      <c r="AG331" s="3"/>
      <c r="AH331" s="3"/>
      <c r="AI331" s="3"/>
      <c r="AJ331" s="3"/>
      <c r="AK331" s="3"/>
      <c r="AL331" s="3"/>
      <c r="AM331" s="3"/>
      <c r="AN331" s="3"/>
      <c r="AO331" s="3"/>
      <c r="AP331" s="3"/>
      <c r="AQ331" s="3"/>
      <c r="AR331" s="3"/>
      <c r="AS331" s="3"/>
      <c r="AT331" s="3"/>
      <c r="AU331" s="3"/>
    </row>
    <row r="332" spans="1:47" ht="14.25" customHeight="1" x14ac:dyDescent="0.3">
      <c r="A332" s="42"/>
      <c r="B332" s="42"/>
      <c r="C332" s="42"/>
      <c r="D332" s="61" t="s">
        <v>33</v>
      </c>
      <c r="E332" s="62"/>
      <c r="F332" s="61"/>
      <c r="G332" s="62"/>
      <c r="H332" s="61"/>
      <c r="I332" s="62"/>
      <c r="J332" s="42"/>
      <c r="K332" s="42"/>
      <c r="L332" s="63">
        <v>0</v>
      </c>
      <c r="M332" s="64"/>
      <c r="N332" s="62"/>
      <c r="O332" s="49" t="str">
        <f t="shared" si="2"/>
        <v>PLAN</v>
      </c>
      <c r="P332" s="61" t="s">
        <v>33</v>
      </c>
      <c r="Q332" s="62"/>
      <c r="R332" s="46"/>
      <c r="S332" s="2" t="str">
        <f t="shared" si="0"/>
        <v>01</v>
      </c>
      <c r="T332" s="2">
        <v>218</v>
      </c>
      <c r="U332" s="48" t="s">
        <v>91</v>
      </c>
      <c r="V332" s="2"/>
      <c r="W332" s="2" t="str">
        <f t="shared" si="3"/>
        <v>02</v>
      </c>
      <c r="X332" s="2"/>
      <c r="Y332" s="3"/>
      <c r="Z332" s="3"/>
      <c r="AA332" s="3"/>
      <c r="AB332" s="3"/>
      <c r="AC332" s="3"/>
      <c r="AD332" s="3"/>
      <c r="AE332" s="3"/>
      <c r="AF332" s="3"/>
      <c r="AG332" s="3"/>
      <c r="AH332" s="3"/>
      <c r="AI332" s="3"/>
      <c r="AJ332" s="3"/>
      <c r="AK332" s="3"/>
      <c r="AL332" s="3"/>
      <c r="AM332" s="3"/>
      <c r="AN332" s="3"/>
      <c r="AO332" s="3"/>
      <c r="AP332" s="3"/>
      <c r="AQ332" s="3"/>
      <c r="AR332" s="3"/>
      <c r="AS332" s="3"/>
      <c r="AT332" s="3"/>
      <c r="AU332" s="3"/>
    </row>
    <row r="333" spans="1:47" ht="14.25" customHeight="1" x14ac:dyDescent="0.3">
      <c r="A333" s="42"/>
      <c r="B333" s="42"/>
      <c r="C333" s="42"/>
      <c r="D333" s="61" t="s">
        <v>33</v>
      </c>
      <c r="E333" s="62"/>
      <c r="F333" s="61"/>
      <c r="G333" s="62"/>
      <c r="H333" s="61"/>
      <c r="I333" s="62"/>
      <c r="J333" s="42"/>
      <c r="K333" s="42"/>
      <c r="L333" s="63">
        <v>0</v>
      </c>
      <c r="M333" s="64"/>
      <c r="N333" s="62"/>
      <c r="O333" s="49" t="str">
        <f t="shared" si="2"/>
        <v>PLAN</v>
      </c>
      <c r="P333" s="61" t="s">
        <v>33</v>
      </c>
      <c r="Q333" s="62"/>
      <c r="R333" s="46"/>
      <c r="S333" s="2" t="str">
        <f t="shared" si="0"/>
        <v>01</v>
      </c>
      <c r="T333" s="2">
        <v>219</v>
      </c>
      <c r="U333" s="48" t="s">
        <v>91</v>
      </c>
      <c r="V333" s="2"/>
      <c r="W333" s="2" t="str">
        <f t="shared" si="3"/>
        <v>02</v>
      </c>
      <c r="X333" s="2"/>
      <c r="Y333" s="3"/>
      <c r="Z333" s="3"/>
      <c r="AA333" s="3"/>
      <c r="AB333" s="3"/>
      <c r="AC333" s="3"/>
      <c r="AD333" s="3"/>
      <c r="AE333" s="3"/>
      <c r="AF333" s="3"/>
      <c r="AG333" s="3"/>
      <c r="AH333" s="3"/>
      <c r="AI333" s="3"/>
      <c r="AJ333" s="3"/>
      <c r="AK333" s="3"/>
      <c r="AL333" s="3"/>
      <c r="AM333" s="3"/>
      <c r="AN333" s="3"/>
      <c r="AO333" s="3"/>
      <c r="AP333" s="3"/>
      <c r="AQ333" s="3"/>
      <c r="AR333" s="3"/>
      <c r="AS333" s="3"/>
      <c r="AT333" s="3"/>
      <c r="AU333" s="3"/>
    </row>
    <row r="334" spans="1:47" ht="14.25" customHeight="1" x14ac:dyDescent="0.3">
      <c r="A334" s="42"/>
      <c r="B334" s="42"/>
      <c r="C334" s="42"/>
      <c r="D334" s="61" t="s">
        <v>33</v>
      </c>
      <c r="E334" s="62"/>
      <c r="F334" s="61"/>
      <c r="G334" s="62"/>
      <c r="H334" s="61"/>
      <c r="I334" s="62"/>
      <c r="J334" s="42"/>
      <c r="K334" s="42"/>
      <c r="L334" s="63">
        <v>0</v>
      </c>
      <c r="M334" s="64"/>
      <c r="N334" s="62"/>
      <c r="O334" s="49" t="str">
        <f t="shared" si="2"/>
        <v>PLAN</v>
      </c>
      <c r="P334" s="61" t="s">
        <v>33</v>
      </c>
      <c r="Q334" s="62"/>
      <c r="R334" s="46"/>
      <c r="S334" s="2" t="str">
        <f t="shared" si="0"/>
        <v>01</v>
      </c>
      <c r="T334" s="2">
        <v>220</v>
      </c>
      <c r="U334" s="48" t="s">
        <v>91</v>
      </c>
      <c r="V334" s="2"/>
      <c r="W334" s="2" t="str">
        <f t="shared" si="3"/>
        <v>02</v>
      </c>
      <c r="X334" s="2"/>
      <c r="Y334" s="3"/>
      <c r="Z334" s="3"/>
      <c r="AA334" s="3"/>
      <c r="AB334" s="3"/>
      <c r="AC334" s="3"/>
      <c r="AD334" s="3"/>
      <c r="AE334" s="3"/>
      <c r="AF334" s="3"/>
      <c r="AG334" s="3"/>
      <c r="AH334" s="3"/>
      <c r="AI334" s="3"/>
      <c r="AJ334" s="3"/>
      <c r="AK334" s="3"/>
      <c r="AL334" s="3"/>
      <c r="AM334" s="3"/>
      <c r="AN334" s="3"/>
      <c r="AO334" s="3"/>
      <c r="AP334" s="3"/>
      <c r="AQ334" s="3"/>
      <c r="AR334" s="3"/>
      <c r="AS334" s="3"/>
      <c r="AT334" s="3"/>
      <c r="AU334" s="3"/>
    </row>
    <row r="335" spans="1:47" ht="14.25" customHeight="1" x14ac:dyDescent="0.3">
      <c r="A335" s="42"/>
      <c r="B335" s="42"/>
      <c r="C335" s="42"/>
      <c r="D335" s="61" t="s">
        <v>33</v>
      </c>
      <c r="E335" s="62"/>
      <c r="F335" s="61"/>
      <c r="G335" s="62"/>
      <c r="H335" s="61"/>
      <c r="I335" s="62"/>
      <c r="J335" s="42"/>
      <c r="K335" s="42"/>
      <c r="L335" s="63">
        <v>0</v>
      </c>
      <c r="M335" s="64"/>
      <c r="N335" s="62"/>
      <c r="O335" s="49" t="str">
        <f t="shared" si="2"/>
        <v>PLAN</v>
      </c>
      <c r="P335" s="61" t="s">
        <v>33</v>
      </c>
      <c r="Q335" s="62"/>
      <c r="R335" s="46"/>
      <c r="S335" s="2" t="str">
        <f t="shared" si="0"/>
        <v>01</v>
      </c>
      <c r="T335" s="2">
        <v>221</v>
      </c>
      <c r="U335" s="48" t="s">
        <v>91</v>
      </c>
      <c r="V335" s="2"/>
      <c r="W335" s="2" t="str">
        <f t="shared" si="3"/>
        <v>02</v>
      </c>
      <c r="X335" s="2"/>
      <c r="Y335" s="3"/>
      <c r="Z335" s="3"/>
      <c r="AA335" s="3"/>
      <c r="AB335" s="3"/>
      <c r="AC335" s="3"/>
      <c r="AD335" s="3"/>
      <c r="AE335" s="3"/>
      <c r="AF335" s="3"/>
      <c r="AG335" s="3"/>
      <c r="AH335" s="3"/>
      <c r="AI335" s="3"/>
      <c r="AJ335" s="3"/>
      <c r="AK335" s="3"/>
      <c r="AL335" s="3"/>
      <c r="AM335" s="3"/>
      <c r="AN335" s="3"/>
      <c r="AO335" s="3"/>
      <c r="AP335" s="3"/>
      <c r="AQ335" s="3"/>
      <c r="AR335" s="3"/>
      <c r="AS335" s="3"/>
      <c r="AT335" s="3"/>
      <c r="AU335" s="3"/>
    </row>
    <row r="336" spans="1:47" ht="14.25" customHeight="1" x14ac:dyDescent="0.3">
      <c r="A336" s="42"/>
      <c r="B336" s="42"/>
      <c r="C336" s="42"/>
      <c r="D336" s="61" t="s">
        <v>33</v>
      </c>
      <c r="E336" s="62"/>
      <c r="F336" s="61"/>
      <c r="G336" s="62"/>
      <c r="H336" s="61"/>
      <c r="I336" s="62"/>
      <c r="J336" s="42"/>
      <c r="K336" s="42"/>
      <c r="L336" s="63">
        <v>0</v>
      </c>
      <c r="M336" s="64"/>
      <c r="N336" s="62"/>
      <c r="O336" s="49" t="str">
        <f t="shared" si="2"/>
        <v>PLAN</v>
      </c>
      <c r="P336" s="61" t="s">
        <v>33</v>
      </c>
      <c r="Q336" s="62"/>
      <c r="R336" s="46"/>
      <c r="S336" s="2" t="str">
        <f t="shared" si="0"/>
        <v>01</v>
      </c>
      <c r="T336" s="2">
        <v>222</v>
      </c>
      <c r="U336" s="48" t="s">
        <v>91</v>
      </c>
      <c r="V336" s="2"/>
      <c r="W336" s="2" t="str">
        <f t="shared" si="3"/>
        <v>02</v>
      </c>
      <c r="X336" s="2"/>
      <c r="Y336" s="3"/>
      <c r="Z336" s="3"/>
      <c r="AA336" s="3"/>
      <c r="AB336" s="3"/>
      <c r="AC336" s="3"/>
      <c r="AD336" s="3"/>
      <c r="AE336" s="3"/>
      <c r="AF336" s="3"/>
      <c r="AG336" s="3"/>
      <c r="AH336" s="3"/>
      <c r="AI336" s="3"/>
      <c r="AJ336" s="3"/>
      <c r="AK336" s="3"/>
      <c r="AL336" s="3"/>
      <c r="AM336" s="3"/>
      <c r="AN336" s="3"/>
      <c r="AO336" s="3"/>
      <c r="AP336" s="3"/>
      <c r="AQ336" s="3"/>
      <c r="AR336" s="3"/>
      <c r="AS336" s="3"/>
      <c r="AT336" s="3"/>
      <c r="AU336" s="3"/>
    </row>
    <row r="337" spans="1:47" ht="14.25" customHeight="1" x14ac:dyDescent="0.3">
      <c r="A337" s="42"/>
      <c r="B337" s="42"/>
      <c r="C337" s="42"/>
      <c r="D337" s="61" t="s">
        <v>33</v>
      </c>
      <c r="E337" s="62"/>
      <c r="F337" s="61"/>
      <c r="G337" s="62"/>
      <c r="H337" s="61"/>
      <c r="I337" s="62"/>
      <c r="J337" s="42"/>
      <c r="K337" s="42"/>
      <c r="L337" s="63">
        <v>0</v>
      </c>
      <c r="M337" s="64"/>
      <c r="N337" s="62"/>
      <c r="O337" s="49" t="str">
        <f t="shared" si="2"/>
        <v>PLAN</v>
      </c>
      <c r="P337" s="61" t="s">
        <v>33</v>
      </c>
      <c r="Q337" s="62"/>
      <c r="R337" s="46"/>
      <c r="S337" s="2" t="str">
        <f t="shared" si="0"/>
        <v>01</v>
      </c>
      <c r="T337" s="2">
        <v>223</v>
      </c>
      <c r="U337" s="48" t="s">
        <v>91</v>
      </c>
      <c r="V337" s="2"/>
      <c r="W337" s="2" t="str">
        <f t="shared" si="3"/>
        <v>02</v>
      </c>
      <c r="X337" s="2"/>
      <c r="Y337" s="3"/>
      <c r="Z337" s="3"/>
      <c r="AA337" s="3"/>
      <c r="AB337" s="3"/>
      <c r="AC337" s="3"/>
      <c r="AD337" s="3"/>
      <c r="AE337" s="3"/>
      <c r="AF337" s="3"/>
      <c r="AG337" s="3"/>
      <c r="AH337" s="3"/>
      <c r="AI337" s="3"/>
      <c r="AJ337" s="3"/>
      <c r="AK337" s="3"/>
      <c r="AL337" s="3"/>
      <c r="AM337" s="3"/>
      <c r="AN337" s="3"/>
      <c r="AO337" s="3"/>
      <c r="AP337" s="3"/>
      <c r="AQ337" s="3"/>
      <c r="AR337" s="3"/>
      <c r="AS337" s="3"/>
      <c r="AT337" s="3"/>
      <c r="AU337" s="3"/>
    </row>
    <row r="338" spans="1:47" ht="14.25" customHeight="1" x14ac:dyDescent="0.3">
      <c r="A338" s="42"/>
      <c r="B338" s="42"/>
      <c r="C338" s="42"/>
      <c r="D338" s="61" t="s">
        <v>33</v>
      </c>
      <c r="E338" s="62"/>
      <c r="F338" s="61"/>
      <c r="G338" s="62"/>
      <c r="H338" s="61"/>
      <c r="I338" s="62"/>
      <c r="J338" s="42"/>
      <c r="K338" s="42"/>
      <c r="L338" s="63">
        <v>0</v>
      </c>
      <c r="M338" s="64"/>
      <c r="N338" s="62"/>
      <c r="O338" s="49" t="str">
        <f t="shared" si="2"/>
        <v>PLAN</v>
      </c>
      <c r="P338" s="61" t="s">
        <v>33</v>
      </c>
      <c r="Q338" s="62"/>
      <c r="R338" s="46"/>
      <c r="S338" s="2" t="str">
        <f t="shared" si="0"/>
        <v>01</v>
      </c>
      <c r="T338" s="2">
        <v>224</v>
      </c>
      <c r="U338" s="48" t="s">
        <v>91</v>
      </c>
      <c r="V338" s="2"/>
      <c r="W338" s="2" t="str">
        <f t="shared" si="3"/>
        <v>02</v>
      </c>
      <c r="X338" s="2"/>
      <c r="Y338" s="3"/>
      <c r="Z338" s="3"/>
      <c r="AA338" s="3"/>
      <c r="AB338" s="3"/>
      <c r="AC338" s="3"/>
      <c r="AD338" s="3"/>
      <c r="AE338" s="3"/>
      <c r="AF338" s="3"/>
      <c r="AG338" s="3"/>
      <c r="AH338" s="3"/>
      <c r="AI338" s="3"/>
      <c r="AJ338" s="3"/>
      <c r="AK338" s="3"/>
      <c r="AL338" s="3"/>
      <c r="AM338" s="3"/>
      <c r="AN338" s="3"/>
      <c r="AO338" s="3"/>
      <c r="AP338" s="3"/>
      <c r="AQ338" s="3"/>
      <c r="AR338" s="3"/>
      <c r="AS338" s="3"/>
      <c r="AT338" s="3"/>
      <c r="AU338" s="3"/>
    </row>
    <row r="339" spans="1:47" ht="14.25" customHeight="1" x14ac:dyDescent="0.3">
      <c r="A339" s="42"/>
      <c r="B339" s="42"/>
      <c r="C339" s="42"/>
      <c r="D339" s="61" t="s">
        <v>33</v>
      </c>
      <c r="E339" s="62"/>
      <c r="F339" s="61"/>
      <c r="G339" s="62"/>
      <c r="H339" s="61"/>
      <c r="I339" s="62"/>
      <c r="J339" s="42"/>
      <c r="K339" s="42"/>
      <c r="L339" s="63">
        <v>0</v>
      </c>
      <c r="M339" s="64"/>
      <c r="N339" s="62"/>
      <c r="O339" s="49" t="str">
        <f t="shared" si="2"/>
        <v>PLAN</v>
      </c>
      <c r="P339" s="61" t="s">
        <v>33</v>
      </c>
      <c r="Q339" s="62"/>
      <c r="R339" s="46"/>
      <c r="S339" s="2" t="str">
        <f t="shared" si="0"/>
        <v>01</v>
      </c>
      <c r="T339" s="2">
        <v>225</v>
      </c>
      <c r="U339" s="48" t="s">
        <v>91</v>
      </c>
      <c r="V339" s="2"/>
      <c r="W339" s="2" t="str">
        <f t="shared" si="3"/>
        <v>02</v>
      </c>
      <c r="X339" s="2"/>
      <c r="Y339" s="3"/>
      <c r="Z339" s="3"/>
      <c r="AA339" s="3"/>
      <c r="AB339" s="3"/>
      <c r="AC339" s="3"/>
      <c r="AD339" s="3"/>
      <c r="AE339" s="3"/>
      <c r="AF339" s="3"/>
      <c r="AG339" s="3"/>
      <c r="AH339" s="3"/>
      <c r="AI339" s="3"/>
      <c r="AJ339" s="3"/>
      <c r="AK339" s="3"/>
      <c r="AL339" s="3"/>
      <c r="AM339" s="3"/>
      <c r="AN339" s="3"/>
      <c r="AO339" s="3"/>
      <c r="AP339" s="3"/>
      <c r="AQ339" s="3"/>
      <c r="AR339" s="3"/>
      <c r="AS339" s="3"/>
      <c r="AT339" s="3"/>
      <c r="AU339" s="3"/>
    </row>
    <row r="340" spans="1:47" ht="14.25" customHeight="1" x14ac:dyDescent="0.3">
      <c r="A340" s="42"/>
      <c r="B340" s="42"/>
      <c r="C340" s="42"/>
      <c r="D340" s="61" t="s">
        <v>33</v>
      </c>
      <c r="E340" s="62"/>
      <c r="F340" s="61"/>
      <c r="G340" s="62"/>
      <c r="H340" s="61"/>
      <c r="I340" s="62"/>
      <c r="J340" s="42"/>
      <c r="K340" s="42"/>
      <c r="L340" s="63">
        <v>0</v>
      </c>
      <c r="M340" s="64"/>
      <c r="N340" s="62"/>
      <c r="O340" s="49" t="str">
        <f t="shared" si="2"/>
        <v>PLAN</v>
      </c>
      <c r="P340" s="61" t="s">
        <v>33</v>
      </c>
      <c r="Q340" s="62"/>
      <c r="R340" s="46"/>
      <c r="S340" s="2" t="str">
        <f t="shared" si="0"/>
        <v>01</v>
      </c>
      <c r="T340" s="2">
        <v>226</v>
      </c>
      <c r="U340" s="48" t="s">
        <v>91</v>
      </c>
      <c r="V340" s="2"/>
      <c r="W340" s="2" t="str">
        <f t="shared" si="3"/>
        <v>02</v>
      </c>
      <c r="X340" s="2"/>
      <c r="Y340" s="3"/>
      <c r="Z340" s="3"/>
      <c r="AA340" s="3"/>
      <c r="AB340" s="3"/>
      <c r="AC340" s="3"/>
      <c r="AD340" s="3"/>
      <c r="AE340" s="3"/>
      <c r="AF340" s="3"/>
      <c r="AG340" s="3"/>
      <c r="AH340" s="3"/>
      <c r="AI340" s="3"/>
      <c r="AJ340" s="3"/>
      <c r="AK340" s="3"/>
      <c r="AL340" s="3"/>
      <c r="AM340" s="3"/>
      <c r="AN340" s="3"/>
      <c r="AO340" s="3"/>
      <c r="AP340" s="3"/>
      <c r="AQ340" s="3"/>
      <c r="AR340" s="3"/>
      <c r="AS340" s="3"/>
      <c r="AT340" s="3"/>
      <c r="AU340" s="3"/>
    </row>
    <row r="341" spans="1:47" ht="14.25" customHeight="1" x14ac:dyDescent="0.3">
      <c r="A341" s="42"/>
      <c r="B341" s="42"/>
      <c r="C341" s="42"/>
      <c r="D341" s="61" t="s">
        <v>33</v>
      </c>
      <c r="E341" s="62"/>
      <c r="F341" s="61"/>
      <c r="G341" s="62"/>
      <c r="H341" s="61"/>
      <c r="I341" s="62"/>
      <c r="J341" s="42"/>
      <c r="K341" s="42"/>
      <c r="L341" s="63">
        <v>0</v>
      </c>
      <c r="M341" s="64"/>
      <c r="N341" s="62"/>
      <c r="O341" s="49" t="str">
        <f t="shared" si="2"/>
        <v>PLAN</v>
      </c>
      <c r="P341" s="61" t="s">
        <v>33</v>
      </c>
      <c r="Q341" s="62"/>
      <c r="R341" s="46"/>
      <c r="S341" s="2" t="str">
        <f t="shared" si="0"/>
        <v>01</v>
      </c>
      <c r="T341" s="2">
        <v>227</v>
      </c>
      <c r="U341" s="48" t="s">
        <v>91</v>
      </c>
      <c r="V341" s="2"/>
      <c r="W341" s="2" t="str">
        <f t="shared" si="3"/>
        <v>02</v>
      </c>
      <c r="X341" s="2"/>
      <c r="Y341" s="3"/>
      <c r="Z341" s="3"/>
      <c r="AA341" s="3"/>
      <c r="AB341" s="3"/>
      <c r="AC341" s="3"/>
      <c r="AD341" s="3"/>
      <c r="AE341" s="3"/>
      <c r="AF341" s="3"/>
      <c r="AG341" s="3"/>
      <c r="AH341" s="3"/>
      <c r="AI341" s="3"/>
      <c r="AJ341" s="3"/>
      <c r="AK341" s="3"/>
      <c r="AL341" s="3"/>
      <c r="AM341" s="3"/>
      <c r="AN341" s="3"/>
      <c r="AO341" s="3"/>
      <c r="AP341" s="3"/>
      <c r="AQ341" s="3"/>
      <c r="AR341" s="3"/>
      <c r="AS341" s="3"/>
      <c r="AT341" s="3"/>
      <c r="AU341" s="3"/>
    </row>
    <row r="342" spans="1:47" ht="14.25" customHeight="1" x14ac:dyDescent="0.3">
      <c r="A342" s="42"/>
      <c r="B342" s="42"/>
      <c r="C342" s="42"/>
      <c r="D342" s="61" t="s">
        <v>33</v>
      </c>
      <c r="E342" s="62"/>
      <c r="F342" s="61"/>
      <c r="G342" s="62"/>
      <c r="H342" s="61"/>
      <c r="I342" s="62"/>
      <c r="J342" s="42"/>
      <c r="K342" s="42"/>
      <c r="L342" s="63">
        <v>0</v>
      </c>
      <c r="M342" s="64"/>
      <c r="N342" s="62"/>
      <c r="O342" s="49" t="str">
        <f t="shared" si="2"/>
        <v>PLAN</v>
      </c>
      <c r="P342" s="61" t="s">
        <v>33</v>
      </c>
      <c r="Q342" s="62"/>
      <c r="R342" s="46"/>
      <c r="S342" s="2" t="str">
        <f t="shared" si="0"/>
        <v>01</v>
      </c>
      <c r="T342" s="2">
        <v>228</v>
      </c>
      <c r="U342" s="48" t="s">
        <v>91</v>
      </c>
      <c r="V342" s="2"/>
      <c r="W342" s="2" t="str">
        <f t="shared" si="3"/>
        <v>02</v>
      </c>
      <c r="X342" s="2"/>
      <c r="Y342" s="3"/>
      <c r="Z342" s="3"/>
      <c r="AA342" s="3"/>
      <c r="AB342" s="3"/>
      <c r="AC342" s="3"/>
      <c r="AD342" s="3"/>
      <c r="AE342" s="3"/>
      <c r="AF342" s="3"/>
      <c r="AG342" s="3"/>
      <c r="AH342" s="3"/>
      <c r="AI342" s="3"/>
      <c r="AJ342" s="3"/>
      <c r="AK342" s="3"/>
      <c r="AL342" s="3"/>
      <c r="AM342" s="3"/>
      <c r="AN342" s="3"/>
      <c r="AO342" s="3"/>
      <c r="AP342" s="3"/>
      <c r="AQ342" s="3"/>
      <c r="AR342" s="3"/>
      <c r="AS342" s="3"/>
      <c r="AT342" s="3"/>
      <c r="AU342" s="3"/>
    </row>
    <row r="343" spans="1:47" ht="14.25" customHeight="1" x14ac:dyDescent="0.3">
      <c r="A343" s="42"/>
      <c r="B343" s="42"/>
      <c r="C343" s="42"/>
      <c r="D343" s="61" t="s">
        <v>33</v>
      </c>
      <c r="E343" s="62"/>
      <c r="F343" s="61"/>
      <c r="G343" s="62"/>
      <c r="H343" s="61"/>
      <c r="I343" s="62"/>
      <c r="J343" s="42"/>
      <c r="K343" s="42"/>
      <c r="L343" s="63">
        <v>0</v>
      </c>
      <c r="M343" s="64"/>
      <c r="N343" s="62"/>
      <c r="O343" s="49" t="str">
        <f t="shared" si="2"/>
        <v>PLAN</v>
      </c>
      <c r="P343" s="61" t="s">
        <v>33</v>
      </c>
      <c r="Q343" s="62"/>
      <c r="R343" s="46"/>
      <c r="S343" s="2" t="str">
        <f t="shared" si="0"/>
        <v>01</v>
      </c>
      <c r="T343" s="2">
        <v>229</v>
      </c>
      <c r="U343" s="48" t="s">
        <v>91</v>
      </c>
      <c r="V343" s="2"/>
      <c r="W343" s="2" t="str">
        <f t="shared" si="3"/>
        <v>02</v>
      </c>
      <c r="X343" s="2"/>
      <c r="Y343" s="3"/>
      <c r="Z343" s="3"/>
      <c r="AA343" s="3"/>
      <c r="AB343" s="3"/>
      <c r="AC343" s="3"/>
      <c r="AD343" s="3"/>
      <c r="AE343" s="3"/>
      <c r="AF343" s="3"/>
      <c r="AG343" s="3"/>
      <c r="AH343" s="3"/>
      <c r="AI343" s="3"/>
      <c r="AJ343" s="3"/>
      <c r="AK343" s="3"/>
      <c r="AL343" s="3"/>
      <c r="AM343" s="3"/>
      <c r="AN343" s="3"/>
      <c r="AO343" s="3"/>
      <c r="AP343" s="3"/>
      <c r="AQ343" s="3"/>
      <c r="AR343" s="3"/>
      <c r="AS343" s="3"/>
      <c r="AT343" s="3"/>
      <c r="AU343" s="3"/>
    </row>
    <row r="344" spans="1:47" ht="14.25" customHeight="1" x14ac:dyDescent="0.3">
      <c r="A344" s="42"/>
      <c r="B344" s="42"/>
      <c r="C344" s="42"/>
      <c r="D344" s="61" t="s">
        <v>33</v>
      </c>
      <c r="E344" s="62"/>
      <c r="F344" s="61"/>
      <c r="G344" s="62"/>
      <c r="H344" s="61"/>
      <c r="I344" s="62"/>
      <c r="J344" s="42"/>
      <c r="K344" s="42"/>
      <c r="L344" s="63">
        <v>0</v>
      </c>
      <c r="M344" s="64"/>
      <c r="N344" s="62"/>
      <c r="O344" s="49" t="str">
        <f t="shared" si="2"/>
        <v>PLAN</v>
      </c>
      <c r="P344" s="61" t="s">
        <v>33</v>
      </c>
      <c r="Q344" s="62"/>
      <c r="R344" s="46"/>
      <c r="S344" s="2" t="str">
        <f t="shared" si="0"/>
        <v>01</v>
      </c>
      <c r="T344" s="2">
        <v>230</v>
      </c>
      <c r="U344" s="48" t="s">
        <v>91</v>
      </c>
      <c r="V344" s="2"/>
      <c r="W344" s="2" t="str">
        <f t="shared" si="3"/>
        <v>02</v>
      </c>
      <c r="X344" s="2"/>
      <c r="Y344" s="3"/>
      <c r="Z344" s="3"/>
      <c r="AA344" s="3"/>
      <c r="AB344" s="3"/>
      <c r="AC344" s="3"/>
      <c r="AD344" s="3"/>
      <c r="AE344" s="3"/>
      <c r="AF344" s="3"/>
      <c r="AG344" s="3"/>
      <c r="AH344" s="3"/>
      <c r="AI344" s="3"/>
      <c r="AJ344" s="3"/>
      <c r="AK344" s="3"/>
      <c r="AL344" s="3"/>
      <c r="AM344" s="3"/>
      <c r="AN344" s="3"/>
      <c r="AO344" s="3"/>
      <c r="AP344" s="3"/>
      <c r="AQ344" s="3"/>
      <c r="AR344" s="3"/>
      <c r="AS344" s="3"/>
      <c r="AT344" s="3"/>
      <c r="AU344" s="3"/>
    </row>
    <row r="345" spans="1:47" ht="14.25" customHeight="1" x14ac:dyDescent="0.3">
      <c r="A345" s="42"/>
      <c r="B345" s="42"/>
      <c r="C345" s="42"/>
      <c r="D345" s="61" t="s">
        <v>33</v>
      </c>
      <c r="E345" s="62"/>
      <c r="F345" s="61"/>
      <c r="G345" s="62"/>
      <c r="H345" s="61"/>
      <c r="I345" s="62"/>
      <c r="J345" s="42"/>
      <c r="K345" s="42"/>
      <c r="L345" s="63">
        <v>0</v>
      </c>
      <c r="M345" s="64"/>
      <c r="N345" s="62"/>
      <c r="O345" s="49" t="str">
        <f t="shared" si="2"/>
        <v>PLAN</v>
      </c>
      <c r="P345" s="61" t="s">
        <v>33</v>
      </c>
      <c r="Q345" s="62"/>
      <c r="R345" s="46"/>
      <c r="S345" s="2" t="str">
        <f t="shared" si="0"/>
        <v>01</v>
      </c>
      <c r="T345" s="2">
        <v>231</v>
      </c>
      <c r="U345" s="48" t="s">
        <v>91</v>
      </c>
      <c r="V345" s="2"/>
      <c r="W345" s="2" t="str">
        <f t="shared" si="3"/>
        <v>02</v>
      </c>
      <c r="X345" s="2"/>
      <c r="Y345" s="3"/>
      <c r="Z345" s="3"/>
      <c r="AA345" s="3"/>
      <c r="AB345" s="3"/>
      <c r="AC345" s="3"/>
      <c r="AD345" s="3"/>
      <c r="AE345" s="3"/>
      <c r="AF345" s="3"/>
      <c r="AG345" s="3"/>
      <c r="AH345" s="3"/>
      <c r="AI345" s="3"/>
      <c r="AJ345" s="3"/>
      <c r="AK345" s="3"/>
      <c r="AL345" s="3"/>
      <c r="AM345" s="3"/>
      <c r="AN345" s="3"/>
      <c r="AO345" s="3"/>
      <c r="AP345" s="3"/>
      <c r="AQ345" s="3"/>
      <c r="AR345" s="3"/>
      <c r="AS345" s="3"/>
      <c r="AT345" s="3"/>
      <c r="AU345" s="3"/>
    </row>
    <row r="346" spans="1:47" ht="14.25" customHeight="1" x14ac:dyDescent="0.3">
      <c r="A346" s="42"/>
      <c r="B346" s="42"/>
      <c r="C346" s="42"/>
      <c r="D346" s="61" t="s">
        <v>33</v>
      </c>
      <c r="E346" s="62"/>
      <c r="F346" s="61"/>
      <c r="G346" s="62"/>
      <c r="H346" s="61"/>
      <c r="I346" s="62"/>
      <c r="J346" s="42"/>
      <c r="K346" s="42"/>
      <c r="L346" s="63">
        <v>0</v>
      </c>
      <c r="M346" s="64"/>
      <c r="N346" s="62"/>
      <c r="O346" s="49" t="str">
        <f t="shared" si="2"/>
        <v>PLAN</v>
      </c>
      <c r="P346" s="61" t="s">
        <v>33</v>
      </c>
      <c r="Q346" s="62"/>
      <c r="R346" s="46"/>
      <c r="S346" s="2" t="str">
        <f t="shared" si="0"/>
        <v>01</v>
      </c>
      <c r="T346" s="2">
        <v>232</v>
      </c>
      <c r="U346" s="48" t="s">
        <v>91</v>
      </c>
      <c r="V346" s="2"/>
      <c r="W346" s="2" t="str">
        <f t="shared" si="3"/>
        <v>02</v>
      </c>
      <c r="X346" s="2"/>
      <c r="Y346" s="3"/>
      <c r="Z346" s="3"/>
      <c r="AA346" s="3"/>
      <c r="AB346" s="3"/>
      <c r="AC346" s="3"/>
      <c r="AD346" s="3"/>
      <c r="AE346" s="3"/>
      <c r="AF346" s="3"/>
      <c r="AG346" s="3"/>
      <c r="AH346" s="3"/>
      <c r="AI346" s="3"/>
      <c r="AJ346" s="3"/>
      <c r="AK346" s="3"/>
      <c r="AL346" s="3"/>
      <c r="AM346" s="3"/>
      <c r="AN346" s="3"/>
      <c r="AO346" s="3"/>
      <c r="AP346" s="3"/>
      <c r="AQ346" s="3"/>
      <c r="AR346" s="3"/>
      <c r="AS346" s="3"/>
      <c r="AT346" s="3"/>
      <c r="AU346" s="3"/>
    </row>
    <row r="347" spans="1:47" ht="14.25" customHeight="1" x14ac:dyDescent="0.3">
      <c r="A347" s="42"/>
      <c r="B347" s="42"/>
      <c r="C347" s="42"/>
      <c r="D347" s="61" t="s">
        <v>33</v>
      </c>
      <c r="E347" s="62"/>
      <c r="F347" s="61"/>
      <c r="G347" s="62"/>
      <c r="H347" s="61"/>
      <c r="I347" s="62"/>
      <c r="J347" s="42"/>
      <c r="K347" s="42"/>
      <c r="L347" s="63">
        <v>0</v>
      </c>
      <c r="M347" s="64"/>
      <c r="N347" s="62"/>
      <c r="O347" s="49" t="str">
        <f t="shared" si="2"/>
        <v>PLAN</v>
      </c>
      <c r="P347" s="61" t="s">
        <v>33</v>
      </c>
      <c r="Q347" s="62"/>
      <c r="R347" s="46"/>
      <c r="S347" s="2" t="str">
        <f t="shared" si="0"/>
        <v>01</v>
      </c>
      <c r="T347" s="2">
        <v>233</v>
      </c>
      <c r="U347" s="48" t="s">
        <v>91</v>
      </c>
      <c r="V347" s="2"/>
      <c r="W347" s="2" t="str">
        <f t="shared" si="3"/>
        <v>02</v>
      </c>
      <c r="X347" s="2"/>
      <c r="Y347" s="3"/>
      <c r="Z347" s="3"/>
      <c r="AA347" s="3"/>
      <c r="AB347" s="3"/>
      <c r="AC347" s="3"/>
      <c r="AD347" s="3"/>
      <c r="AE347" s="3"/>
      <c r="AF347" s="3"/>
      <c r="AG347" s="3"/>
      <c r="AH347" s="3"/>
      <c r="AI347" s="3"/>
      <c r="AJ347" s="3"/>
      <c r="AK347" s="3"/>
      <c r="AL347" s="3"/>
      <c r="AM347" s="3"/>
      <c r="AN347" s="3"/>
      <c r="AO347" s="3"/>
      <c r="AP347" s="3"/>
      <c r="AQ347" s="3"/>
      <c r="AR347" s="3"/>
      <c r="AS347" s="3"/>
      <c r="AT347" s="3"/>
      <c r="AU347" s="3"/>
    </row>
    <row r="348" spans="1:47" ht="14.25" customHeight="1" x14ac:dyDescent="0.3">
      <c r="A348" s="42"/>
      <c r="B348" s="42"/>
      <c r="C348" s="42"/>
      <c r="D348" s="61" t="s">
        <v>33</v>
      </c>
      <c r="E348" s="62"/>
      <c r="F348" s="61"/>
      <c r="G348" s="62"/>
      <c r="H348" s="61"/>
      <c r="I348" s="62"/>
      <c r="J348" s="42"/>
      <c r="K348" s="42"/>
      <c r="L348" s="63">
        <v>0</v>
      </c>
      <c r="M348" s="64"/>
      <c r="N348" s="62"/>
      <c r="O348" s="49" t="str">
        <f t="shared" si="2"/>
        <v>PLAN</v>
      </c>
      <c r="P348" s="61" t="s">
        <v>33</v>
      </c>
      <c r="Q348" s="62"/>
      <c r="R348" s="46"/>
      <c r="S348" s="2" t="str">
        <f t="shared" si="0"/>
        <v>01</v>
      </c>
      <c r="T348" s="2">
        <v>234</v>
      </c>
      <c r="U348" s="48" t="s">
        <v>91</v>
      </c>
      <c r="V348" s="2"/>
      <c r="W348" s="2" t="str">
        <f t="shared" si="3"/>
        <v>02</v>
      </c>
      <c r="X348" s="2"/>
      <c r="Y348" s="3"/>
      <c r="Z348" s="3"/>
      <c r="AA348" s="3"/>
      <c r="AB348" s="3"/>
      <c r="AC348" s="3"/>
      <c r="AD348" s="3"/>
      <c r="AE348" s="3"/>
      <c r="AF348" s="3"/>
      <c r="AG348" s="3"/>
      <c r="AH348" s="3"/>
      <c r="AI348" s="3"/>
      <c r="AJ348" s="3"/>
      <c r="AK348" s="3"/>
      <c r="AL348" s="3"/>
      <c r="AM348" s="3"/>
      <c r="AN348" s="3"/>
      <c r="AO348" s="3"/>
      <c r="AP348" s="3"/>
      <c r="AQ348" s="3"/>
      <c r="AR348" s="3"/>
      <c r="AS348" s="3"/>
      <c r="AT348" s="3"/>
      <c r="AU348" s="3"/>
    </row>
    <row r="349" spans="1:47" ht="14.25" customHeight="1" x14ac:dyDescent="0.3">
      <c r="A349" s="42"/>
      <c r="B349" s="42"/>
      <c r="C349" s="42"/>
      <c r="D349" s="61" t="s">
        <v>33</v>
      </c>
      <c r="E349" s="62"/>
      <c r="F349" s="61"/>
      <c r="G349" s="62"/>
      <c r="H349" s="61"/>
      <c r="I349" s="62"/>
      <c r="J349" s="42"/>
      <c r="K349" s="42"/>
      <c r="L349" s="63">
        <v>0</v>
      </c>
      <c r="M349" s="64"/>
      <c r="N349" s="62"/>
      <c r="O349" s="49" t="str">
        <f t="shared" si="2"/>
        <v>PLAN</v>
      </c>
      <c r="P349" s="61" t="s">
        <v>33</v>
      </c>
      <c r="Q349" s="62"/>
      <c r="R349" s="46"/>
      <c r="S349" s="2" t="str">
        <f t="shared" si="0"/>
        <v>01</v>
      </c>
      <c r="T349" s="2">
        <v>235</v>
      </c>
      <c r="U349" s="48" t="s">
        <v>91</v>
      </c>
      <c r="V349" s="2"/>
      <c r="W349" s="2" t="str">
        <f t="shared" si="3"/>
        <v>02</v>
      </c>
      <c r="X349" s="2"/>
      <c r="Y349" s="3"/>
      <c r="Z349" s="3"/>
      <c r="AA349" s="3"/>
      <c r="AB349" s="3"/>
      <c r="AC349" s="3"/>
      <c r="AD349" s="3"/>
      <c r="AE349" s="3"/>
      <c r="AF349" s="3"/>
      <c r="AG349" s="3"/>
      <c r="AH349" s="3"/>
      <c r="AI349" s="3"/>
      <c r="AJ349" s="3"/>
      <c r="AK349" s="3"/>
      <c r="AL349" s="3"/>
      <c r="AM349" s="3"/>
      <c r="AN349" s="3"/>
      <c r="AO349" s="3"/>
      <c r="AP349" s="3"/>
      <c r="AQ349" s="3"/>
      <c r="AR349" s="3"/>
      <c r="AS349" s="3"/>
      <c r="AT349" s="3"/>
      <c r="AU349" s="3"/>
    </row>
    <row r="350" spans="1:47" ht="14.25" customHeight="1" x14ac:dyDescent="0.3">
      <c r="A350" s="42"/>
      <c r="B350" s="42"/>
      <c r="C350" s="42"/>
      <c r="D350" s="61" t="s">
        <v>33</v>
      </c>
      <c r="E350" s="62"/>
      <c r="F350" s="61"/>
      <c r="G350" s="62"/>
      <c r="H350" s="61"/>
      <c r="I350" s="62"/>
      <c r="J350" s="42"/>
      <c r="K350" s="42"/>
      <c r="L350" s="63">
        <v>0</v>
      </c>
      <c r="M350" s="64"/>
      <c r="N350" s="62"/>
      <c r="O350" s="49" t="str">
        <f t="shared" si="2"/>
        <v>PLAN</v>
      </c>
      <c r="P350" s="61" t="s">
        <v>33</v>
      </c>
      <c r="Q350" s="62"/>
      <c r="R350" s="46"/>
      <c r="S350" s="2" t="str">
        <f t="shared" si="0"/>
        <v>01</v>
      </c>
      <c r="T350" s="2">
        <v>236</v>
      </c>
      <c r="U350" s="48" t="s">
        <v>91</v>
      </c>
      <c r="V350" s="2"/>
      <c r="W350" s="2" t="str">
        <f t="shared" si="3"/>
        <v>02</v>
      </c>
      <c r="X350" s="2"/>
      <c r="Y350" s="3"/>
      <c r="Z350" s="3"/>
      <c r="AA350" s="3"/>
      <c r="AB350" s="3"/>
      <c r="AC350" s="3"/>
      <c r="AD350" s="3"/>
      <c r="AE350" s="3"/>
      <c r="AF350" s="3"/>
      <c r="AG350" s="3"/>
      <c r="AH350" s="3"/>
      <c r="AI350" s="3"/>
      <c r="AJ350" s="3"/>
      <c r="AK350" s="3"/>
      <c r="AL350" s="3"/>
      <c r="AM350" s="3"/>
      <c r="AN350" s="3"/>
      <c r="AO350" s="3"/>
      <c r="AP350" s="3"/>
      <c r="AQ350" s="3"/>
      <c r="AR350" s="3"/>
      <c r="AS350" s="3"/>
      <c r="AT350" s="3"/>
      <c r="AU350" s="3"/>
    </row>
    <row r="351" spans="1:47" ht="14.25" customHeight="1" x14ac:dyDescent="0.3">
      <c r="A351" s="42"/>
      <c r="B351" s="42"/>
      <c r="C351" s="42"/>
      <c r="D351" s="61" t="s">
        <v>33</v>
      </c>
      <c r="E351" s="62"/>
      <c r="F351" s="61"/>
      <c r="G351" s="62"/>
      <c r="H351" s="61"/>
      <c r="I351" s="62"/>
      <c r="J351" s="42"/>
      <c r="K351" s="42"/>
      <c r="L351" s="63">
        <v>0</v>
      </c>
      <c r="M351" s="64"/>
      <c r="N351" s="62"/>
      <c r="O351" s="49" t="str">
        <f t="shared" si="2"/>
        <v>PLAN</v>
      </c>
      <c r="P351" s="61" t="s">
        <v>33</v>
      </c>
      <c r="Q351" s="62"/>
      <c r="R351" s="46"/>
      <c r="S351" s="2" t="str">
        <f t="shared" si="0"/>
        <v>01</v>
      </c>
      <c r="T351" s="2">
        <v>237</v>
      </c>
      <c r="U351" s="48" t="s">
        <v>91</v>
      </c>
      <c r="V351" s="2"/>
      <c r="W351" s="2" t="str">
        <f t="shared" si="3"/>
        <v>02</v>
      </c>
      <c r="X351" s="2"/>
      <c r="Y351" s="3"/>
      <c r="Z351" s="3"/>
      <c r="AA351" s="3"/>
      <c r="AB351" s="3"/>
      <c r="AC351" s="3"/>
      <c r="AD351" s="3"/>
      <c r="AE351" s="3"/>
      <c r="AF351" s="3"/>
      <c r="AG351" s="3"/>
      <c r="AH351" s="3"/>
      <c r="AI351" s="3"/>
      <c r="AJ351" s="3"/>
      <c r="AK351" s="3"/>
      <c r="AL351" s="3"/>
      <c r="AM351" s="3"/>
      <c r="AN351" s="3"/>
      <c r="AO351" s="3"/>
      <c r="AP351" s="3"/>
      <c r="AQ351" s="3"/>
      <c r="AR351" s="3"/>
      <c r="AS351" s="3"/>
      <c r="AT351" s="3"/>
      <c r="AU351" s="3"/>
    </row>
    <row r="352" spans="1:47" ht="14.25" customHeight="1" x14ac:dyDescent="0.3">
      <c r="A352" s="42"/>
      <c r="B352" s="42"/>
      <c r="C352" s="42"/>
      <c r="D352" s="61" t="s">
        <v>33</v>
      </c>
      <c r="E352" s="62"/>
      <c r="F352" s="61"/>
      <c r="G352" s="62"/>
      <c r="H352" s="61"/>
      <c r="I352" s="62"/>
      <c r="J352" s="42"/>
      <c r="K352" s="42"/>
      <c r="L352" s="63">
        <v>0</v>
      </c>
      <c r="M352" s="64"/>
      <c r="N352" s="62"/>
      <c r="O352" s="49" t="str">
        <f t="shared" si="2"/>
        <v>PLAN</v>
      </c>
      <c r="P352" s="61" t="s">
        <v>33</v>
      </c>
      <c r="Q352" s="62"/>
      <c r="R352" s="46"/>
      <c r="S352" s="2" t="str">
        <f t="shared" si="0"/>
        <v>01</v>
      </c>
      <c r="T352" s="2">
        <v>238</v>
      </c>
      <c r="U352" s="48" t="s">
        <v>91</v>
      </c>
      <c r="V352" s="2"/>
      <c r="W352" s="2" t="str">
        <f t="shared" si="3"/>
        <v>02</v>
      </c>
      <c r="X352" s="2"/>
      <c r="Y352" s="3"/>
      <c r="Z352" s="3"/>
      <c r="AA352" s="3"/>
      <c r="AB352" s="3"/>
      <c r="AC352" s="3"/>
      <c r="AD352" s="3"/>
      <c r="AE352" s="3"/>
      <c r="AF352" s="3"/>
      <c r="AG352" s="3"/>
      <c r="AH352" s="3"/>
      <c r="AI352" s="3"/>
      <c r="AJ352" s="3"/>
      <c r="AK352" s="3"/>
      <c r="AL352" s="3"/>
      <c r="AM352" s="3"/>
      <c r="AN352" s="3"/>
      <c r="AO352" s="3"/>
      <c r="AP352" s="3"/>
      <c r="AQ352" s="3"/>
      <c r="AR352" s="3"/>
      <c r="AS352" s="3"/>
      <c r="AT352" s="3"/>
      <c r="AU352" s="3"/>
    </row>
    <row r="353" spans="1:47" ht="14.25" customHeight="1" x14ac:dyDescent="0.3">
      <c r="A353" s="42"/>
      <c r="B353" s="42"/>
      <c r="C353" s="42"/>
      <c r="D353" s="61" t="s">
        <v>33</v>
      </c>
      <c r="E353" s="62"/>
      <c r="F353" s="61"/>
      <c r="G353" s="62"/>
      <c r="H353" s="61"/>
      <c r="I353" s="62"/>
      <c r="J353" s="42"/>
      <c r="K353" s="42"/>
      <c r="L353" s="63">
        <v>0</v>
      </c>
      <c r="M353" s="64"/>
      <c r="N353" s="62"/>
      <c r="O353" s="49" t="str">
        <f t="shared" si="2"/>
        <v>PLAN</v>
      </c>
      <c r="P353" s="61" t="s">
        <v>33</v>
      </c>
      <c r="Q353" s="62"/>
      <c r="R353" s="46"/>
      <c r="S353" s="2" t="str">
        <f t="shared" si="0"/>
        <v>01</v>
      </c>
      <c r="T353" s="2">
        <v>239</v>
      </c>
      <c r="U353" s="48" t="s">
        <v>91</v>
      </c>
      <c r="V353" s="2"/>
      <c r="W353" s="2" t="str">
        <f t="shared" si="3"/>
        <v>02</v>
      </c>
      <c r="X353" s="2"/>
      <c r="Y353" s="3"/>
      <c r="Z353" s="3"/>
      <c r="AA353" s="3"/>
      <c r="AB353" s="3"/>
      <c r="AC353" s="3"/>
      <c r="AD353" s="3"/>
      <c r="AE353" s="3"/>
      <c r="AF353" s="3"/>
      <c r="AG353" s="3"/>
      <c r="AH353" s="3"/>
      <c r="AI353" s="3"/>
      <c r="AJ353" s="3"/>
      <c r="AK353" s="3"/>
      <c r="AL353" s="3"/>
      <c r="AM353" s="3"/>
      <c r="AN353" s="3"/>
      <c r="AO353" s="3"/>
      <c r="AP353" s="3"/>
      <c r="AQ353" s="3"/>
      <c r="AR353" s="3"/>
      <c r="AS353" s="3"/>
      <c r="AT353" s="3"/>
      <c r="AU353" s="3"/>
    </row>
    <row r="354" spans="1:47" ht="14.25" customHeight="1" x14ac:dyDescent="0.3">
      <c r="A354" s="42"/>
      <c r="B354" s="42"/>
      <c r="C354" s="42"/>
      <c r="D354" s="61" t="s">
        <v>33</v>
      </c>
      <c r="E354" s="62"/>
      <c r="F354" s="61"/>
      <c r="G354" s="62"/>
      <c r="H354" s="61"/>
      <c r="I354" s="62"/>
      <c r="J354" s="42"/>
      <c r="K354" s="42"/>
      <c r="L354" s="63">
        <v>0</v>
      </c>
      <c r="M354" s="64"/>
      <c r="N354" s="62"/>
      <c r="O354" s="49" t="str">
        <f t="shared" si="2"/>
        <v>PLAN</v>
      </c>
      <c r="P354" s="61" t="s">
        <v>33</v>
      </c>
      <c r="Q354" s="62"/>
      <c r="R354" s="46"/>
      <c r="S354" s="2" t="str">
        <f t="shared" si="0"/>
        <v>01</v>
      </c>
      <c r="T354" s="2">
        <v>240</v>
      </c>
      <c r="U354" s="48" t="s">
        <v>91</v>
      </c>
      <c r="V354" s="2"/>
      <c r="W354" s="2" t="str">
        <f t="shared" si="3"/>
        <v>02</v>
      </c>
      <c r="X354" s="2"/>
      <c r="Y354" s="3"/>
      <c r="Z354" s="3"/>
      <c r="AA354" s="3"/>
      <c r="AB354" s="3"/>
      <c r="AC354" s="3"/>
      <c r="AD354" s="3"/>
      <c r="AE354" s="3"/>
      <c r="AF354" s="3"/>
      <c r="AG354" s="3"/>
      <c r="AH354" s="3"/>
      <c r="AI354" s="3"/>
      <c r="AJ354" s="3"/>
      <c r="AK354" s="3"/>
      <c r="AL354" s="3"/>
      <c r="AM354" s="3"/>
      <c r="AN354" s="3"/>
      <c r="AO354" s="3"/>
      <c r="AP354" s="3"/>
      <c r="AQ354" s="3"/>
      <c r="AR354" s="3"/>
      <c r="AS354" s="3"/>
      <c r="AT354" s="3"/>
      <c r="AU354" s="3"/>
    </row>
    <row r="355" spans="1:47" ht="14.25" customHeight="1" x14ac:dyDescent="0.3">
      <c r="A355" s="42"/>
      <c r="B355" s="42"/>
      <c r="C355" s="42"/>
      <c r="D355" s="61" t="s">
        <v>33</v>
      </c>
      <c r="E355" s="62"/>
      <c r="F355" s="61"/>
      <c r="G355" s="62"/>
      <c r="H355" s="61"/>
      <c r="I355" s="62"/>
      <c r="J355" s="42"/>
      <c r="K355" s="42"/>
      <c r="L355" s="63">
        <v>0</v>
      </c>
      <c r="M355" s="64"/>
      <c r="N355" s="62"/>
      <c r="O355" s="49" t="str">
        <f t="shared" si="2"/>
        <v>PLAN</v>
      </c>
      <c r="P355" s="61" t="s">
        <v>33</v>
      </c>
      <c r="Q355" s="62"/>
      <c r="R355" s="46"/>
      <c r="S355" s="2" t="str">
        <f t="shared" si="0"/>
        <v>01</v>
      </c>
      <c r="T355" s="2">
        <v>241</v>
      </c>
      <c r="U355" s="48" t="s">
        <v>91</v>
      </c>
      <c r="V355" s="2"/>
      <c r="W355" s="2" t="str">
        <f t="shared" si="3"/>
        <v>02</v>
      </c>
      <c r="X355" s="2"/>
      <c r="Y355" s="3"/>
      <c r="Z355" s="3"/>
      <c r="AA355" s="3"/>
      <c r="AB355" s="3"/>
      <c r="AC355" s="3"/>
      <c r="AD355" s="3"/>
      <c r="AE355" s="3"/>
      <c r="AF355" s="3"/>
      <c r="AG355" s="3"/>
      <c r="AH355" s="3"/>
      <c r="AI355" s="3"/>
      <c r="AJ355" s="3"/>
      <c r="AK355" s="3"/>
      <c r="AL355" s="3"/>
      <c r="AM355" s="3"/>
      <c r="AN355" s="3"/>
      <c r="AO355" s="3"/>
      <c r="AP355" s="3"/>
      <c r="AQ355" s="3"/>
      <c r="AR355" s="3"/>
      <c r="AS355" s="3"/>
      <c r="AT355" s="3"/>
      <c r="AU355" s="3"/>
    </row>
    <row r="356" spans="1:47" ht="14.25" customHeight="1" x14ac:dyDescent="0.3">
      <c r="A356" s="42"/>
      <c r="B356" s="42"/>
      <c r="C356" s="42"/>
      <c r="D356" s="61" t="s">
        <v>33</v>
      </c>
      <c r="E356" s="62"/>
      <c r="F356" s="61"/>
      <c r="G356" s="62"/>
      <c r="H356" s="61"/>
      <c r="I356" s="62"/>
      <c r="J356" s="42"/>
      <c r="K356" s="42"/>
      <c r="L356" s="63">
        <v>0</v>
      </c>
      <c r="M356" s="64"/>
      <c r="N356" s="62"/>
      <c r="O356" s="49" t="str">
        <f t="shared" si="2"/>
        <v>PLAN</v>
      </c>
      <c r="P356" s="61" t="s">
        <v>33</v>
      </c>
      <c r="Q356" s="62"/>
      <c r="R356" s="46"/>
      <c r="S356" s="2" t="str">
        <f t="shared" si="0"/>
        <v>01</v>
      </c>
      <c r="T356" s="2">
        <v>242</v>
      </c>
      <c r="U356" s="48" t="s">
        <v>91</v>
      </c>
      <c r="V356" s="2"/>
      <c r="W356" s="2" t="str">
        <f t="shared" si="3"/>
        <v>02</v>
      </c>
      <c r="X356" s="2"/>
      <c r="Y356" s="3"/>
      <c r="Z356" s="3"/>
      <c r="AA356" s="3"/>
      <c r="AB356" s="3"/>
      <c r="AC356" s="3"/>
      <c r="AD356" s="3"/>
      <c r="AE356" s="3"/>
      <c r="AF356" s="3"/>
      <c r="AG356" s="3"/>
      <c r="AH356" s="3"/>
      <c r="AI356" s="3"/>
      <c r="AJ356" s="3"/>
      <c r="AK356" s="3"/>
      <c r="AL356" s="3"/>
      <c r="AM356" s="3"/>
      <c r="AN356" s="3"/>
      <c r="AO356" s="3"/>
      <c r="AP356" s="3"/>
      <c r="AQ356" s="3"/>
      <c r="AR356" s="3"/>
      <c r="AS356" s="3"/>
      <c r="AT356" s="3"/>
      <c r="AU356" s="3"/>
    </row>
    <row r="357" spans="1:47" ht="14.25" customHeight="1" x14ac:dyDescent="0.3">
      <c r="A357" s="42"/>
      <c r="B357" s="42"/>
      <c r="C357" s="42"/>
      <c r="D357" s="61" t="s">
        <v>33</v>
      </c>
      <c r="E357" s="62"/>
      <c r="F357" s="61"/>
      <c r="G357" s="62"/>
      <c r="H357" s="61"/>
      <c r="I357" s="62"/>
      <c r="J357" s="42"/>
      <c r="K357" s="42"/>
      <c r="L357" s="63">
        <v>0</v>
      </c>
      <c r="M357" s="64"/>
      <c r="N357" s="62"/>
      <c r="O357" s="49" t="str">
        <f t="shared" si="2"/>
        <v>PLAN</v>
      </c>
      <c r="P357" s="61" t="s">
        <v>33</v>
      </c>
      <c r="Q357" s="62"/>
      <c r="R357" s="46"/>
      <c r="S357" s="2" t="str">
        <f t="shared" si="0"/>
        <v>01</v>
      </c>
      <c r="T357" s="2">
        <v>243</v>
      </c>
      <c r="U357" s="48" t="s">
        <v>91</v>
      </c>
      <c r="V357" s="2"/>
      <c r="W357" s="2" t="str">
        <f t="shared" si="3"/>
        <v>02</v>
      </c>
      <c r="X357" s="2"/>
      <c r="Y357" s="3"/>
      <c r="Z357" s="3"/>
      <c r="AA357" s="3"/>
      <c r="AB357" s="3"/>
      <c r="AC357" s="3"/>
      <c r="AD357" s="3"/>
      <c r="AE357" s="3"/>
      <c r="AF357" s="3"/>
      <c r="AG357" s="3"/>
      <c r="AH357" s="3"/>
      <c r="AI357" s="3"/>
      <c r="AJ357" s="3"/>
      <c r="AK357" s="3"/>
      <c r="AL357" s="3"/>
      <c r="AM357" s="3"/>
      <c r="AN357" s="3"/>
      <c r="AO357" s="3"/>
      <c r="AP357" s="3"/>
      <c r="AQ357" s="3"/>
      <c r="AR357" s="3"/>
      <c r="AS357" s="3"/>
      <c r="AT357" s="3"/>
      <c r="AU357" s="3"/>
    </row>
    <row r="358" spans="1:47" ht="14.25" customHeight="1" x14ac:dyDescent="0.3">
      <c r="A358" s="42"/>
      <c r="B358" s="42"/>
      <c r="C358" s="42"/>
      <c r="D358" s="61" t="s">
        <v>33</v>
      </c>
      <c r="E358" s="62"/>
      <c r="F358" s="61"/>
      <c r="G358" s="62"/>
      <c r="H358" s="61"/>
      <c r="I358" s="62"/>
      <c r="J358" s="42"/>
      <c r="K358" s="42"/>
      <c r="L358" s="63">
        <v>0</v>
      </c>
      <c r="M358" s="64"/>
      <c r="N358" s="62"/>
      <c r="O358" s="49" t="str">
        <f t="shared" si="2"/>
        <v>PLAN</v>
      </c>
      <c r="P358" s="61" t="s">
        <v>33</v>
      </c>
      <c r="Q358" s="62"/>
      <c r="R358" s="46"/>
      <c r="S358" s="2" t="str">
        <f t="shared" ref="S358:S468" si="4">IF(LEN(MONTH(R358))=1,"0"&amp;MONTH(R358),MONTH(R358))</f>
        <v>01</v>
      </c>
      <c r="T358" s="2">
        <v>244</v>
      </c>
      <c r="U358" s="48" t="s">
        <v>91</v>
      </c>
      <c r="V358" s="2"/>
      <c r="W358" s="2" t="str">
        <f t="shared" si="3"/>
        <v>02</v>
      </c>
      <c r="X358" s="2"/>
      <c r="Y358" s="3"/>
      <c r="Z358" s="3"/>
      <c r="AA358" s="3"/>
      <c r="AB358" s="3"/>
      <c r="AC358" s="3"/>
      <c r="AD358" s="3"/>
      <c r="AE358" s="3"/>
      <c r="AF358" s="3"/>
      <c r="AG358" s="3"/>
      <c r="AH358" s="3"/>
      <c r="AI358" s="3"/>
      <c r="AJ358" s="3"/>
      <c r="AK358" s="3"/>
      <c r="AL358" s="3"/>
      <c r="AM358" s="3"/>
      <c r="AN358" s="3"/>
      <c r="AO358" s="3"/>
      <c r="AP358" s="3"/>
      <c r="AQ358" s="3"/>
      <c r="AR358" s="3"/>
      <c r="AS358" s="3"/>
      <c r="AT358" s="3"/>
      <c r="AU358" s="3"/>
    </row>
    <row r="359" spans="1:47" ht="14.25" customHeight="1" x14ac:dyDescent="0.3">
      <c r="A359" s="42"/>
      <c r="B359" s="42"/>
      <c r="C359" s="42"/>
      <c r="D359" s="61" t="s">
        <v>33</v>
      </c>
      <c r="E359" s="62"/>
      <c r="F359" s="61"/>
      <c r="G359" s="62"/>
      <c r="H359" s="61"/>
      <c r="I359" s="62"/>
      <c r="J359" s="42"/>
      <c r="K359" s="42"/>
      <c r="L359" s="63">
        <v>0</v>
      </c>
      <c r="M359" s="64"/>
      <c r="N359" s="62"/>
      <c r="O359" s="49" t="str">
        <f t="shared" ref="O359:O468" si="5">VLOOKUP(L359,$T$115:$U$3114,2,0)</f>
        <v>PLAN</v>
      </c>
      <c r="P359" s="61" t="s">
        <v>33</v>
      </c>
      <c r="Q359" s="62"/>
      <c r="R359" s="46"/>
      <c r="S359" s="2" t="str">
        <f t="shared" si="4"/>
        <v>01</v>
      </c>
      <c r="T359" s="2">
        <v>245</v>
      </c>
      <c r="U359" s="48" t="s">
        <v>91</v>
      </c>
      <c r="V359" s="2"/>
      <c r="W359" s="2" t="str">
        <f t="shared" si="3"/>
        <v>02</v>
      </c>
      <c r="X359" s="2"/>
      <c r="Y359" s="3"/>
      <c r="Z359" s="3"/>
      <c r="AA359" s="3"/>
      <c r="AB359" s="3"/>
      <c r="AC359" s="3"/>
      <c r="AD359" s="3"/>
      <c r="AE359" s="3"/>
      <c r="AF359" s="3"/>
      <c r="AG359" s="3"/>
      <c r="AH359" s="3"/>
      <c r="AI359" s="3"/>
      <c r="AJ359" s="3"/>
      <c r="AK359" s="3"/>
      <c r="AL359" s="3"/>
      <c r="AM359" s="3"/>
      <c r="AN359" s="3"/>
      <c r="AO359" s="3"/>
      <c r="AP359" s="3"/>
      <c r="AQ359" s="3"/>
      <c r="AR359" s="3"/>
      <c r="AS359" s="3"/>
      <c r="AT359" s="3"/>
      <c r="AU359" s="3"/>
    </row>
    <row r="360" spans="1:47" ht="14.25" customHeight="1" x14ac:dyDescent="0.3">
      <c r="A360" s="42"/>
      <c r="B360" s="42"/>
      <c r="C360" s="42"/>
      <c r="D360" s="61" t="s">
        <v>33</v>
      </c>
      <c r="E360" s="62"/>
      <c r="F360" s="61"/>
      <c r="G360" s="62"/>
      <c r="H360" s="61"/>
      <c r="I360" s="62"/>
      <c r="J360" s="42"/>
      <c r="K360" s="42"/>
      <c r="L360" s="63">
        <v>0</v>
      </c>
      <c r="M360" s="64"/>
      <c r="N360" s="62"/>
      <c r="O360" s="49" t="str">
        <f t="shared" si="5"/>
        <v>PLAN</v>
      </c>
      <c r="P360" s="61" t="s">
        <v>33</v>
      </c>
      <c r="Q360" s="62"/>
      <c r="R360" s="46"/>
      <c r="S360" s="2" t="str">
        <f t="shared" si="4"/>
        <v>01</v>
      </c>
      <c r="T360" s="2">
        <v>246</v>
      </c>
      <c r="U360" s="48" t="s">
        <v>91</v>
      </c>
      <c r="V360" s="2"/>
      <c r="W360" s="2" t="str">
        <f t="shared" si="3"/>
        <v>02</v>
      </c>
      <c r="X360" s="2"/>
      <c r="Y360" s="3"/>
      <c r="Z360" s="3"/>
      <c r="AA360" s="3"/>
      <c r="AB360" s="3"/>
      <c r="AC360" s="3"/>
      <c r="AD360" s="3"/>
      <c r="AE360" s="3"/>
      <c r="AF360" s="3"/>
      <c r="AG360" s="3"/>
      <c r="AH360" s="3"/>
      <c r="AI360" s="3"/>
      <c r="AJ360" s="3"/>
      <c r="AK360" s="3"/>
      <c r="AL360" s="3"/>
      <c r="AM360" s="3"/>
      <c r="AN360" s="3"/>
      <c r="AO360" s="3"/>
      <c r="AP360" s="3"/>
      <c r="AQ360" s="3"/>
      <c r="AR360" s="3"/>
      <c r="AS360" s="3"/>
      <c r="AT360" s="3"/>
      <c r="AU360" s="3"/>
    </row>
    <row r="361" spans="1:47" ht="14.25" customHeight="1" x14ac:dyDescent="0.3">
      <c r="A361" s="42"/>
      <c r="B361" s="42"/>
      <c r="C361" s="42"/>
      <c r="D361" s="61" t="s">
        <v>33</v>
      </c>
      <c r="E361" s="62"/>
      <c r="F361" s="61"/>
      <c r="G361" s="62"/>
      <c r="H361" s="61"/>
      <c r="I361" s="62"/>
      <c r="J361" s="42"/>
      <c r="K361" s="42"/>
      <c r="L361" s="63">
        <v>0</v>
      </c>
      <c r="M361" s="64"/>
      <c r="N361" s="62"/>
      <c r="O361" s="49" t="str">
        <f t="shared" si="5"/>
        <v>PLAN</v>
      </c>
      <c r="P361" s="61" t="s">
        <v>33</v>
      </c>
      <c r="Q361" s="62"/>
      <c r="R361" s="46"/>
      <c r="S361" s="2" t="str">
        <f t="shared" si="4"/>
        <v>01</v>
      </c>
      <c r="T361" s="2">
        <v>247</v>
      </c>
      <c r="U361" s="48" t="s">
        <v>91</v>
      </c>
      <c r="V361" s="2"/>
      <c r="W361" s="2" t="str">
        <f t="shared" si="3"/>
        <v>02</v>
      </c>
      <c r="X361" s="2"/>
      <c r="Y361" s="3"/>
      <c r="Z361" s="3"/>
      <c r="AA361" s="3"/>
      <c r="AB361" s="3"/>
      <c r="AC361" s="3"/>
      <c r="AD361" s="3"/>
      <c r="AE361" s="3"/>
      <c r="AF361" s="3"/>
      <c r="AG361" s="3"/>
      <c r="AH361" s="3"/>
      <c r="AI361" s="3"/>
      <c r="AJ361" s="3"/>
      <c r="AK361" s="3"/>
      <c r="AL361" s="3"/>
      <c r="AM361" s="3"/>
      <c r="AN361" s="3"/>
      <c r="AO361" s="3"/>
      <c r="AP361" s="3"/>
      <c r="AQ361" s="3"/>
      <c r="AR361" s="3"/>
      <c r="AS361" s="3"/>
      <c r="AT361" s="3"/>
      <c r="AU361" s="3"/>
    </row>
    <row r="362" spans="1:47" ht="14.25" customHeight="1" x14ac:dyDescent="0.3">
      <c r="A362" s="42"/>
      <c r="B362" s="42"/>
      <c r="C362" s="42"/>
      <c r="D362" s="61" t="s">
        <v>33</v>
      </c>
      <c r="E362" s="62"/>
      <c r="F362" s="61"/>
      <c r="G362" s="62"/>
      <c r="H362" s="61"/>
      <c r="I362" s="62"/>
      <c r="J362" s="42"/>
      <c r="K362" s="42"/>
      <c r="L362" s="63">
        <v>0</v>
      </c>
      <c r="M362" s="64"/>
      <c r="N362" s="62"/>
      <c r="O362" s="49" t="str">
        <f t="shared" si="5"/>
        <v>PLAN</v>
      </c>
      <c r="P362" s="61" t="s">
        <v>33</v>
      </c>
      <c r="Q362" s="62"/>
      <c r="R362" s="46"/>
      <c r="S362" s="2" t="str">
        <f t="shared" si="4"/>
        <v>01</v>
      </c>
      <c r="T362" s="2">
        <v>248</v>
      </c>
      <c r="U362" s="48" t="s">
        <v>91</v>
      </c>
      <c r="V362" s="2"/>
      <c r="W362" s="2" t="str">
        <f t="shared" si="3"/>
        <v>02</v>
      </c>
      <c r="X362" s="2"/>
      <c r="Y362" s="3"/>
      <c r="Z362" s="3"/>
      <c r="AA362" s="3"/>
      <c r="AB362" s="3"/>
      <c r="AC362" s="3"/>
      <c r="AD362" s="3"/>
      <c r="AE362" s="3"/>
      <c r="AF362" s="3"/>
      <c r="AG362" s="3"/>
      <c r="AH362" s="3"/>
      <c r="AI362" s="3"/>
      <c r="AJ362" s="3"/>
      <c r="AK362" s="3"/>
      <c r="AL362" s="3"/>
      <c r="AM362" s="3"/>
      <c r="AN362" s="3"/>
      <c r="AO362" s="3"/>
      <c r="AP362" s="3"/>
      <c r="AQ362" s="3"/>
      <c r="AR362" s="3"/>
      <c r="AS362" s="3"/>
      <c r="AT362" s="3"/>
      <c r="AU362" s="3"/>
    </row>
    <row r="363" spans="1:47" ht="14.25" customHeight="1" x14ac:dyDescent="0.3">
      <c r="A363" s="42"/>
      <c r="B363" s="42"/>
      <c r="C363" s="42"/>
      <c r="D363" s="61" t="s">
        <v>33</v>
      </c>
      <c r="E363" s="62"/>
      <c r="F363" s="61"/>
      <c r="G363" s="62"/>
      <c r="H363" s="61"/>
      <c r="I363" s="62"/>
      <c r="J363" s="42"/>
      <c r="K363" s="42"/>
      <c r="L363" s="63">
        <v>0</v>
      </c>
      <c r="M363" s="64"/>
      <c r="N363" s="62"/>
      <c r="O363" s="49" t="str">
        <f t="shared" si="5"/>
        <v>PLAN</v>
      </c>
      <c r="P363" s="61" t="s">
        <v>33</v>
      </c>
      <c r="Q363" s="62"/>
      <c r="R363" s="46"/>
      <c r="S363" s="2" t="str">
        <f t="shared" si="4"/>
        <v>01</v>
      </c>
      <c r="T363" s="2">
        <v>249</v>
      </c>
      <c r="U363" s="48" t="s">
        <v>91</v>
      </c>
      <c r="V363" s="2"/>
      <c r="W363" s="2" t="str">
        <f t="shared" si="3"/>
        <v>02</v>
      </c>
      <c r="X363" s="2"/>
      <c r="Y363" s="3"/>
      <c r="Z363" s="3"/>
      <c r="AA363" s="3"/>
      <c r="AB363" s="3"/>
      <c r="AC363" s="3"/>
      <c r="AD363" s="3"/>
      <c r="AE363" s="3"/>
      <c r="AF363" s="3"/>
      <c r="AG363" s="3"/>
      <c r="AH363" s="3"/>
      <c r="AI363" s="3"/>
      <c r="AJ363" s="3"/>
      <c r="AK363" s="3"/>
      <c r="AL363" s="3"/>
      <c r="AM363" s="3"/>
      <c r="AN363" s="3"/>
      <c r="AO363" s="3"/>
      <c r="AP363" s="3"/>
      <c r="AQ363" s="3"/>
      <c r="AR363" s="3"/>
      <c r="AS363" s="3"/>
      <c r="AT363" s="3"/>
      <c r="AU363" s="3"/>
    </row>
    <row r="364" spans="1:47" ht="14.25" customHeight="1" x14ac:dyDescent="0.3">
      <c r="A364" s="42"/>
      <c r="B364" s="42"/>
      <c r="C364" s="42"/>
      <c r="D364" s="61" t="s">
        <v>33</v>
      </c>
      <c r="E364" s="62"/>
      <c r="F364" s="61"/>
      <c r="G364" s="62"/>
      <c r="H364" s="61"/>
      <c r="I364" s="62"/>
      <c r="J364" s="42"/>
      <c r="K364" s="42"/>
      <c r="L364" s="63">
        <v>0</v>
      </c>
      <c r="M364" s="64"/>
      <c r="N364" s="62"/>
      <c r="O364" s="49" t="str">
        <f t="shared" si="5"/>
        <v>PLAN</v>
      </c>
      <c r="P364" s="61" t="s">
        <v>33</v>
      </c>
      <c r="Q364" s="62"/>
      <c r="R364" s="46"/>
      <c r="S364" s="2" t="str">
        <f t="shared" si="4"/>
        <v>01</v>
      </c>
      <c r="T364" s="2">
        <v>250</v>
      </c>
      <c r="U364" s="48" t="s">
        <v>91</v>
      </c>
      <c r="V364" s="2"/>
      <c r="W364" s="2" t="str">
        <f t="shared" si="3"/>
        <v>02</v>
      </c>
      <c r="X364" s="2"/>
      <c r="Y364" s="3"/>
      <c r="Z364" s="3"/>
      <c r="AA364" s="3"/>
      <c r="AB364" s="3"/>
      <c r="AC364" s="3"/>
      <c r="AD364" s="3"/>
      <c r="AE364" s="3"/>
      <c r="AF364" s="3"/>
      <c r="AG364" s="3"/>
      <c r="AH364" s="3"/>
      <c r="AI364" s="3"/>
      <c r="AJ364" s="3"/>
      <c r="AK364" s="3"/>
      <c r="AL364" s="3"/>
      <c r="AM364" s="3"/>
      <c r="AN364" s="3"/>
      <c r="AO364" s="3"/>
      <c r="AP364" s="3"/>
      <c r="AQ364" s="3"/>
      <c r="AR364" s="3"/>
      <c r="AS364" s="3"/>
      <c r="AT364" s="3"/>
      <c r="AU364" s="3"/>
    </row>
    <row r="365" spans="1:47" ht="14.25" customHeight="1" x14ac:dyDescent="0.3">
      <c r="A365" s="42"/>
      <c r="B365" s="42"/>
      <c r="C365" s="42"/>
      <c r="D365" s="61" t="s">
        <v>33</v>
      </c>
      <c r="E365" s="62"/>
      <c r="F365" s="61"/>
      <c r="G365" s="62"/>
      <c r="H365" s="61"/>
      <c r="I365" s="62"/>
      <c r="J365" s="42"/>
      <c r="K365" s="42"/>
      <c r="L365" s="63">
        <v>0</v>
      </c>
      <c r="M365" s="64"/>
      <c r="N365" s="62"/>
      <c r="O365" s="49" t="str">
        <f t="shared" si="5"/>
        <v>PLAN</v>
      </c>
      <c r="P365" s="61" t="s">
        <v>33</v>
      </c>
      <c r="Q365" s="62"/>
      <c r="R365" s="46"/>
      <c r="S365" s="2" t="str">
        <f t="shared" si="4"/>
        <v>01</v>
      </c>
      <c r="T365" s="2">
        <v>251</v>
      </c>
      <c r="U365" s="48" t="s">
        <v>91</v>
      </c>
      <c r="V365" s="2"/>
      <c r="W365" s="2" t="str">
        <f t="shared" si="3"/>
        <v>02</v>
      </c>
      <c r="X365" s="2"/>
      <c r="Y365" s="3"/>
      <c r="Z365" s="3"/>
      <c r="AA365" s="3"/>
      <c r="AB365" s="3"/>
      <c r="AC365" s="3"/>
      <c r="AD365" s="3"/>
      <c r="AE365" s="3"/>
      <c r="AF365" s="3"/>
      <c r="AG365" s="3"/>
      <c r="AH365" s="3"/>
      <c r="AI365" s="3"/>
      <c r="AJ365" s="3"/>
      <c r="AK365" s="3"/>
      <c r="AL365" s="3"/>
      <c r="AM365" s="3"/>
      <c r="AN365" s="3"/>
      <c r="AO365" s="3"/>
      <c r="AP365" s="3"/>
      <c r="AQ365" s="3"/>
      <c r="AR365" s="3"/>
      <c r="AS365" s="3"/>
      <c r="AT365" s="3"/>
      <c r="AU365" s="3"/>
    </row>
    <row r="366" spans="1:47" ht="14.25" customHeight="1" x14ac:dyDescent="0.3">
      <c r="A366" s="42"/>
      <c r="B366" s="42"/>
      <c r="C366" s="42"/>
      <c r="D366" s="61" t="s">
        <v>33</v>
      </c>
      <c r="E366" s="62"/>
      <c r="F366" s="61"/>
      <c r="G366" s="62"/>
      <c r="H366" s="61"/>
      <c r="I366" s="62"/>
      <c r="J366" s="42"/>
      <c r="K366" s="42"/>
      <c r="L366" s="63">
        <v>0</v>
      </c>
      <c r="M366" s="64"/>
      <c r="N366" s="62"/>
      <c r="O366" s="49" t="str">
        <f t="shared" si="5"/>
        <v>PLAN</v>
      </c>
      <c r="P366" s="61" t="s">
        <v>33</v>
      </c>
      <c r="Q366" s="62"/>
      <c r="R366" s="46"/>
      <c r="S366" s="2" t="str">
        <f t="shared" si="4"/>
        <v>01</v>
      </c>
      <c r="T366" s="2">
        <v>252</v>
      </c>
      <c r="U366" s="48" t="s">
        <v>91</v>
      </c>
      <c r="V366" s="2"/>
      <c r="W366" s="2" t="str">
        <f t="shared" si="3"/>
        <v>02</v>
      </c>
      <c r="X366" s="2"/>
      <c r="Y366" s="3"/>
      <c r="Z366" s="3"/>
      <c r="AA366" s="3"/>
      <c r="AB366" s="3"/>
      <c r="AC366" s="3"/>
      <c r="AD366" s="3"/>
      <c r="AE366" s="3"/>
      <c r="AF366" s="3"/>
      <c r="AG366" s="3"/>
      <c r="AH366" s="3"/>
      <c r="AI366" s="3"/>
      <c r="AJ366" s="3"/>
      <c r="AK366" s="3"/>
      <c r="AL366" s="3"/>
      <c r="AM366" s="3"/>
      <c r="AN366" s="3"/>
      <c r="AO366" s="3"/>
      <c r="AP366" s="3"/>
      <c r="AQ366" s="3"/>
      <c r="AR366" s="3"/>
      <c r="AS366" s="3"/>
      <c r="AT366" s="3"/>
      <c r="AU366" s="3"/>
    </row>
    <row r="367" spans="1:47" ht="14.25" customHeight="1" x14ac:dyDescent="0.3">
      <c r="A367" s="42"/>
      <c r="B367" s="42"/>
      <c r="C367" s="42"/>
      <c r="D367" s="61" t="s">
        <v>33</v>
      </c>
      <c r="E367" s="62"/>
      <c r="F367" s="61"/>
      <c r="G367" s="62"/>
      <c r="H367" s="61"/>
      <c r="I367" s="62"/>
      <c r="J367" s="42"/>
      <c r="K367" s="42"/>
      <c r="L367" s="63">
        <v>0</v>
      </c>
      <c r="M367" s="64"/>
      <c r="N367" s="62"/>
      <c r="O367" s="49" t="str">
        <f t="shared" si="5"/>
        <v>PLAN</v>
      </c>
      <c r="P367" s="61" t="s">
        <v>33</v>
      </c>
      <c r="Q367" s="62"/>
      <c r="R367" s="46"/>
      <c r="S367" s="2" t="str">
        <f t="shared" si="4"/>
        <v>01</v>
      </c>
      <c r="T367" s="2">
        <v>253</v>
      </c>
      <c r="U367" s="48" t="s">
        <v>91</v>
      </c>
      <c r="V367" s="2"/>
      <c r="W367" s="2" t="str">
        <f t="shared" si="3"/>
        <v>02</v>
      </c>
      <c r="X367" s="2"/>
      <c r="Y367" s="3"/>
      <c r="Z367" s="3"/>
      <c r="AA367" s="3"/>
      <c r="AB367" s="3"/>
      <c r="AC367" s="3"/>
      <c r="AD367" s="3"/>
      <c r="AE367" s="3"/>
      <c r="AF367" s="3"/>
      <c r="AG367" s="3"/>
      <c r="AH367" s="3"/>
      <c r="AI367" s="3"/>
      <c r="AJ367" s="3"/>
      <c r="AK367" s="3"/>
      <c r="AL367" s="3"/>
      <c r="AM367" s="3"/>
      <c r="AN367" s="3"/>
      <c r="AO367" s="3"/>
      <c r="AP367" s="3"/>
      <c r="AQ367" s="3"/>
      <c r="AR367" s="3"/>
      <c r="AS367" s="3"/>
      <c r="AT367" s="3"/>
      <c r="AU367" s="3"/>
    </row>
    <row r="368" spans="1:47" ht="14.25" customHeight="1" x14ac:dyDescent="0.3">
      <c r="A368" s="42"/>
      <c r="B368" s="42"/>
      <c r="C368" s="42"/>
      <c r="D368" s="61" t="s">
        <v>33</v>
      </c>
      <c r="E368" s="62"/>
      <c r="F368" s="61"/>
      <c r="G368" s="62"/>
      <c r="H368" s="61"/>
      <c r="I368" s="62"/>
      <c r="J368" s="42"/>
      <c r="K368" s="42"/>
      <c r="L368" s="63">
        <v>0</v>
      </c>
      <c r="M368" s="64"/>
      <c r="N368" s="62"/>
      <c r="O368" s="49" t="str">
        <f t="shared" si="5"/>
        <v>PLAN</v>
      </c>
      <c r="P368" s="61" t="s">
        <v>33</v>
      </c>
      <c r="Q368" s="62"/>
      <c r="R368" s="46"/>
      <c r="S368" s="2" t="str">
        <f t="shared" si="4"/>
        <v>01</v>
      </c>
      <c r="T368" s="2">
        <v>254</v>
      </c>
      <c r="U368" s="48" t="s">
        <v>91</v>
      </c>
      <c r="V368" s="2"/>
      <c r="W368" s="2" t="str">
        <f t="shared" si="3"/>
        <v>02</v>
      </c>
      <c r="X368" s="2"/>
      <c r="Y368" s="3"/>
      <c r="Z368" s="3"/>
      <c r="AA368" s="3"/>
      <c r="AB368" s="3"/>
      <c r="AC368" s="3"/>
      <c r="AD368" s="3"/>
      <c r="AE368" s="3"/>
      <c r="AF368" s="3"/>
      <c r="AG368" s="3"/>
      <c r="AH368" s="3"/>
      <c r="AI368" s="3"/>
      <c r="AJ368" s="3"/>
      <c r="AK368" s="3"/>
      <c r="AL368" s="3"/>
      <c r="AM368" s="3"/>
      <c r="AN368" s="3"/>
      <c r="AO368" s="3"/>
      <c r="AP368" s="3"/>
      <c r="AQ368" s="3"/>
      <c r="AR368" s="3"/>
      <c r="AS368" s="3"/>
      <c r="AT368" s="3"/>
      <c r="AU368" s="3"/>
    </row>
    <row r="369" spans="1:47" ht="14.25" customHeight="1" x14ac:dyDescent="0.3">
      <c r="A369" s="42"/>
      <c r="B369" s="42"/>
      <c r="C369" s="42"/>
      <c r="D369" s="61" t="s">
        <v>33</v>
      </c>
      <c r="E369" s="62"/>
      <c r="F369" s="61"/>
      <c r="G369" s="62"/>
      <c r="H369" s="61"/>
      <c r="I369" s="62"/>
      <c r="J369" s="42"/>
      <c r="K369" s="42"/>
      <c r="L369" s="63">
        <v>0</v>
      </c>
      <c r="M369" s="64"/>
      <c r="N369" s="62"/>
      <c r="O369" s="49" t="str">
        <f t="shared" si="5"/>
        <v>PLAN</v>
      </c>
      <c r="P369" s="61" t="s">
        <v>33</v>
      </c>
      <c r="Q369" s="62"/>
      <c r="R369" s="46"/>
      <c r="S369" s="2" t="str">
        <f t="shared" si="4"/>
        <v>01</v>
      </c>
      <c r="T369" s="2">
        <v>255</v>
      </c>
      <c r="U369" s="48" t="s">
        <v>91</v>
      </c>
      <c r="V369" s="2"/>
      <c r="W369" s="2" t="str">
        <f t="shared" ref="W369:W468" si="6">"0"&amp;S369+1</f>
        <v>02</v>
      </c>
      <c r="X369" s="2"/>
      <c r="Y369" s="3"/>
      <c r="Z369" s="3"/>
      <c r="AA369" s="3"/>
      <c r="AB369" s="3"/>
      <c r="AC369" s="3"/>
      <c r="AD369" s="3"/>
      <c r="AE369" s="3"/>
      <c r="AF369" s="3"/>
      <c r="AG369" s="3"/>
      <c r="AH369" s="3"/>
      <c r="AI369" s="3"/>
      <c r="AJ369" s="3"/>
      <c r="AK369" s="3"/>
      <c r="AL369" s="3"/>
      <c r="AM369" s="3"/>
      <c r="AN369" s="3"/>
      <c r="AO369" s="3"/>
      <c r="AP369" s="3"/>
      <c r="AQ369" s="3"/>
      <c r="AR369" s="3"/>
      <c r="AS369" s="3"/>
      <c r="AT369" s="3"/>
      <c r="AU369" s="3"/>
    </row>
    <row r="370" spans="1:47" ht="14.25" customHeight="1" x14ac:dyDescent="0.3">
      <c r="A370" s="42"/>
      <c r="B370" s="42"/>
      <c r="C370" s="42"/>
      <c r="D370" s="61" t="s">
        <v>33</v>
      </c>
      <c r="E370" s="62"/>
      <c r="F370" s="61"/>
      <c r="G370" s="62"/>
      <c r="H370" s="61"/>
      <c r="I370" s="62"/>
      <c r="J370" s="42"/>
      <c r="K370" s="42"/>
      <c r="L370" s="63">
        <v>0</v>
      </c>
      <c r="M370" s="64"/>
      <c r="N370" s="62"/>
      <c r="O370" s="49" t="str">
        <f t="shared" si="5"/>
        <v>PLAN</v>
      </c>
      <c r="P370" s="61" t="s">
        <v>33</v>
      </c>
      <c r="Q370" s="62"/>
      <c r="R370" s="46"/>
      <c r="S370" s="2" t="str">
        <f t="shared" si="4"/>
        <v>01</v>
      </c>
      <c r="T370" s="2">
        <v>256</v>
      </c>
      <c r="U370" s="48" t="s">
        <v>91</v>
      </c>
      <c r="V370" s="2"/>
      <c r="W370" s="2" t="str">
        <f t="shared" si="6"/>
        <v>02</v>
      </c>
      <c r="X370" s="2"/>
      <c r="Y370" s="3"/>
      <c r="Z370" s="3"/>
      <c r="AA370" s="3"/>
      <c r="AB370" s="3"/>
      <c r="AC370" s="3"/>
      <c r="AD370" s="3"/>
      <c r="AE370" s="3"/>
      <c r="AF370" s="3"/>
      <c r="AG370" s="3"/>
      <c r="AH370" s="3"/>
      <c r="AI370" s="3"/>
      <c r="AJ370" s="3"/>
      <c r="AK370" s="3"/>
      <c r="AL370" s="3"/>
      <c r="AM370" s="3"/>
      <c r="AN370" s="3"/>
      <c r="AO370" s="3"/>
      <c r="AP370" s="3"/>
      <c r="AQ370" s="3"/>
      <c r="AR370" s="3"/>
      <c r="AS370" s="3"/>
      <c r="AT370" s="3"/>
      <c r="AU370" s="3"/>
    </row>
    <row r="371" spans="1:47" ht="14.25" customHeight="1" x14ac:dyDescent="0.3">
      <c r="A371" s="42"/>
      <c r="B371" s="42"/>
      <c r="C371" s="42"/>
      <c r="D371" s="61" t="s">
        <v>33</v>
      </c>
      <c r="E371" s="62"/>
      <c r="F371" s="61"/>
      <c r="G371" s="62"/>
      <c r="H371" s="61"/>
      <c r="I371" s="62"/>
      <c r="J371" s="42"/>
      <c r="K371" s="42"/>
      <c r="L371" s="63">
        <v>0</v>
      </c>
      <c r="M371" s="64"/>
      <c r="N371" s="62"/>
      <c r="O371" s="49" t="str">
        <f t="shared" si="5"/>
        <v>PLAN</v>
      </c>
      <c r="P371" s="61" t="s">
        <v>33</v>
      </c>
      <c r="Q371" s="62"/>
      <c r="R371" s="46"/>
      <c r="S371" s="2" t="str">
        <f t="shared" si="4"/>
        <v>01</v>
      </c>
      <c r="T371" s="2">
        <v>257</v>
      </c>
      <c r="U371" s="48" t="s">
        <v>91</v>
      </c>
      <c r="V371" s="2"/>
      <c r="W371" s="2" t="str">
        <f t="shared" si="6"/>
        <v>02</v>
      </c>
      <c r="X371" s="2"/>
      <c r="Y371" s="3"/>
      <c r="Z371" s="3"/>
      <c r="AA371" s="3"/>
      <c r="AB371" s="3"/>
      <c r="AC371" s="3"/>
      <c r="AD371" s="3"/>
      <c r="AE371" s="3"/>
      <c r="AF371" s="3"/>
      <c r="AG371" s="3"/>
      <c r="AH371" s="3"/>
      <c r="AI371" s="3"/>
      <c r="AJ371" s="3"/>
      <c r="AK371" s="3"/>
      <c r="AL371" s="3"/>
      <c r="AM371" s="3"/>
      <c r="AN371" s="3"/>
      <c r="AO371" s="3"/>
      <c r="AP371" s="3"/>
      <c r="AQ371" s="3"/>
      <c r="AR371" s="3"/>
      <c r="AS371" s="3"/>
      <c r="AT371" s="3"/>
      <c r="AU371" s="3"/>
    </row>
    <row r="372" spans="1:47" ht="14.25" customHeight="1" x14ac:dyDescent="0.3">
      <c r="A372" s="42"/>
      <c r="B372" s="42"/>
      <c r="C372" s="42"/>
      <c r="D372" s="61" t="s">
        <v>33</v>
      </c>
      <c r="E372" s="62"/>
      <c r="F372" s="61"/>
      <c r="G372" s="62"/>
      <c r="H372" s="61"/>
      <c r="I372" s="62"/>
      <c r="J372" s="42"/>
      <c r="K372" s="42"/>
      <c r="L372" s="63">
        <v>0</v>
      </c>
      <c r="M372" s="64"/>
      <c r="N372" s="62"/>
      <c r="O372" s="49" t="str">
        <f t="shared" si="5"/>
        <v>PLAN</v>
      </c>
      <c r="P372" s="61" t="s">
        <v>33</v>
      </c>
      <c r="Q372" s="62"/>
      <c r="R372" s="46"/>
      <c r="S372" s="2" t="str">
        <f t="shared" si="4"/>
        <v>01</v>
      </c>
      <c r="T372" s="2">
        <v>258</v>
      </c>
      <c r="U372" s="48" t="s">
        <v>91</v>
      </c>
      <c r="V372" s="2"/>
      <c r="W372" s="2" t="str">
        <f t="shared" si="6"/>
        <v>02</v>
      </c>
      <c r="X372" s="2"/>
      <c r="Y372" s="3"/>
      <c r="Z372" s="3"/>
      <c r="AA372" s="3"/>
      <c r="AB372" s="3"/>
      <c r="AC372" s="3"/>
      <c r="AD372" s="3"/>
      <c r="AE372" s="3"/>
      <c r="AF372" s="3"/>
      <c r="AG372" s="3"/>
      <c r="AH372" s="3"/>
      <c r="AI372" s="3"/>
      <c r="AJ372" s="3"/>
      <c r="AK372" s="3"/>
      <c r="AL372" s="3"/>
      <c r="AM372" s="3"/>
      <c r="AN372" s="3"/>
      <c r="AO372" s="3"/>
      <c r="AP372" s="3"/>
      <c r="AQ372" s="3"/>
      <c r="AR372" s="3"/>
      <c r="AS372" s="3"/>
      <c r="AT372" s="3"/>
      <c r="AU372" s="3"/>
    </row>
    <row r="373" spans="1:47" ht="14.25" customHeight="1" x14ac:dyDescent="0.3">
      <c r="A373" s="42"/>
      <c r="B373" s="42"/>
      <c r="C373" s="42"/>
      <c r="D373" s="61" t="s">
        <v>33</v>
      </c>
      <c r="E373" s="62"/>
      <c r="F373" s="61"/>
      <c r="G373" s="62"/>
      <c r="H373" s="61"/>
      <c r="I373" s="62"/>
      <c r="J373" s="42"/>
      <c r="K373" s="42"/>
      <c r="L373" s="63">
        <v>0</v>
      </c>
      <c r="M373" s="64"/>
      <c r="N373" s="62"/>
      <c r="O373" s="49" t="str">
        <f t="shared" si="5"/>
        <v>PLAN</v>
      </c>
      <c r="P373" s="61" t="s">
        <v>33</v>
      </c>
      <c r="Q373" s="62"/>
      <c r="R373" s="46"/>
      <c r="S373" s="2" t="str">
        <f t="shared" si="4"/>
        <v>01</v>
      </c>
      <c r="T373" s="2">
        <v>259</v>
      </c>
      <c r="U373" s="48" t="s">
        <v>91</v>
      </c>
      <c r="V373" s="2"/>
      <c r="W373" s="2" t="str">
        <f t="shared" si="6"/>
        <v>02</v>
      </c>
      <c r="X373" s="2"/>
      <c r="Y373" s="3"/>
      <c r="Z373" s="3"/>
      <c r="AA373" s="3"/>
      <c r="AB373" s="3"/>
      <c r="AC373" s="3"/>
      <c r="AD373" s="3"/>
      <c r="AE373" s="3"/>
      <c r="AF373" s="3"/>
      <c r="AG373" s="3"/>
      <c r="AH373" s="3"/>
      <c r="AI373" s="3"/>
      <c r="AJ373" s="3"/>
      <c r="AK373" s="3"/>
      <c r="AL373" s="3"/>
      <c r="AM373" s="3"/>
      <c r="AN373" s="3"/>
      <c r="AO373" s="3"/>
      <c r="AP373" s="3"/>
      <c r="AQ373" s="3"/>
      <c r="AR373" s="3"/>
      <c r="AS373" s="3"/>
      <c r="AT373" s="3"/>
      <c r="AU373" s="3"/>
    </row>
    <row r="374" spans="1:47" ht="14.25" customHeight="1" x14ac:dyDescent="0.3">
      <c r="A374" s="42"/>
      <c r="B374" s="42"/>
      <c r="C374" s="42"/>
      <c r="D374" s="61" t="s">
        <v>33</v>
      </c>
      <c r="E374" s="62"/>
      <c r="F374" s="61"/>
      <c r="G374" s="62"/>
      <c r="H374" s="61"/>
      <c r="I374" s="62"/>
      <c r="J374" s="42"/>
      <c r="K374" s="42"/>
      <c r="L374" s="63">
        <v>0</v>
      </c>
      <c r="M374" s="64"/>
      <c r="N374" s="62"/>
      <c r="O374" s="49" t="str">
        <f t="shared" si="5"/>
        <v>PLAN</v>
      </c>
      <c r="P374" s="61" t="s">
        <v>33</v>
      </c>
      <c r="Q374" s="62"/>
      <c r="R374" s="46"/>
      <c r="S374" s="2" t="str">
        <f t="shared" si="4"/>
        <v>01</v>
      </c>
      <c r="T374" s="2">
        <v>260</v>
      </c>
      <c r="U374" s="48" t="s">
        <v>91</v>
      </c>
      <c r="V374" s="2"/>
      <c r="W374" s="2" t="str">
        <f t="shared" si="6"/>
        <v>02</v>
      </c>
      <c r="X374" s="2"/>
      <c r="Y374" s="3"/>
      <c r="Z374" s="3"/>
      <c r="AA374" s="3"/>
      <c r="AB374" s="3"/>
      <c r="AC374" s="3"/>
      <c r="AD374" s="3"/>
      <c r="AE374" s="3"/>
      <c r="AF374" s="3"/>
      <c r="AG374" s="3"/>
      <c r="AH374" s="3"/>
      <c r="AI374" s="3"/>
      <c r="AJ374" s="3"/>
      <c r="AK374" s="3"/>
      <c r="AL374" s="3"/>
      <c r="AM374" s="3"/>
      <c r="AN374" s="3"/>
      <c r="AO374" s="3"/>
      <c r="AP374" s="3"/>
      <c r="AQ374" s="3"/>
      <c r="AR374" s="3"/>
      <c r="AS374" s="3"/>
      <c r="AT374" s="3"/>
      <c r="AU374" s="3"/>
    </row>
    <row r="375" spans="1:47" ht="14.25" customHeight="1" x14ac:dyDescent="0.3">
      <c r="A375" s="42"/>
      <c r="B375" s="42"/>
      <c r="C375" s="42"/>
      <c r="D375" s="61" t="s">
        <v>33</v>
      </c>
      <c r="E375" s="62"/>
      <c r="F375" s="61"/>
      <c r="G375" s="62"/>
      <c r="H375" s="61"/>
      <c r="I375" s="62"/>
      <c r="J375" s="42"/>
      <c r="K375" s="42"/>
      <c r="L375" s="63">
        <v>0</v>
      </c>
      <c r="M375" s="64"/>
      <c r="N375" s="62"/>
      <c r="O375" s="49" t="str">
        <f t="shared" si="5"/>
        <v>PLAN</v>
      </c>
      <c r="P375" s="61" t="s">
        <v>33</v>
      </c>
      <c r="Q375" s="62"/>
      <c r="R375" s="46"/>
      <c r="S375" s="2" t="str">
        <f t="shared" si="4"/>
        <v>01</v>
      </c>
      <c r="T375" s="2">
        <v>261</v>
      </c>
      <c r="U375" s="48" t="s">
        <v>91</v>
      </c>
      <c r="V375" s="2"/>
      <c r="W375" s="2" t="str">
        <f t="shared" si="6"/>
        <v>02</v>
      </c>
      <c r="X375" s="2"/>
      <c r="Y375" s="3"/>
      <c r="Z375" s="3"/>
      <c r="AA375" s="3"/>
      <c r="AB375" s="3"/>
      <c r="AC375" s="3"/>
      <c r="AD375" s="3"/>
      <c r="AE375" s="3"/>
      <c r="AF375" s="3"/>
      <c r="AG375" s="3"/>
      <c r="AH375" s="3"/>
      <c r="AI375" s="3"/>
      <c r="AJ375" s="3"/>
      <c r="AK375" s="3"/>
      <c r="AL375" s="3"/>
      <c r="AM375" s="3"/>
      <c r="AN375" s="3"/>
      <c r="AO375" s="3"/>
      <c r="AP375" s="3"/>
      <c r="AQ375" s="3"/>
      <c r="AR375" s="3"/>
      <c r="AS375" s="3"/>
      <c r="AT375" s="3"/>
      <c r="AU375" s="3"/>
    </row>
    <row r="376" spans="1:47" ht="14.25" customHeight="1" x14ac:dyDescent="0.3">
      <c r="A376" s="42"/>
      <c r="B376" s="42"/>
      <c r="C376" s="42"/>
      <c r="D376" s="61" t="s">
        <v>33</v>
      </c>
      <c r="E376" s="62"/>
      <c r="F376" s="61"/>
      <c r="G376" s="62"/>
      <c r="H376" s="61"/>
      <c r="I376" s="62"/>
      <c r="J376" s="42"/>
      <c r="K376" s="42"/>
      <c r="L376" s="63">
        <v>0</v>
      </c>
      <c r="M376" s="64"/>
      <c r="N376" s="62"/>
      <c r="O376" s="49" t="str">
        <f t="shared" si="5"/>
        <v>PLAN</v>
      </c>
      <c r="P376" s="61" t="s">
        <v>33</v>
      </c>
      <c r="Q376" s="62"/>
      <c r="R376" s="46"/>
      <c r="S376" s="2" t="str">
        <f t="shared" si="4"/>
        <v>01</v>
      </c>
      <c r="T376" s="2">
        <v>262</v>
      </c>
      <c r="U376" s="48" t="s">
        <v>91</v>
      </c>
      <c r="V376" s="2"/>
      <c r="W376" s="2" t="str">
        <f t="shared" si="6"/>
        <v>02</v>
      </c>
      <c r="X376" s="2"/>
      <c r="Y376" s="3"/>
      <c r="Z376" s="3"/>
      <c r="AA376" s="3"/>
      <c r="AB376" s="3"/>
      <c r="AC376" s="3"/>
      <c r="AD376" s="3"/>
      <c r="AE376" s="3"/>
      <c r="AF376" s="3"/>
      <c r="AG376" s="3"/>
      <c r="AH376" s="3"/>
      <c r="AI376" s="3"/>
      <c r="AJ376" s="3"/>
      <c r="AK376" s="3"/>
      <c r="AL376" s="3"/>
      <c r="AM376" s="3"/>
      <c r="AN376" s="3"/>
      <c r="AO376" s="3"/>
      <c r="AP376" s="3"/>
      <c r="AQ376" s="3"/>
      <c r="AR376" s="3"/>
      <c r="AS376" s="3"/>
      <c r="AT376" s="3"/>
      <c r="AU376" s="3"/>
    </row>
    <row r="377" spans="1:47" ht="14.25" customHeight="1" x14ac:dyDescent="0.3">
      <c r="A377" s="42"/>
      <c r="B377" s="42"/>
      <c r="C377" s="42"/>
      <c r="D377" s="61" t="s">
        <v>33</v>
      </c>
      <c r="E377" s="62"/>
      <c r="F377" s="61"/>
      <c r="G377" s="62"/>
      <c r="H377" s="61"/>
      <c r="I377" s="62"/>
      <c r="J377" s="42"/>
      <c r="K377" s="42"/>
      <c r="L377" s="63">
        <v>0</v>
      </c>
      <c r="M377" s="64"/>
      <c r="N377" s="62"/>
      <c r="O377" s="49" t="str">
        <f t="shared" si="5"/>
        <v>PLAN</v>
      </c>
      <c r="P377" s="61" t="s">
        <v>33</v>
      </c>
      <c r="Q377" s="62"/>
      <c r="R377" s="46"/>
      <c r="S377" s="2" t="str">
        <f t="shared" si="4"/>
        <v>01</v>
      </c>
      <c r="T377" s="2">
        <v>263</v>
      </c>
      <c r="U377" s="48" t="s">
        <v>91</v>
      </c>
      <c r="V377" s="2"/>
      <c r="W377" s="2" t="str">
        <f t="shared" si="6"/>
        <v>02</v>
      </c>
      <c r="X377" s="2"/>
      <c r="Y377" s="3"/>
      <c r="Z377" s="3"/>
      <c r="AA377" s="3"/>
      <c r="AB377" s="3"/>
      <c r="AC377" s="3"/>
      <c r="AD377" s="3"/>
      <c r="AE377" s="3"/>
      <c r="AF377" s="3"/>
      <c r="AG377" s="3"/>
      <c r="AH377" s="3"/>
      <c r="AI377" s="3"/>
      <c r="AJ377" s="3"/>
      <c r="AK377" s="3"/>
      <c r="AL377" s="3"/>
      <c r="AM377" s="3"/>
      <c r="AN377" s="3"/>
      <c r="AO377" s="3"/>
      <c r="AP377" s="3"/>
      <c r="AQ377" s="3"/>
      <c r="AR377" s="3"/>
      <c r="AS377" s="3"/>
      <c r="AT377" s="3"/>
      <c r="AU377" s="3"/>
    </row>
    <row r="378" spans="1:47" ht="14.25" customHeight="1" x14ac:dyDescent="0.3">
      <c r="A378" s="42"/>
      <c r="B378" s="42"/>
      <c r="C378" s="42"/>
      <c r="D378" s="61" t="s">
        <v>33</v>
      </c>
      <c r="E378" s="62"/>
      <c r="F378" s="61"/>
      <c r="G378" s="62"/>
      <c r="H378" s="61"/>
      <c r="I378" s="62"/>
      <c r="J378" s="42"/>
      <c r="K378" s="42"/>
      <c r="L378" s="63">
        <v>0</v>
      </c>
      <c r="M378" s="64"/>
      <c r="N378" s="62"/>
      <c r="O378" s="49" t="str">
        <f t="shared" si="5"/>
        <v>PLAN</v>
      </c>
      <c r="P378" s="61" t="s">
        <v>33</v>
      </c>
      <c r="Q378" s="62"/>
      <c r="R378" s="46"/>
      <c r="S378" s="2" t="str">
        <f t="shared" si="4"/>
        <v>01</v>
      </c>
      <c r="T378" s="2">
        <v>264</v>
      </c>
      <c r="U378" s="48" t="s">
        <v>91</v>
      </c>
      <c r="V378" s="2"/>
      <c r="W378" s="2" t="str">
        <f t="shared" si="6"/>
        <v>02</v>
      </c>
      <c r="X378" s="2"/>
      <c r="Y378" s="3"/>
      <c r="Z378" s="3"/>
      <c r="AA378" s="3"/>
      <c r="AB378" s="3"/>
      <c r="AC378" s="3"/>
      <c r="AD378" s="3"/>
      <c r="AE378" s="3"/>
      <c r="AF378" s="3"/>
      <c r="AG378" s="3"/>
      <c r="AH378" s="3"/>
      <c r="AI378" s="3"/>
      <c r="AJ378" s="3"/>
      <c r="AK378" s="3"/>
      <c r="AL378" s="3"/>
      <c r="AM378" s="3"/>
      <c r="AN378" s="3"/>
      <c r="AO378" s="3"/>
      <c r="AP378" s="3"/>
      <c r="AQ378" s="3"/>
      <c r="AR378" s="3"/>
      <c r="AS378" s="3"/>
      <c r="AT378" s="3"/>
      <c r="AU378" s="3"/>
    </row>
    <row r="379" spans="1:47" ht="14.25" customHeight="1" x14ac:dyDescent="0.3">
      <c r="A379" s="42"/>
      <c r="B379" s="42"/>
      <c r="C379" s="42"/>
      <c r="D379" s="61" t="s">
        <v>33</v>
      </c>
      <c r="E379" s="62"/>
      <c r="F379" s="61"/>
      <c r="G379" s="62"/>
      <c r="H379" s="61"/>
      <c r="I379" s="62"/>
      <c r="J379" s="42"/>
      <c r="K379" s="42"/>
      <c r="L379" s="63">
        <v>0</v>
      </c>
      <c r="M379" s="64"/>
      <c r="N379" s="62"/>
      <c r="O379" s="49" t="str">
        <f t="shared" si="5"/>
        <v>PLAN</v>
      </c>
      <c r="P379" s="61" t="s">
        <v>33</v>
      </c>
      <c r="Q379" s="62"/>
      <c r="R379" s="46"/>
      <c r="S379" s="2" t="str">
        <f t="shared" si="4"/>
        <v>01</v>
      </c>
      <c r="T379" s="2">
        <v>265</v>
      </c>
      <c r="U379" s="48" t="s">
        <v>91</v>
      </c>
      <c r="V379" s="2"/>
      <c r="W379" s="2" t="str">
        <f t="shared" si="6"/>
        <v>02</v>
      </c>
      <c r="X379" s="2"/>
      <c r="Y379" s="3"/>
      <c r="Z379" s="3"/>
      <c r="AA379" s="3"/>
      <c r="AB379" s="3"/>
      <c r="AC379" s="3"/>
      <c r="AD379" s="3"/>
      <c r="AE379" s="3"/>
      <c r="AF379" s="3"/>
      <c r="AG379" s="3"/>
      <c r="AH379" s="3"/>
      <c r="AI379" s="3"/>
      <c r="AJ379" s="3"/>
      <c r="AK379" s="3"/>
      <c r="AL379" s="3"/>
      <c r="AM379" s="3"/>
      <c r="AN379" s="3"/>
      <c r="AO379" s="3"/>
      <c r="AP379" s="3"/>
      <c r="AQ379" s="3"/>
      <c r="AR379" s="3"/>
      <c r="AS379" s="3"/>
      <c r="AT379" s="3"/>
      <c r="AU379" s="3"/>
    </row>
    <row r="380" spans="1:47" ht="14.25" customHeight="1" x14ac:dyDescent="0.3">
      <c r="A380" s="42"/>
      <c r="B380" s="42"/>
      <c r="C380" s="42"/>
      <c r="D380" s="61" t="s">
        <v>33</v>
      </c>
      <c r="E380" s="62"/>
      <c r="F380" s="61"/>
      <c r="G380" s="62"/>
      <c r="H380" s="61"/>
      <c r="I380" s="62"/>
      <c r="J380" s="42"/>
      <c r="K380" s="42"/>
      <c r="L380" s="63">
        <v>0</v>
      </c>
      <c r="M380" s="64"/>
      <c r="N380" s="62"/>
      <c r="O380" s="49" t="str">
        <f t="shared" si="5"/>
        <v>PLAN</v>
      </c>
      <c r="P380" s="61" t="s">
        <v>33</v>
      </c>
      <c r="Q380" s="62"/>
      <c r="R380" s="46"/>
      <c r="S380" s="2" t="str">
        <f t="shared" si="4"/>
        <v>01</v>
      </c>
      <c r="T380" s="2">
        <v>266</v>
      </c>
      <c r="U380" s="48" t="s">
        <v>91</v>
      </c>
      <c r="V380" s="2"/>
      <c r="W380" s="2" t="str">
        <f t="shared" si="6"/>
        <v>02</v>
      </c>
      <c r="X380" s="2"/>
      <c r="Y380" s="3"/>
      <c r="Z380" s="3"/>
      <c r="AA380" s="3"/>
      <c r="AB380" s="3"/>
      <c r="AC380" s="3"/>
      <c r="AD380" s="3"/>
      <c r="AE380" s="3"/>
      <c r="AF380" s="3"/>
      <c r="AG380" s="3"/>
      <c r="AH380" s="3"/>
      <c r="AI380" s="3"/>
      <c r="AJ380" s="3"/>
      <c r="AK380" s="3"/>
      <c r="AL380" s="3"/>
      <c r="AM380" s="3"/>
      <c r="AN380" s="3"/>
      <c r="AO380" s="3"/>
      <c r="AP380" s="3"/>
      <c r="AQ380" s="3"/>
      <c r="AR380" s="3"/>
      <c r="AS380" s="3"/>
      <c r="AT380" s="3"/>
      <c r="AU380" s="3"/>
    </row>
    <row r="381" spans="1:47" ht="14.25" customHeight="1" x14ac:dyDescent="0.3">
      <c r="A381" s="42"/>
      <c r="B381" s="42"/>
      <c r="C381" s="42"/>
      <c r="D381" s="61" t="s">
        <v>33</v>
      </c>
      <c r="E381" s="62"/>
      <c r="F381" s="61"/>
      <c r="G381" s="62"/>
      <c r="H381" s="61"/>
      <c r="I381" s="62"/>
      <c r="J381" s="42"/>
      <c r="K381" s="42"/>
      <c r="L381" s="63">
        <v>0</v>
      </c>
      <c r="M381" s="64"/>
      <c r="N381" s="62"/>
      <c r="O381" s="49" t="str">
        <f t="shared" si="5"/>
        <v>PLAN</v>
      </c>
      <c r="P381" s="61" t="s">
        <v>33</v>
      </c>
      <c r="Q381" s="62"/>
      <c r="R381" s="46"/>
      <c r="S381" s="2" t="str">
        <f t="shared" si="4"/>
        <v>01</v>
      </c>
      <c r="T381" s="2">
        <v>267</v>
      </c>
      <c r="U381" s="48" t="s">
        <v>91</v>
      </c>
      <c r="V381" s="2"/>
      <c r="W381" s="2" t="str">
        <f t="shared" si="6"/>
        <v>02</v>
      </c>
      <c r="X381" s="2"/>
      <c r="Y381" s="3"/>
      <c r="Z381" s="3"/>
      <c r="AA381" s="3"/>
      <c r="AB381" s="3"/>
      <c r="AC381" s="3"/>
      <c r="AD381" s="3"/>
      <c r="AE381" s="3"/>
      <c r="AF381" s="3"/>
      <c r="AG381" s="3"/>
      <c r="AH381" s="3"/>
      <c r="AI381" s="3"/>
      <c r="AJ381" s="3"/>
      <c r="AK381" s="3"/>
      <c r="AL381" s="3"/>
      <c r="AM381" s="3"/>
      <c r="AN381" s="3"/>
      <c r="AO381" s="3"/>
      <c r="AP381" s="3"/>
      <c r="AQ381" s="3"/>
      <c r="AR381" s="3"/>
      <c r="AS381" s="3"/>
      <c r="AT381" s="3"/>
      <c r="AU381" s="3"/>
    </row>
    <row r="382" spans="1:47" ht="14.25" customHeight="1" x14ac:dyDescent="0.3">
      <c r="A382" s="42"/>
      <c r="B382" s="42"/>
      <c r="C382" s="42"/>
      <c r="D382" s="61" t="s">
        <v>33</v>
      </c>
      <c r="E382" s="62"/>
      <c r="F382" s="61"/>
      <c r="G382" s="62"/>
      <c r="H382" s="61"/>
      <c r="I382" s="62"/>
      <c r="J382" s="42"/>
      <c r="K382" s="42"/>
      <c r="L382" s="63">
        <v>0</v>
      </c>
      <c r="M382" s="64"/>
      <c r="N382" s="62"/>
      <c r="O382" s="49" t="str">
        <f t="shared" si="5"/>
        <v>PLAN</v>
      </c>
      <c r="P382" s="61" t="s">
        <v>33</v>
      </c>
      <c r="Q382" s="62"/>
      <c r="R382" s="46"/>
      <c r="S382" s="2" t="str">
        <f t="shared" si="4"/>
        <v>01</v>
      </c>
      <c r="T382" s="2">
        <v>268</v>
      </c>
      <c r="U382" s="48" t="s">
        <v>91</v>
      </c>
      <c r="V382" s="2"/>
      <c r="W382" s="2" t="str">
        <f t="shared" si="6"/>
        <v>02</v>
      </c>
      <c r="X382" s="2"/>
      <c r="Y382" s="3"/>
      <c r="Z382" s="3"/>
      <c r="AA382" s="3"/>
      <c r="AB382" s="3"/>
      <c r="AC382" s="3"/>
      <c r="AD382" s="3"/>
      <c r="AE382" s="3"/>
      <c r="AF382" s="3"/>
      <c r="AG382" s="3"/>
      <c r="AH382" s="3"/>
      <c r="AI382" s="3"/>
      <c r="AJ382" s="3"/>
      <c r="AK382" s="3"/>
      <c r="AL382" s="3"/>
      <c r="AM382" s="3"/>
      <c r="AN382" s="3"/>
      <c r="AO382" s="3"/>
      <c r="AP382" s="3"/>
      <c r="AQ382" s="3"/>
      <c r="AR382" s="3"/>
      <c r="AS382" s="3"/>
      <c r="AT382" s="3"/>
      <c r="AU382" s="3"/>
    </row>
    <row r="383" spans="1:47" ht="14.25" customHeight="1" x14ac:dyDescent="0.3">
      <c r="A383" s="42"/>
      <c r="B383" s="42"/>
      <c r="C383" s="42"/>
      <c r="D383" s="61" t="s">
        <v>33</v>
      </c>
      <c r="E383" s="62"/>
      <c r="F383" s="61"/>
      <c r="G383" s="62"/>
      <c r="H383" s="61"/>
      <c r="I383" s="62"/>
      <c r="J383" s="42"/>
      <c r="K383" s="42"/>
      <c r="L383" s="63">
        <v>0</v>
      </c>
      <c r="M383" s="64"/>
      <c r="N383" s="62"/>
      <c r="O383" s="49" t="str">
        <f t="shared" si="5"/>
        <v>PLAN</v>
      </c>
      <c r="P383" s="61" t="s">
        <v>33</v>
      </c>
      <c r="Q383" s="62"/>
      <c r="R383" s="46"/>
      <c r="S383" s="2" t="str">
        <f t="shared" si="4"/>
        <v>01</v>
      </c>
      <c r="T383" s="2">
        <v>269</v>
      </c>
      <c r="U383" s="48" t="s">
        <v>91</v>
      </c>
      <c r="V383" s="2"/>
      <c r="W383" s="2" t="str">
        <f t="shared" si="6"/>
        <v>02</v>
      </c>
      <c r="X383" s="2"/>
      <c r="Y383" s="3"/>
      <c r="Z383" s="3"/>
      <c r="AA383" s="3"/>
      <c r="AB383" s="3"/>
      <c r="AC383" s="3"/>
      <c r="AD383" s="3"/>
      <c r="AE383" s="3"/>
      <c r="AF383" s="3"/>
      <c r="AG383" s="3"/>
      <c r="AH383" s="3"/>
      <c r="AI383" s="3"/>
      <c r="AJ383" s="3"/>
      <c r="AK383" s="3"/>
      <c r="AL383" s="3"/>
      <c r="AM383" s="3"/>
      <c r="AN383" s="3"/>
      <c r="AO383" s="3"/>
      <c r="AP383" s="3"/>
      <c r="AQ383" s="3"/>
      <c r="AR383" s="3"/>
      <c r="AS383" s="3"/>
      <c r="AT383" s="3"/>
      <c r="AU383" s="3"/>
    </row>
    <row r="384" spans="1:47" ht="14.25" customHeight="1" x14ac:dyDescent="0.3">
      <c r="A384" s="42"/>
      <c r="B384" s="42"/>
      <c r="C384" s="42"/>
      <c r="D384" s="61" t="s">
        <v>33</v>
      </c>
      <c r="E384" s="62"/>
      <c r="F384" s="61"/>
      <c r="G384" s="62"/>
      <c r="H384" s="61"/>
      <c r="I384" s="62"/>
      <c r="J384" s="42"/>
      <c r="K384" s="42"/>
      <c r="L384" s="63">
        <v>0</v>
      </c>
      <c r="M384" s="64"/>
      <c r="N384" s="62"/>
      <c r="O384" s="49" t="str">
        <f t="shared" si="5"/>
        <v>PLAN</v>
      </c>
      <c r="P384" s="61" t="s">
        <v>33</v>
      </c>
      <c r="Q384" s="62"/>
      <c r="R384" s="46"/>
      <c r="S384" s="2" t="str">
        <f t="shared" si="4"/>
        <v>01</v>
      </c>
      <c r="T384" s="2">
        <v>270</v>
      </c>
      <c r="U384" s="48" t="s">
        <v>91</v>
      </c>
      <c r="V384" s="2"/>
      <c r="W384" s="2" t="str">
        <f t="shared" si="6"/>
        <v>02</v>
      </c>
      <c r="X384" s="2"/>
      <c r="Y384" s="3"/>
      <c r="Z384" s="3"/>
      <c r="AA384" s="3"/>
      <c r="AB384" s="3"/>
      <c r="AC384" s="3"/>
      <c r="AD384" s="3"/>
      <c r="AE384" s="3"/>
      <c r="AF384" s="3"/>
      <c r="AG384" s="3"/>
      <c r="AH384" s="3"/>
      <c r="AI384" s="3"/>
      <c r="AJ384" s="3"/>
      <c r="AK384" s="3"/>
      <c r="AL384" s="3"/>
      <c r="AM384" s="3"/>
      <c r="AN384" s="3"/>
      <c r="AO384" s="3"/>
      <c r="AP384" s="3"/>
      <c r="AQ384" s="3"/>
      <c r="AR384" s="3"/>
      <c r="AS384" s="3"/>
      <c r="AT384" s="3"/>
      <c r="AU384" s="3"/>
    </row>
    <row r="385" spans="1:47" ht="14.25" customHeight="1" x14ac:dyDescent="0.3">
      <c r="A385" s="42"/>
      <c r="B385" s="42"/>
      <c r="C385" s="42"/>
      <c r="D385" s="61" t="s">
        <v>33</v>
      </c>
      <c r="E385" s="62"/>
      <c r="F385" s="61"/>
      <c r="G385" s="62"/>
      <c r="H385" s="61"/>
      <c r="I385" s="62"/>
      <c r="J385" s="42"/>
      <c r="K385" s="42"/>
      <c r="L385" s="63">
        <v>0</v>
      </c>
      <c r="M385" s="64"/>
      <c r="N385" s="62"/>
      <c r="O385" s="49" t="str">
        <f t="shared" si="5"/>
        <v>PLAN</v>
      </c>
      <c r="P385" s="61" t="s">
        <v>33</v>
      </c>
      <c r="Q385" s="62"/>
      <c r="R385" s="46"/>
      <c r="S385" s="2" t="str">
        <f t="shared" si="4"/>
        <v>01</v>
      </c>
      <c r="T385" s="2">
        <v>271</v>
      </c>
      <c r="U385" s="48" t="s">
        <v>91</v>
      </c>
      <c r="V385" s="2"/>
      <c r="W385" s="2" t="str">
        <f t="shared" si="6"/>
        <v>02</v>
      </c>
      <c r="X385" s="2"/>
      <c r="Y385" s="3"/>
      <c r="Z385" s="3"/>
      <c r="AA385" s="3"/>
      <c r="AB385" s="3"/>
      <c r="AC385" s="3"/>
      <c r="AD385" s="3"/>
      <c r="AE385" s="3"/>
      <c r="AF385" s="3"/>
      <c r="AG385" s="3"/>
      <c r="AH385" s="3"/>
      <c r="AI385" s="3"/>
      <c r="AJ385" s="3"/>
      <c r="AK385" s="3"/>
      <c r="AL385" s="3"/>
      <c r="AM385" s="3"/>
      <c r="AN385" s="3"/>
      <c r="AO385" s="3"/>
      <c r="AP385" s="3"/>
      <c r="AQ385" s="3"/>
      <c r="AR385" s="3"/>
      <c r="AS385" s="3"/>
      <c r="AT385" s="3"/>
      <c r="AU385" s="3"/>
    </row>
    <row r="386" spans="1:47" ht="14.25" customHeight="1" x14ac:dyDescent="0.3">
      <c r="A386" s="42"/>
      <c r="B386" s="42"/>
      <c r="C386" s="42"/>
      <c r="D386" s="61" t="s">
        <v>33</v>
      </c>
      <c r="E386" s="62"/>
      <c r="F386" s="61"/>
      <c r="G386" s="62"/>
      <c r="H386" s="61"/>
      <c r="I386" s="62"/>
      <c r="J386" s="42"/>
      <c r="K386" s="42"/>
      <c r="L386" s="63">
        <v>0</v>
      </c>
      <c r="M386" s="64"/>
      <c r="N386" s="62"/>
      <c r="O386" s="49" t="str">
        <f t="shared" si="5"/>
        <v>PLAN</v>
      </c>
      <c r="P386" s="61" t="s">
        <v>33</v>
      </c>
      <c r="Q386" s="62"/>
      <c r="R386" s="46"/>
      <c r="S386" s="2" t="str">
        <f t="shared" si="4"/>
        <v>01</v>
      </c>
      <c r="T386" s="2">
        <v>272</v>
      </c>
      <c r="U386" s="48" t="s">
        <v>91</v>
      </c>
      <c r="V386" s="2"/>
      <c r="W386" s="2" t="str">
        <f t="shared" si="6"/>
        <v>02</v>
      </c>
      <c r="X386" s="2"/>
      <c r="Y386" s="3"/>
      <c r="Z386" s="3"/>
      <c r="AA386" s="3"/>
      <c r="AB386" s="3"/>
      <c r="AC386" s="3"/>
      <c r="AD386" s="3"/>
      <c r="AE386" s="3"/>
      <c r="AF386" s="3"/>
      <c r="AG386" s="3"/>
      <c r="AH386" s="3"/>
      <c r="AI386" s="3"/>
      <c r="AJ386" s="3"/>
      <c r="AK386" s="3"/>
      <c r="AL386" s="3"/>
      <c r="AM386" s="3"/>
      <c r="AN386" s="3"/>
      <c r="AO386" s="3"/>
      <c r="AP386" s="3"/>
      <c r="AQ386" s="3"/>
      <c r="AR386" s="3"/>
      <c r="AS386" s="3"/>
      <c r="AT386" s="3"/>
      <c r="AU386" s="3"/>
    </row>
    <row r="387" spans="1:47" ht="14.25" customHeight="1" x14ac:dyDescent="0.3">
      <c r="A387" s="42"/>
      <c r="B387" s="42"/>
      <c r="C387" s="42"/>
      <c r="D387" s="61" t="s">
        <v>33</v>
      </c>
      <c r="E387" s="62"/>
      <c r="F387" s="61"/>
      <c r="G387" s="62"/>
      <c r="H387" s="61"/>
      <c r="I387" s="62"/>
      <c r="J387" s="42"/>
      <c r="K387" s="42"/>
      <c r="L387" s="63">
        <v>0</v>
      </c>
      <c r="M387" s="64"/>
      <c r="N387" s="62"/>
      <c r="O387" s="49" t="str">
        <f t="shared" si="5"/>
        <v>PLAN</v>
      </c>
      <c r="P387" s="61" t="s">
        <v>33</v>
      </c>
      <c r="Q387" s="62"/>
      <c r="R387" s="46"/>
      <c r="S387" s="2" t="str">
        <f t="shared" si="4"/>
        <v>01</v>
      </c>
      <c r="T387" s="2">
        <v>273</v>
      </c>
      <c r="U387" s="48" t="s">
        <v>91</v>
      </c>
      <c r="V387" s="2"/>
      <c r="W387" s="2" t="str">
        <f t="shared" si="6"/>
        <v>02</v>
      </c>
      <c r="X387" s="2"/>
      <c r="Y387" s="3"/>
      <c r="Z387" s="3"/>
      <c r="AA387" s="3"/>
      <c r="AB387" s="3"/>
      <c r="AC387" s="3"/>
      <c r="AD387" s="3"/>
      <c r="AE387" s="3"/>
      <c r="AF387" s="3"/>
      <c r="AG387" s="3"/>
      <c r="AH387" s="3"/>
      <c r="AI387" s="3"/>
      <c r="AJ387" s="3"/>
      <c r="AK387" s="3"/>
      <c r="AL387" s="3"/>
      <c r="AM387" s="3"/>
      <c r="AN387" s="3"/>
      <c r="AO387" s="3"/>
      <c r="AP387" s="3"/>
      <c r="AQ387" s="3"/>
      <c r="AR387" s="3"/>
      <c r="AS387" s="3"/>
      <c r="AT387" s="3"/>
      <c r="AU387" s="3"/>
    </row>
    <row r="388" spans="1:47" ht="14.25" customHeight="1" x14ac:dyDescent="0.3">
      <c r="A388" s="42"/>
      <c r="B388" s="42"/>
      <c r="C388" s="42"/>
      <c r="D388" s="61" t="s">
        <v>33</v>
      </c>
      <c r="E388" s="62"/>
      <c r="F388" s="61"/>
      <c r="G388" s="62"/>
      <c r="H388" s="61"/>
      <c r="I388" s="62"/>
      <c r="J388" s="42"/>
      <c r="K388" s="42"/>
      <c r="L388" s="63">
        <v>0</v>
      </c>
      <c r="M388" s="64"/>
      <c r="N388" s="62"/>
      <c r="O388" s="49" t="str">
        <f t="shared" si="5"/>
        <v>PLAN</v>
      </c>
      <c r="P388" s="61" t="s">
        <v>33</v>
      </c>
      <c r="Q388" s="62"/>
      <c r="R388" s="46"/>
      <c r="S388" s="2" t="str">
        <f t="shared" si="4"/>
        <v>01</v>
      </c>
      <c r="T388" s="2">
        <v>274</v>
      </c>
      <c r="U388" s="48" t="s">
        <v>91</v>
      </c>
      <c r="V388" s="2"/>
      <c r="W388" s="2" t="str">
        <f t="shared" si="6"/>
        <v>02</v>
      </c>
      <c r="X388" s="2"/>
      <c r="Y388" s="3"/>
      <c r="Z388" s="3"/>
      <c r="AA388" s="3"/>
      <c r="AB388" s="3"/>
      <c r="AC388" s="3"/>
      <c r="AD388" s="3"/>
      <c r="AE388" s="3"/>
      <c r="AF388" s="3"/>
      <c r="AG388" s="3"/>
      <c r="AH388" s="3"/>
      <c r="AI388" s="3"/>
      <c r="AJ388" s="3"/>
      <c r="AK388" s="3"/>
      <c r="AL388" s="3"/>
      <c r="AM388" s="3"/>
      <c r="AN388" s="3"/>
      <c r="AO388" s="3"/>
      <c r="AP388" s="3"/>
      <c r="AQ388" s="3"/>
      <c r="AR388" s="3"/>
      <c r="AS388" s="3"/>
      <c r="AT388" s="3"/>
      <c r="AU388" s="3"/>
    </row>
    <row r="389" spans="1:47" ht="14.25" customHeight="1" x14ac:dyDescent="0.3">
      <c r="A389" s="42"/>
      <c r="B389" s="42"/>
      <c r="C389" s="42"/>
      <c r="D389" s="61" t="s">
        <v>33</v>
      </c>
      <c r="E389" s="62"/>
      <c r="F389" s="61"/>
      <c r="G389" s="62"/>
      <c r="H389" s="61"/>
      <c r="I389" s="62"/>
      <c r="J389" s="42"/>
      <c r="K389" s="42"/>
      <c r="L389" s="63">
        <v>0</v>
      </c>
      <c r="M389" s="64"/>
      <c r="N389" s="62"/>
      <c r="O389" s="49" t="str">
        <f t="shared" si="5"/>
        <v>PLAN</v>
      </c>
      <c r="P389" s="61" t="s">
        <v>33</v>
      </c>
      <c r="Q389" s="62"/>
      <c r="R389" s="46"/>
      <c r="S389" s="2" t="str">
        <f t="shared" si="4"/>
        <v>01</v>
      </c>
      <c r="T389" s="2">
        <v>275</v>
      </c>
      <c r="U389" s="48" t="s">
        <v>91</v>
      </c>
      <c r="V389" s="2"/>
      <c r="W389" s="2" t="str">
        <f t="shared" si="6"/>
        <v>02</v>
      </c>
      <c r="X389" s="2"/>
      <c r="Y389" s="3"/>
      <c r="Z389" s="3"/>
      <c r="AA389" s="3"/>
      <c r="AB389" s="3"/>
      <c r="AC389" s="3"/>
      <c r="AD389" s="3"/>
      <c r="AE389" s="3"/>
      <c r="AF389" s="3"/>
      <c r="AG389" s="3"/>
      <c r="AH389" s="3"/>
      <c r="AI389" s="3"/>
      <c r="AJ389" s="3"/>
      <c r="AK389" s="3"/>
      <c r="AL389" s="3"/>
      <c r="AM389" s="3"/>
      <c r="AN389" s="3"/>
      <c r="AO389" s="3"/>
      <c r="AP389" s="3"/>
      <c r="AQ389" s="3"/>
      <c r="AR389" s="3"/>
      <c r="AS389" s="3"/>
      <c r="AT389" s="3"/>
      <c r="AU389" s="3"/>
    </row>
    <row r="390" spans="1:47" ht="14.25" customHeight="1" x14ac:dyDescent="0.3">
      <c r="A390" s="42"/>
      <c r="B390" s="42"/>
      <c r="C390" s="42"/>
      <c r="D390" s="61" t="s">
        <v>33</v>
      </c>
      <c r="E390" s="62"/>
      <c r="F390" s="61"/>
      <c r="G390" s="62"/>
      <c r="H390" s="61"/>
      <c r="I390" s="62"/>
      <c r="J390" s="42"/>
      <c r="K390" s="42"/>
      <c r="L390" s="63">
        <v>0</v>
      </c>
      <c r="M390" s="64"/>
      <c r="N390" s="62"/>
      <c r="O390" s="49" t="str">
        <f t="shared" si="5"/>
        <v>PLAN</v>
      </c>
      <c r="P390" s="61" t="s">
        <v>33</v>
      </c>
      <c r="Q390" s="62"/>
      <c r="R390" s="46"/>
      <c r="S390" s="2" t="str">
        <f t="shared" si="4"/>
        <v>01</v>
      </c>
      <c r="T390" s="2">
        <v>276</v>
      </c>
      <c r="U390" s="48" t="s">
        <v>91</v>
      </c>
      <c r="V390" s="2"/>
      <c r="W390" s="2" t="str">
        <f t="shared" si="6"/>
        <v>02</v>
      </c>
      <c r="X390" s="2"/>
      <c r="Y390" s="3"/>
      <c r="Z390" s="3"/>
      <c r="AA390" s="3"/>
      <c r="AB390" s="3"/>
      <c r="AC390" s="3"/>
      <c r="AD390" s="3"/>
      <c r="AE390" s="3"/>
      <c r="AF390" s="3"/>
      <c r="AG390" s="3"/>
      <c r="AH390" s="3"/>
      <c r="AI390" s="3"/>
      <c r="AJ390" s="3"/>
      <c r="AK390" s="3"/>
      <c r="AL390" s="3"/>
      <c r="AM390" s="3"/>
      <c r="AN390" s="3"/>
      <c r="AO390" s="3"/>
      <c r="AP390" s="3"/>
      <c r="AQ390" s="3"/>
      <c r="AR390" s="3"/>
      <c r="AS390" s="3"/>
      <c r="AT390" s="3"/>
      <c r="AU390" s="3"/>
    </row>
    <row r="391" spans="1:47" ht="14.25" customHeight="1" x14ac:dyDescent="0.3">
      <c r="A391" s="42"/>
      <c r="B391" s="42"/>
      <c r="C391" s="42"/>
      <c r="D391" s="61" t="s">
        <v>33</v>
      </c>
      <c r="E391" s="62"/>
      <c r="F391" s="61"/>
      <c r="G391" s="62"/>
      <c r="H391" s="61"/>
      <c r="I391" s="62"/>
      <c r="J391" s="42"/>
      <c r="K391" s="42"/>
      <c r="L391" s="63">
        <v>0</v>
      </c>
      <c r="M391" s="64"/>
      <c r="N391" s="62"/>
      <c r="O391" s="49" t="str">
        <f t="shared" si="5"/>
        <v>PLAN</v>
      </c>
      <c r="P391" s="61" t="s">
        <v>33</v>
      </c>
      <c r="Q391" s="62"/>
      <c r="R391" s="46"/>
      <c r="S391" s="2" t="str">
        <f t="shared" si="4"/>
        <v>01</v>
      </c>
      <c r="T391" s="2">
        <v>277</v>
      </c>
      <c r="U391" s="48" t="s">
        <v>91</v>
      </c>
      <c r="V391" s="2"/>
      <c r="W391" s="2" t="str">
        <f t="shared" si="6"/>
        <v>02</v>
      </c>
      <c r="X391" s="2"/>
      <c r="Y391" s="3"/>
      <c r="Z391" s="3"/>
      <c r="AA391" s="3"/>
      <c r="AB391" s="3"/>
      <c r="AC391" s="3"/>
      <c r="AD391" s="3"/>
      <c r="AE391" s="3"/>
      <c r="AF391" s="3"/>
      <c r="AG391" s="3"/>
      <c r="AH391" s="3"/>
      <c r="AI391" s="3"/>
      <c r="AJ391" s="3"/>
      <c r="AK391" s="3"/>
      <c r="AL391" s="3"/>
      <c r="AM391" s="3"/>
      <c r="AN391" s="3"/>
      <c r="AO391" s="3"/>
      <c r="AP391" s="3"/>
      <c r="AQ391" s="3"/>
      <c r="AR391" s="3"/>
      <c r="AS391" s="3"/>
      <c r="AT391" s="3"/>
      <c r="AU391" s="3"/>
    </row>
    <row r="392" spans="1:47" ht="14.25" customHeight="1" x14ac:dyDescent="0.3">
      <c r="A392" s="42"/>
      <c r="B392" s="42"/>
      <c r="C392" s="42"/>
      <c r="D392" s="61" t="s">
        <v>33</v>
      </c>
      <c r="E392" s="62"/>
      <c r="F392" s="61"/>
      <c r="G392" s="62"/>
      <c r="H392" s="61"/>
      <c r="I392" s="62"/>
      <c r="J392" s="42"/>
      <c r="K392" s="42"/>
      <c r="L392" s="63">
        <v>0</v>
      </c>
      <c r="M392" s="64"/>
      <c r="N392" s="62"/>
      <c r="O392" s="49" t="str">
        <f t="shared" si="5"/>
        <v>PLAN</v>
      </c>
      <c r="P392" s="61" t="s">
        <v>33</v>
      </c>
      <c r="Q392" s="62"/>
      <c r="R392" s="46"/>
      <c r="S392" s="2" t="str">
        <f t="shared" si="4"/>
        <v>01</v>
      </c>
      <c r="T392" s="2">
        <v>278</v>
      </c>
      <c r="U392" s="48" t="s">
        <v>91</v>
      </c>
      <c r="V392" s="2"/>
      <c r="W392" s="2" t="str">
        <f t="shared" si="6"/>
        <v>02</v>
      </c>
      <c r="X392" s="2"/>
      <c r="Y392" s="3"/>
      <c r="Z392" s="3"/>
      <c r="AA392" s="3"/>
      <c r="AB392" s="3"/>
      <c r="AC392" s="3"/>
      <c r="AD392" s="3"/>
      <c r="AE392" s="3"/>
      <c r="AF392" s="3"/>
      <c r="AG392" s="3"/>
      <c r="AH392" s="3"/>
      <c r="AI392" s="3"/>
      <c r="AJ392" s="3"/>
      <c r="AK392" s="3"/>
      <c r="AL392" s="3"/>
      <c r="AM392" s="3"/>
      <c r="AN392" s="3"/>
      <c r="AO392" s="3"/>
      <c r="AP392" s="3"/>
      <c r="AQ392" s="3"/>
      <c r="AR392" s="3"/>
      <c r="AS392" s="3"/>
      <c r="AT392" s="3"/>
      <c r="AU392" s="3"/>
    </row>
    <row r="393" spans="1:47" ht="14.25" customHeight="1" x14ac:dyDescent="0.3">
      <c r="A393" s="42"/>
      <c r="B393" s="42"/>
      <c r="C393" s="42"/>
      <c r="D393" s="61" t="s">
        <v>33</v>
      </c>
      <c r="E393" s="62"/>
      <c r="F393" s="61"/>
      <c r="G393" s="62"/>
      <c r="H393" s="61"/>
      <c r="I393" s="62"/>
      <c r="J393" s="42"/>
      <c r="K393" s="42"/>
      <c r="L393" s="63">
        <v>0</v>
      </c>
      <c r="M393" s="64"/>
      <c r="N393" s="62"/>
      <c r="O393" s="49" t="str">
        <f t="shared" si="5"/>
        <v>PLAN</v>
      </c>
      <c r="P393" s="61" t="s">
        <v>33</v>
      </c>
      <c r="Q393" s="62"/>
      <c r="R393" s="46"/>
      <c r="S393" s="2" t="str">
        <f t="shared" si="4"/>
        <v>01</v>
      </c>
      <c r="T393" s="2">
        <v>279</v>
      </c>
      <c r="U393" s="48" t="s">
        <v>91</v>
      </c>
      <c r="V393" s="2"/>
      <c r="W393" s="2" t="str">
        <f t="shared" si="6"/>
        <v>02</v>
      </c>
      <c r="X393" s="2"/>
      <c r="Y393" s="3"/>
      <c r="Z393" s="3"/>
      <c r="AA393" s="3"/>
      <c r="AB393" s="3"/>
      <c r="AC393" s="3"/>
      <c r="AD393" s="3"/>
      <c r="AE393" s="3"/>
      <c r="AF393" s="3"/>
      <c r="AG393" s="3"/>
      <c r="AH393" s="3"/>
      <c r="AI393" s="3"/>
      <c r="AJ393" s="3"/>
      <c r="AK393" s="3"/>
      <c r="AL393" s="3"/>
      <c r="AM393" s="3"/>
      <c r="AN393" s="3"/>
      <c r="AO393" s="3"/>
      <c r="AP393" s="3"/>
      <c r="AQ393" s="3"/>
      <c r="AR393" s="3"/>
      <c r="AS393" s="3"/>
      <c r="AT393" s="3"/>
      <c r="AU393" s="3"/>
    </row>
    <row r="394" spans="1:47" ht="14.25" customHeight="1" x14ac:dyDescent="0.3">
      <c r="A394" s="42"/>
      <c r="B394" s="42"/>
      <c r="C394" s="42"/>
      <c r="D394" s="61" t="s">
        <v>33</v>
      </c>
      <c r="E394" s="62"/>
      <c r="F394" s="61"/>
      <c r="G394" s="62"/>
      <c r="H394" s="61"/>
      <c r="I394" s="62"/>
      <c r="J394" s="42"/>
      <c r="K394" s="42"/>
      <c r="L394" s="63">
        <v>0</v>
      </c>
      <c r="M394" s="64"/>
      <c r="N394" s="62"/>
      <c r="O394" s="49" t="str">
        <f t="shared" si="5"/>
        <v>PLAN</v>
      </c>
      <c r="P394" s="61" t="s">
        <v>33</v>
      </c>
      <c r="Q394" s="62"/>
      <c r="R394" s="46"/>
      <c r="S394" s="2" t="str">
        <f t="shared" si="4"/>
        <v>01</v>
      </c>
      <c r="T394" s="2">
        <v>280</v>
      </c>
      <c r="U394" s="48" t="s">
        <v>91</v>
      </c>
      <c r="V394" s="2"/>
      <c r="W394" s="2" t="str">
        <f t="shared" si="6"/>
        <v>02</v>
      </c>
      <c r="X394" s="2"/>
      <c r="Y394" s="3"/>
      <c r="Z394" s="3"/>
      <c r="AA394" s="3"/>
      <c r="AB394" s="3"/>
      <c r="AC394" s="3"/>
      <c r="AD394" s="3"/>
      <c r="AE394" s="3"/>
      <c r="AF394" s="3"/>
      <c r="AG394" s="3"/>
      <c r="AH394" s="3"/>
      <c r="AI394" s="3"/>
      <c r="AJ394" s="3"/>
      <c r="AK394" s="3"/>
      <c r="AL394" s="3"/>
      <c r="AM394" s="3"/>
      <c r="AN394" s="3"/>
      <c r="AO394" s="3"/>
      <c r="AP394" s="3"/>
      <c r="AQ394" s="3"/>
      <c r="AR394" s="3"/>
      <c r="AS394" s="3"/>
      <c r="AT394" s="3"/>
      <c r="AU394" s="3"/>
    </row>
    <row r="395" spans="1:47" ht="14.25" customHeight="1" x14ac:dyDescent="0.3">
      <c r="A395" s="42"/>
      <c r="B395" s="42"/>
      <c r="C395" s="42"/>
      <c r="D395" s="61" t="s">
        <v>33</v>
      </c>
      <c r="E395" s="62"/>
      <c r="F395" s="61"/>
      <c r="G395" s="62"/>
      <c r="H395" s="61"/>
      <c r="I395" s="62"/>
      <c r="J395" s="42"/>
      <c r="K395" s="42"/>
      <c r="L395" s="63">
        <v>0</v>
      </c>
      <c r="M395" s="64"/>
      <c r="N395" s="62"/>
      <c r="O395" s="49" t="str">
        <f t="shared" si="5"/>
        <v>PLAN</v>
      </c>
      <c r="P395" s="61" t="s">
        <v>33</v>
      </c>
      <c r="Q395" s="62"/>
      <c r="R395" s="46"/>
      <c r="S395" s="2" t="str">
        <f t="shared" si="4"/>
        <v>01</v>
      </c>
      <c r="T395" s="2">
        <v>281</v>
      </c>
      <c r="U395" s="48" t="s">
        <v>91</v>
      </c>
      <c r="V395" s="2"/>
      <c r="W395" s="2" t="str">
        <f t="shared" si="6"/>
        <v>02</v>
      </c>
      <c r="X395" s="2"/>
      <c r="Y395" s="3"/>
      <c r="Z395" s="3"/>
      <c r="AA395" s="3"/>
      <c r="AB395" s="3"/>
      <c r="AC395" s="3"/>
      <c r="AD395" s="3"/>
      <c r="AE395" s="3"/>
      <c r="AF395" s="3"/>
      <c r="AG395" s="3"/>
      <c r="AH395" s="3"/>
      <c r="AI395" s="3"/>
      <c r="AJ395" s="3"/>
      <c r="AK395" s="3"/>
      <c r="AL395" s="3"/>
      <c r="AM395" s="3"/>
      <c r="AN395" s="3"/>
      <c r="AO395" s="3"/>
      <c r="AP395" s="3"/>
      <c r="AQ395" s="3"/>
      <c r="AR395" s="3"/>
      <c r="AS395" s="3"/>
      <c r="AT395" s="3"/>
      <c r="AU395" s="3"/>
    </row>
    <row r="396" spans="1:47" ht="14.25" customHeight="1" x14ac:dyDescent="0.3">
      <c r="A396" s="42"/>
      <c r="B396" s="42"/>
      <c r="C396" s="42"/>
      <c r="D396" s="61" t="s">
        <v>33</v>
      </c>
      <c r="E396" s="62"/>
      <c r="F396" s="61"/>
      <c r="G396" s="62"/>
      <c r="H396" s="61"/>
      <c r="I396" s="62"/>
      <c r="J396" s="42"/>
      <c r="K396" s="42"/>
      <c r="L396" s="63">
        <v>0</v>
      </c>
      <c r="M396" s="64"/>
      <c r="N396" s="62"/>
      <c r="O396" s="49" t="str">
        <f t="shared" si="5"/>
        <v>PLAN</v>
      </c>
      <c r="P396" s="61" t="s">
        <v>33</v>
      </c>
      <c r="Q396" s="62"/>
      <c r="R396" s="46"/>
      <c r="S396" s="2" t="str">
        <f t="shared" si="4"/>
        <v>01</v>
      </c>
      <c r="T396" s="2">
        <v>282</v>
      </c>
      <c r="U396" s="48" t="s">
        <v>91</v>
      </c>
      <c r="V396" s="2"/>
      <c r="W396" s="2" t="str">
        <f t="shared" si="6"/>
        <v>02</v>
      </c>
      <c r="X396" s="2"/>
      <c r="Y396" s="3"/>
      <c r="Z396" s="3"/>
      <c r="AA396" s="3"/>
      <c r="AB396" s="3"/>
      <c r="AC396" s="3"/>
      <c r="AD396" s="3"/>
      <c r="AE396" s="3"/>
      <c r="AF396" s="3"/>
      <c r="AG396" s="3"/>
      <c r="AH396" s="3"/>
      <c r="AI396" s="3"/>
      <c r="AJ396" s="3"/>
      <c r="AK396" s="3"/>
      <c r="AL396" s="3"/>
      <c r="AM396" s="3"/>
      <c r="AN396" s="3"/>
      <c r="AO396" s="3"/>
      <c r="AP396" s="3"/>
      <c r="AQ396" s="3"/>
      <c r="AR396" s="3"/>
      <c r="AS396" s="3"/>
      <c r="AT396" s="3"/>
      <c r="AU396" s="3"/>
    </row>
    <row r="397" spans="1:47" ht="14.25" customHeight="1" x14ac:dyDescent="0.3">
      <c r="A397" s="42"/>
      <c r="B397" s="42"/>
      <c r="C397" s="42"/>
      <c r="D397" s="61" t="s">
        <v>33</v>
      </c>
      <c r="E397" s="62"/>
      <c r="F397" s="61"/>
      <c r="G397" s="62"/>
      <c r="H397" s="61"/>
      <c r="I397" s="62"/>
      <c r="J397" s="42"/>
      <c r="K397" s="42"/>
      <c r="L397" s="63">
        <v>0</v>
      </c>
      <c r="M397" s="64"/>
      <c r="N397" s="62"/>
      <c r="O397" s="49" t="str">
        <f t="shared" si="5"/>
        <v>PLAN</v>
      </c>
      <c r="P397" s="61" t="s">
        <v>33</v>
      </c>
      <c r="Q397" s="62"/>
      <c r="R397" s="46"/>
      <c r="S397" s="2" t="str">
        <f t="shared" si="4"/>
        <v>01</v>
      </c>
      <c r="T397" s="2">
        <v>283</v>
      </c>
      <c r="U397" s="48" t="s">
        <v>91</v>
      </c>
      <c r="V397" s="2"/>
      <c r="W397" s="2" t="str">
        <f t="shared" si="6"/>
        <v>02</v>
      </c>
      <c r="X397" s="2"/>
      <c r="Y397" s="3"/>
      <c r="Z397" s="3"/>
      <c r="AA397" s="3"/>
      <c r="AB397" s="3"/>
      <c r="AC397" s="3"/>
      <c r="AD397" s="3"/>
      <c r="AE397" s="3"/>
      <c r="AF397" s="3"/>
      <c r="AG397" s="3"/>
      <c r="AH397" s="3"/>
      <c r="AI397" s="3"/>
      <c r="AJ397" s="3"/>
      <c r="AK397" s="3"/>
      <c r="AL397" s="3"/>
      <c r="AM397" s="3"/>
      <c r="AN397" s="3"/>
      <c r="AO397" s="3"/>
      <c r="AP397" s="3"/>
      <c r="AQ397" s="3"/>
      <c r="AR397" s="3"/>
      <c r="AS397" s="3"/>
      <c r="AT397" s="3"/>
      <c r="AU397" s="3"/>
    </row>
    <row r="398" spans="1:47" ht="14.25" customHeight="1" x14ac:dyDescent="0.3">
      <c r="A398" s="42"/>
      <c r="B398" s="42"/>
      <c r="C398" s="42"/>
      <c r="D398" s="61" t="s">
        <v>33</v>
      </c>
      <c r="E398" s="62"/>
      <c r="F398" s="61"/>
      <c r="G398" s="62"/>
      <c r="H398" s="61"/>
      <c r="I398" s="62"/>
      <c r="J398" s="42"/>
      <c r="K398" s="42"/>
      <c r="L398" s="63">
        <v>0</v>
      </c>
      <c r="M398" s="64"/>
      <c r="N398" s="62"/>
      <c r="O398" s="49" t="str">
        <f t="shared" si="5"/>
        <v>PLAN</v>
      </c>
      <c r="P398" s="61" t="s">
        <v>33</v>
      </c>
      <c r="Q398" s="62"/>
      <c r="R398" s="46"/>
      <c r="S398" s="2" t="str">
        <f t="shared" si="4"/>
        <v>01</v>
      </c>
      <c r="T398" s="2">
        <v>284</v>
      </c>
      <c r="U398" s="48" t="s">
        <v>91</v>
      </c>
      <c r="V398" s="2"/>
      <c r="W398" s="2" t="str">
        <f t="shared" si="6"/>
        <v>02</v>
      </c>
      <c r="X398" s="2"/>
      <c r="Y398" s="3"/>
      <c r="Z398" s="3"/>
      <c r="AA398" s="3"/>
      <c r="AB398" s="3"/>
      <c r="AC398" s="3"/>
      <c r="AD398" s="3"/>
      <c r="AE398" s="3"/>
      <c r="AF398" s="3"/>
      <c r="AG398" s="3"/>
      <c r="AH398" s="3"/>
      <c r="AI398" s="3"/>
      <c r="AJ398" s="3"/>
      <c r="AK398" s="3"/>
      <c r="AL398" s="3"/>
      <c r="AM398" s="3"/>
      <c r="AN398" s="3"/>
      <c r="AO398" s="3"/>
      <c r="AP398" s="3"/>
      <c r="AQ398" s="3"/>
      <c r="AR398" s="3"/>
      <c r="AS398" s="3"/>
      <c r="AT398" s="3"/>
      <c r="AU398" s="3"/>
    </row>
    <row r="399" spans="1:47" ht="14.25" customHeight="1" x14ac:dyDescent="0.3">
      <c r="A399" s="42"/>
      <c r="B399" s="42"/>
      <c r="C399" s="42"/>
      <c r="D399" s="61" t="s">
        <v>33</v>
      </c>
      <c r="E399" s="62"/>
      <c r="F399" s="61"/>
      <c r="G399" s="62"/>
      <c r="H399" s="61"/>
      <c r="I399" s="62"/>
      <c r="J399" s="42"/>
      <c r="K399" s="42"/>
      <c r="L399" s="63">
        <v>0</v>
      </c>
      <c r="M399" s="64"/>
      <c r="N399" s="62"/>
      <c r="O399" s="49" t="str">
        <f t="shared" si="5"/>
        <v>PLAN</v>
      </c>
      <c r="P399" s="61" t="s">
        <v>33</v>
      </c>
      <c r="Q399" s="62"/>
      <c r="R399" s="46"/>
      <c r="S399" s="2" t="str">
        <f t="shared" si="4"/>
        <v>01</v>
      </c>
      <c r="T399" s="2">
        <v>285</v>
      </c>
      <c r="U399" s="48" t="s">
        <v>91</v>
      </c>
      <c r="V399" s="2"/>
      <c r="W399" s="2" t="str">
        <f t="shared" si="6"/>
        <v>02</v>
      </c>
      <c r="X399" s="2"/>
      <c r="Y399" s="3"/>
      <c r="Z399" s="3"/>
      <c r="AA399" s="3"/>
      <c r="AB399" s="3"/>
      <c r="AC399" s="3"/>
      <c r="AD399" s="3"/>
      <c r="AE399" s="3"/>
      <c r="AF399" s="3"/>
      <c r="AG399" s="3"/>
      <c r="AH399" s="3"/>
      <c r="AI399" s="3"/>
      <c r="AJ399" s="3"/>
      <c r="AK399" s="3"/>
      <c r="AL399" s="3"/>
      <c r="AM399" s="3"/>
      <c r="AN399" s="3"/>
      <c r="AO399" s="3"/>
      <c r="AP399" s="3"/>
      <c r="AQ399" s="3"/>
      <c r="AR399" s="3"/>
      <c r="AS399" s="3"/>
      <c r="AT399" s="3"/>
      <c r="AU399" s="3"/>
    </row>
    <row r="400" spans="1:47" ht="14.25" customHeight="1" x14ac:dyDescent="0.3">
      <c r="A400" s="42"/>
      <c r="B400" s="42"/>
      <c r="C400" s="42"/>
      <c r="D400" s="61" t="s">
        <v>33</v>
      </c>
      <c r="E400" s="62"/>
      <c r="F400" s="61"/>
      <c r="G400" s="62"/>
      <c r="H400" s="61"/>
      <c r="I400" s="62"/>
      <c r="J400" s="42"/>
      <c r="K400" s="42"/>
      <c r="L400" s="63">
        <v>0</v>
      </c>
      <c r="M400" s="64"/>
      <c r="N400" s="62"/>
      <c r="O400" s="49" t="str">
        <f t="shared" si="5"/>
        <v>PLAN</v>
      </c>
      <c r="P400" s="61" t="s">
        <v>33</v>
      </c>
      <c r="Q400" s="62"/>
      <c r="R400" s="46"/>
      <c r="S400" s="2" t="str">
        <f t="shared" si="4"/>
        <v>01</v>
      </c>
      <c r="T400" s="2">
        <v>286</v>
      </c>
      <c r="U400" s="48" t="s">
        <v>91</v>
      </c>
      <c r="V400" s="2"/>
      <c r="W400" s="2" t="str">
        <f t="shared" si="6"/>
        <v>02</v>
      </c>
      <c r="X400" s="2"/>
      <c r="Y400" s="3"/>
      <c r="Z400" s="3"/>
      <c r="AA400" s="3"/>
      <c r="AB400" s="3"/>
      <c r="AC400" s="3"/>
      <c r="AD400" s="3"/>
      <c r="AE400" s="3"/>
      <c r="AF400" s="3"/>
      <c r="AG400" s="3"/>
      <c r="AH400" s="3"/>
      <c r="AI400" s="3"/>
      <c r="AJ400" s="3"/>
      <c r="AK400" s="3"/>
      <c r="AL400" s="3"/>
      <c r="AM400" s="3"/>
      <c r="AN400" s="3"/>
      <c r="AO400" s="3"/>
      <c r="AP400" s="3"/>
      <c r="AQ400" s="3"/>
      <c r="AR400" s="3"/>
      <c r="AS400" s="3"/>
      <c r="AT400" s="3"/>
      <c r="AU400" s="3"/>
    </row>
    <row r="401" spans="1:47" ht="14.25" customHeight="1" x14ac:dyDescent="0.3">
      <c r="A401" s="42"/>
      <c r="B401" s="42"/>
      <c r="C401" s="42"/>
      <c r="D401" s="61" t="s">
        <v>33</v>
      </c>
      <c r="E401" s="62"/>
      <c r="F401" s="61"/>
      <c r="G401" s="62"/>
      <c r="H401" s="61"/>
      <c r="I401" s="62"/>
      <c r="J401" s="42"/>
      <c r="K401" s="42"/>
      <c r="L401" s="63">
        <v>0</v>
      </c>
      <c r="M401" s="64"/>
      <c r="N401" s="62"/>
      <c r="O401" s="49" t="str">
        <f t="shared" si="5"/>
        <v>PLAN</v>
      </c>
      <c r="P401" s="61" t="s">
        <v>33</v>
      </c>
      <c r="Q401" s="62"/>
      <c r="R401" s="46"/>
      <c r="S401" s="2" t="str">
        <f t="shared" si="4"/>
        <v>01</v>
      </c>
      <c r="T401" s="2">
        <v>287</v>
      </c>
      <c r="U401" s="48" t="s">
        <v>91</v>
      </c>
      <c r="V401" s="2"/>
      <c r="W401" s="2" t="str">
        <f t="shared" si="6"/>
        <v>02</v>
      </c>
      <c r="X401" s="2"/>
      <c r="Y401" s="3"/>
      <c r="Z401" s="3"/>
      <c r="AA401" s="3"/>
      <c r="AB401" s="3"/>
      <c r="AC401" s="3"/>
      <c r="AD401" s="3"/>
      <c r="AE401" s="3"/>
      <c r="AF401" s="3"/>
      <c r="AG401" s="3"/>
      <c r="AH401" s="3"/>
      <c r="AI401" s="3"/>
      <c r="AJ401" s="3"/>
      <c r="AK401" s="3"/>
      <c r="AL401" s="3"/>
      <c r="AM401" s="3"/>
      <c r="AN401" s="3"/>
      <c r="AO401" s="3"/>
      <c r="AP401" s="3"/>
      <c r="AQ401" s="3"/>
      <c r="AR401" s="3"/>
      <c r="AS401" s="3"/>
      <c r="AT401" s="3"/>
      <c r="AU401" s="3"/>
    </row>
    <row r="402" spans="1:47" ht="14.25" customHeight="1" x14ac:dyDescent="0.3">
      <c r="A402" s="42"/>
      <c r="B402" s="42"/>
      <c r="C402" s="42"/>
      <c r="D402" s="61" t="s">
        <v>33</v>
      </c>
      <c r="E402" s="62"/>
      <c r="F402" s="61"/>
      <c r="G402" s="62"/>
      <c r="H402" s="61"/>
      <c r="I402" s="62"/>
      <c r="J402" s="42"/>
      <c r="K402" s="42"/>
      <c r="L402" s="63">
        <v>0</v>
      </c>
      <c r="M402" s="64"/>
      <c r="N402" s="62"/>
      <c r="O402" s="49" t="str">
        <f t="shared" si="5"/>
        <v>PLAN</v>
      </c>
      <c r="P402" s="61" t="s">
        <v>33</v>
      </c>
      <c r="Q402" s="62"/>
      <c r="R402" s="46"/>
      <c r="S402" s="2" t="str">
        <f t="shared" si="4"/>
        <v>01</v>
      </c>
      <c r="T402" s="2">
        <v>288</v>
      </c>
      <c r="U402" s="48" t="s">
        <v>91</v>
      </c>
      <c r="V402" s="2"/>
      <c r="W402" s="2" t="str">
        <f t="shared" si="6"/>
        <v>02</v>
      </c>
      <c r="X402" s="2"/>
      <c r="Y402" s="3"/>
      <c r="Z402" s="3"/>
      <c r="AA402" s="3"/>
      <c r="AB402" s="3"/>
      <c r="AC402" s="3"/>
      <c r="AD402" s="3"/>
      <c r="AE402" s="3"/>
      <c r="AF402" s="3"/>
      <c r="AG402" s="3"/>
      <c r="AH402" s="3"/>
      <c r="AI402" s="3"/>
      <c r="AJ402" s="3"/>
      <c r="AK402" s="3"/>
      <c r="AL402" s="3"/>
      <c r="AM402" s="3"/>
      <c r="AN402" s="3"/>
      <c r="AO402" s="3"/>
      <c r="AP402" s="3"/>
      <c r="AQ402" s="3"/>
      <c r="AR402" s="3"/>
      <c r="AS402" s="3"/>
      <c r="AT402" s="3"/>
      <c r="AU402" s="3"/>
    </row>
    <row r="403" spans="1:47" ht="14.25" customHeight="1" x14ac:dyDescent="0.3">
      <c r="A403" s="42"/>
      <c r="B403" s="42"/>
      <c r="C403" s="42"/>
      <c r="D403" s="61" t="s">
        <v>33</v>
      </c>
      <c r="E403" s="62"/>
      <c r="F403" s="61"/>
      <c r="G403" s="62"/>
      <c r="H403" s="61"/>
      <c r="I403" s="62"/>
      <c r="J403" s="42"/>
      <c r="K403" s="42"/>
      <c r="L403" s="63">
        <v>0</v>
      </c>
      <c r="M403" s="64"/>
      <c r="N403" s="62"/>
      <c r="O403" s="49" t="str">
        <f t="shared" si="5"/>
        <v>PLAN</v>
      </c>
      <c r="P403" s="61" t="s">
        <v>33</v>
      </c>
      <c r="Q403" s="62"/>
      <c r="R403" s="46"/>
      <c r="S403" s="2" t="str">
        <f t="shared" si="4"/>
        <v>01</v>
      </c>
      <c r="T403" s="2">
        <v>289</v>
      </c>
      <c r="U403" s="48" t="s">
        <v>91</v>
      </c>
      <c r="V403" s="2"/>
      <c r="W403" s="2" t="str">
        <f t="shared" si="6"/>
        <v>02</v>
      </c>
      <c r="X403" s="2"/>
      <c r="Y403" s="3"/>
      <c r="Z403" s="3"/>
      <c r="AA403" s="3"/>
      <c r="AB403" s="3"/>
      <c r="AC403" s="3"/>
      <c r="AD403" s="3"/>
      <c r="AE403" s="3"/>
      <c r="AF403" s="3"/>
      <c r="AG403" s="3"/>
      <c r="AH403" s="3"/>
      <c r="AI403" s="3"/>
      <c r="AJ403" s="3"/>
      <c r="AK403" s="3"/>
      <c r="AL403" s="3"/>
      <c r="AM403" s="3"/>
      <c r="AN403" s="3"/>
      <c r="AO403" s="3"/>
      <c r="AP403" s="3"/>
      <c r="AQ403" s="3"/>
      <c r="AR403" s="3"/>
      <c r="AS403" s="3"/>
      <c r="AT403" s="3"/>
      <c r="AU403" s="3"/>
    </row>
    <row r="404" spans="1:47" ht="14.25" customHeight="1" x14ac:dyDescent="0.3">
      <c r="A404" s="42"/>
      <c r="B404" s="42"/>
      <c r="C404" s="42"/>
      <c r="D404" s="61" t="s">
        <v>33</v>
      </c>
      <c r="E404" s="62"/>
      <c r="F404" s="61"/>
      <c r="G404" s="62"/>
      <c r="H404" s="61"/>
      <c r="I404" s="62"/>
      <c r="J404" s="42"/>
      <c r="K404" s="42"/>
      <c r="L404" s="63">
        <v>0</v>
      </c>
      <c r="M404" s="64"/>
      <c r="N404" s="62"/>
      <c r="O404" s="49" t="str">
        <f t="shared" si="5"/>
        <v>PLAN</v>
      </c>
      <c r="P404" s="61" t="s">
        <v>33</v>
      </c>
      <c r="Q404" s="62"/>
      <c r="R404" s="46"/>
      <c r="S404" s="2" t="str">
        <f t="shared" si="4"/>
        <v>01</v>
      </c>
      <c r="T404" s="2">
        <v>290</v>
      </c>
      <c r="U404" s="48" t="s">
        <v>91</v>
      </c>
      <c r="V404" s="2"/>
      <c r="W404" s="2" t="str">
        <f t="shared" si="6"/>
        <v>02</v>
      </c>
      <c r="X404" s="2"/>
      <c r="Y404" s="3"/>
      <c r="Z404" s="3"/>
      <c r="AA404" s="3"/>
      <c r="AB404" s="3"/>
      <c r="AC404" s="3"/>
      <c r="AD404" s="3"/>
      <c r="AE404" s="3"/>
      <c r="AF404" s="3"/>
      <c r="AG404" s="3"/>
      <c r="AH404" s="3"/>
      <c r="AI404" s="3"/>
      <c r="AJ404" s="3"/>
      <c r="AK404" s="3"/>
      <c r="AL404" s="3"/>
      <c r="AM404" s="3"/>
      <c r="AN404" s="3"/>
      <c r="AO404" s="3"/>
      <c r="AP404" s="3"/>
      <c r="AQ404" s="3"/>
      <c r="AR404" s="3"/>
      <c r="AS404" s="3"/>
      <c r="AT404" s="3"/>
      <c r="AU404" s="3"/>
    </row>
    <row r="405" spans="1:47" ht="14.25" customHeight="1" x14ac:dyDescent="0.3">
      <c r="A405" s="42"/>
      <c r="B405" s="42"/>
      <c r="C405" s="42"/>
      <c r="D405" s="61" t="s">
        <v>33</v>
      </c>
      <c r="E405" s="62"/>
      <c r="F405" s="61"/>
      <c r="G405" s="62"/>
      <c r="H405" s="61"/>
      <c r="I405" s="62"/>
      <c r="J405" s="42"/>
      <c r="K405" s="42"/>
      <c r="L405" s="63">
        <v>0</v>
      </c>
      <c r="M405" s="64"/>
      <c r="N405" s="62"/>
      <c r="O405" s="49" t="str">
        <f t="shared" si="5"/>
        <v>PLAN</v>
      </c>
      <c r="P405" s="61" t="s">
        <v>33</v>
      </c>
      <c r="Q405" s="62"/>
      <c r="R405" s="46"/>
      <c r="S405" s="2" t="str">
        <f t="shared" si="4"/>
        <v>01</v>
      </c>
      <c r="T405" s="2">
        <v>291</v>
      </c>
      <c r="U405" s="48" t="s">
        <v>91</v>
      </c>
      <c r="V405" s="2"/>
      <c r="W405" s="2" t="str">
        <f t="shared" si="6"/>
        <v>02</v>
      </c>
      <c r="X405" s="2"/>
      <c r="Y405" s="3"/>
      <c r="Z405" s="3"/>
      <c r="AA405" s="3"/>
      <c r="AB405" s="3"/>
      <c r="AC405" s="3"/>
      <c r="AD405" s="3"/>
      <c r="AE405" s="3"/>
      <c r="AF405" s="3"/>
      <c r="AG405" s="3"/>
      <c r="AH405" s="3"/>
      <c r="AI405" s="3"/>
      <c r="AJ405" s="3"/>
      <c r="AK405" s="3"/>
      <c r="AL405" s="3"/>
      <c r="AM405" s="3"/>
      <c r="AN405" s="3"/>
      <c r="AO405" s="3"/>
      <c r="AP405" s="3"/>
      <c r="AQ405" s="3"/>
      <c r="AR405" s="3"/>
      <c r="AS405" s="3"/>
      <c r="AT405" s="3"/>
      <c r="AU405" s="3"/>
    </row>
    <row r="406" spans="1:47" ht="14.25" customHeight="1" x14ac:dyDescent="0.3">
      <c r="A406" s="42"/>
      <c r="B406" s="42"/>
      <c r="C406" s="42"/>
      <c r="D406" s="61" t="s">
        <v>33</v>
      </c>
      <c r="E406" s="62"/>
      <c r="F406" s="61"/>
      <c r="G406" s="62"/>
      <c r="H406" s="61"/>
      <c r="I406" s="62"/>
      <c r="J406" s="42"/>
      <c r="K406" s="42"/>
      <c r="L406" s="63">
        <v>0</v>
      </c>
      <c r="M406" s="64"/>
      <c r="N406" s="62"/>
      <c r="O406" s="49" t="str">
        <f t="shared" si="5"/>
        <v>PLAN</v>
      </c>
      <c r="P406" s="61" t="s">
        <v>33</v>
      </c>
      <c r="Q406" s="62"/>
      <c r="R406" s="46"/>
      <c r="S406" s="2" t="str">
        <f t="shared" si="4"/>
        <v>01</v>
      </c>
      <c r="T406" s="2">
        <v>292</v>
      </c>
      <c r="U406" s="48" t="s">
        <v>91</v>
      </c>
      <c r="V406" s="2"/>
      <c r="W406" s="2" t="str">
        <f t="shared" si="6"/>
        <v>02</v>
      </c>
      <c r="X406" s="2"/>
      <c r="Y406" s="3"/>
      <c r="Z406" s="3"/>
      <c r="AA406" s="3"/>
      <c r="AB406" s="3"/>
      <c r="AC406" s="3"/>
      <c r="AD406" s="3"/>
      <c r="AE406" s="3"/>
      <c r="AF406" s="3"/>
      <c r="AG406" s="3"/>
      <c r="AH406" s="3"/>
      <c r="AI406" s="3"/>
      <c r="AJ406" s="3"/>
      <c r="AK406" s="3"/>
      <c r="AL406" s="3"/>
      <c r="AM406" s="3"/>
      <c r="AN406" s="3"/>
      <c r="AO406" s="3"/>
      <c r="AP406" s="3"/>
      <c r="AQ406" s="3"/>
      <c r="AR406" s="3"/>
      <c r="AS406" s="3"/>
      <c r="AT406" s="3"/>
      <c r="AU406" s="3"/>
    </row>
    <row r="407" spans="1:47" ht="14.25" customHeight="1" x14ac:dyDescent="0.3">
      <c r="A407" s="42"/>
      <c r="B407" s="42"/>
      <c r="C407" s="42"/>
      <c r="D407" s="61" t="s">
        <v>33</v>
      </c>
      <c r="E407" s="62"/>
      <c r="F407" s="61"/>
      <c r="G407" s="62"/>
      <c r="H407" s="61"/>
      <c r="I407" s="62"/>
      <c r="J407" s="42"/>
      <c r="K407" s="42"/>
      <c r="L407" s="63">
        <v>0</v>
      </c>
      <c r="M407" s="64"/>
      <c r="N407" s="62"/>
      <c r="O407" s="49" t="str">
        <f t="shared" si="5"/>
        <v>PLAN</v>
      </c>
      <c r="P407" s="61" t="s">
        <v>33</v>
      </c>
      <c r="Q407" s="62"/>
      <c r="R407" s="46"/>
      <c r="S407" s="2" t="str">
        <f t="shared" si="4"/>
        <v>01</v>
      </c>
      <c r="T407" s="2">
        <v>293</v>
      </c>
      <c r="U407" s="48" t="s">
        <v>91</v>
      </c>
      <c r="V407" s="2"/>
      <c r="W407" s="2" t="str">
        <f t="shared" si="6"/>
        <v>02</v>
      </c>
      <c r="X407" s="2"/>
      <c r="Y407" s="3"/>
      <c r="Z407" s="3"/>
      <c r="AA407" s="3"/>
      <c r="AB407" s="3"/>
      <c r="AC407" s="3"/>
      <c r="AD407" s="3"/>
      <c r="AE407" s="3"/>
      <c r="AF407" s="3"/>
      <c r="AG407" s="3"/>
      <c r="AH407" s="3"/>
      <c r="AI407" s="3"/>
      <c r="AJ407" s="3"/>
      <c r="AK407" s="3"/>
      <c r="AL407" s="3"/>
      <c r="AM407" s="3"/>
      <c r="AN407" s="3"/>
      <c r="AO407" s="3"/>
      <c r="AP407" s="3"/>
      <c r="AQ407" s="3"/>
      <c r="AR407" s="3"/>
      <c r="AS407" s="3"/>
      <c r="AT407" s="3"/>
      <c r="AU407" s="3"/>
    </row>
    <row r="408" spans="1:47" ht="14.25" customHeight="1" x14ac:dyDescent="0.3">
      <c r="A408" s="42"/>
      <c r="B408" s="42"/>
      <c r="C408" s="42"/>
      <c r="D408" s="61" t="s">
        <v>33</v>
      </c>
      <c r="E408" s="62"/>
      <c r="F408" s="61"/>
      <c r="G408" s="62"/>
      <c r="H408" s="61"/>
      <c r="I408" s="62"/>
      <c r="J408" s="42"/>
      <c r="K408" s="42"/>
      <c r="L408" s="63">
        <v>0</v>
      </c>
      <c r="M408" s="64"/>
      <c r="N408" s="62"/>
      <c r="O408" s="49" t="str">
        <f t="shared" si="5"/>
        <v>PLAN</v>
      </c>
      <c r="P408" s="61" t="s">
        <v>33</v>
      </c>
      <c r="Q408" s="62"/>
      <c r="R408" s="46"/>
      <c r="S408" s="2" t="str">
        <f t="shared" si="4"/>
        <v>01</v>
      </c>
      <c r="T408" s="2">
        <v>294</v>
      </c>
      <c r="U408" s="48" t="s">
        <v>91</v>
      </c>
      <c r="V408" s="2"/>
      <c r="W408" s="2" t="str">
        <f t="shared" si="6"/>
        <v>02</v>
      </c>
      <c r="X408" s="2"/>
      <c r="Y408" s="3"/>
      <c r="Z408" s="3"/>
      <c r="AA408" s="3"/>
      <c r="AB408" s="3"/>
      <c r="AC408" s="3"/>
      <c r="AD408" s="3"/>
      <c r="AE408" s="3"/>
      <c r="AF408" s="3"/>
      <c r="AG408" s="3"/>
      <c r="AH408" s="3"/>
      <c r="AI408" s="3"/>
      <c r="AJ408" s="3"/>
      <c r="AK408" s="3"/>
      <c r="AL408" s="3"/>
      <c r="AM408" s="3"/>
      <c r="AN408" s="3"/>
      <c r="AO408" s="3"/>
      <c r="AP408" s="3"/>
      <c r="AQ408" s="3"/>
      <c r="AR408" s="3"/>
      <c r="AS408" s="3"/>
      <c r="AT408" s="3"/>
      <c r="AU408" s="3"/>
    </row>
    <row r="409" spans="1:47" ht="14.25" customHeight="1" x14ac:dyDescent="0.3">
      <c r="A409" s="42"/>
      <c r="B409" s="42"/>
      <c r="C409" s="42"/>
      <c r="D409" s="61" t="s">
        <v>33</v>
      </c>
      <c r="E409" s="62"/>
      <c r="F409" s="61"/>
      <c r="G409" s="62"/>
      <c r="H409" s="61"/>
      <c r="I409" s="62"/>
      <c r="J409" s="42"/>
      <c r="K409" s="42"/>
      <c r="L409" s="63">
        <v>0</v>
      </c>
      <c r="M409" s="64"/>
      <c r="N409" s="62"/>
      <c r="O409" s="49" t="str">
        <f t="shared" si="5"/>
        <v>PLAN</v>
      </c>
      <c r="P409" s="61" t="s">
        <v>33</v>
      </c>
      <c r="Q409" s="62"/>
      <c r="R409" s="46"/>
      <c r="S409" s="2" t="str">
        <f t="shared" si="4"/>
        <v>01</v>
      </c>
      <c r="T409" s="2">
        <v>295</v>
      </c>
      <c r="U409" s="48" t="s">
        <v>91</v>
      </c>
      <c r="V409" s="2"/>
      <c r="W409" s="2" t="str">
        <f t="shared" si="6"/>
        <v>02</v>
      </c>
      <c r="X409" s="2"/>
      <c r="Y409" s="3"/>
      <c r="Z409" s="3"/>
      <c r="AA409" s="3"/>
      <c r="AB409" s="3"/>
      <c r="AC409" s="3"/>
      <c r="AD409" s="3"/>
      <c r="AE409" s="3"/>
      <c r="AF409" s="3"/>
      <c r="AG409" s="3"/>
      <c r="AH409" s="3"/>
      <c r="AI409" s="3"/>
      <c r="AJ409" s="3"/>
      <c r="AK409" s="3"/>
      <c r="AL409" s="3"/>
      <c r="AM409" s="3"/>
      <c r="AN409" s="3"/>
      <c r="AO409" s="3"/>
      <c r="AP409" s="3"/>
      <c r="AQ409" s="3"/>
      <c r="AR409" s="3"/>
      <c r="AS409" s="3"/>
      <c r="AT409" s="3"/>
      <c r="AU409" s="3"/>
    </row>
    <row r="410" spans="1:47" ht="14.25" customHeight="1" x14ac:dyDescent="0.3">
      <c r="A410" s="42"/>
      <c r="B410" s="42"/>
      <c r="C410" s="42"/>
      <c r="D410" s="61" t="s">
        <v>33</v>
      </c>
      <c r="E410" s="62"/>
      <c r="F410" s="61"/>
      <c r="G410" s="62"/>
      <c r="H410" s="61"/>
      <c r="I410" s="62"/>
      <c r="J410" s="42"/>
      <c r="K410" s="42"/>
      <c r="L410" s="63">
        <v>0</v>
      </c>
      <c r="M410" s="64"/>
      <c r="N410" s="62"/>
      <c r="O410" s="49" t="str">
        <f t="shared" si="5"/>
        <v>PLAN</v>
      </c>
      <c r="P410" s="61" t="s">
        <v>33</v>
      </c>
      <c r="Q410" s="62"/>
      <c r="R410" s="46"/>
      <c r="S410" s="2" t="str">
        <f t="shared" si="4"/>
        <v>01</v>
      </c>
      <c r="T410" s="2">
        <v>296</v>
      </c>
      <c r="U410" s="48" t="s">
        <v>91</v>
      </c>
      <c r="V410" s="2"/>
      <c r="W410" s="2" t="str">
        <f t="shared" si="6"/>
        <v>02</v>
      </c>
      <c r="X410" s="2"/>
      <c r="Y410" s="3"/>
      <c r="Z410" s="3"/>
      <c r="AA410" s="3"/>
      <c r="AB410" s="3"/>
      <c r="AC410" s="3"/>
      <c r="AD410" s="3"/>
      <c r="AE410" s="3"/>
      <c r="AF410" s="3"/>
      <c r="AG410" s="3"/>
      <c r="AH410" s="3"/>
      <c r="AI410" s="3"/>
      <c r="AJ410" s="3"/>
      <c r="AK410" s="3"/>
      <c r="AL410" s="3"/>
      <c r="AM410" s="3"/>
      <c r="AN410" s="3"/>
      <c r="AO410" s="3"/>
      <c r="AP410" s="3"/>
      <c r="AQ410" s="3"/>
      <c r="AR410" s="3"/>
      <c r="AS410" s="3"/>
      <c r="AT410" s="3"/>
      <c r="AU410" s="3"/>
    </row>
    <row r="411" spans="1:47" ht="14.25" customHeight="1" x14ac:dyDescent="0.3">
      <c r="A411" s="42"/>
      <c r="B411" s="42"/>
      <c r="C411" s="42"/>
      <c r="D411" s="61" t="s">
        <v>33</v>
      </c>
      <c r="E411" s="62"/>
      <c r="F411" s="61"/>
      <c r="G411" s="62"/>
      <c r="H411" s="61"/>
      <c r="I411" s="62"/>
      <c r="J411" s="42"/>
      <c r="K411" s="42"/>
      <c r="L411" s="63">
        <v>0</v>
      </c>
      <c r="M411" s="64"/>
      <c r="N411" s="62"/>
      <c r="O411" s="49" t="str">
        <f t="shared" si="5"/>
        <v>PLAN</v>
      </c>
      <c r="P411" s="61" t="s">
        <v>33</v>
      </c>
      <c r="Q411" s="62"/>
      <c r="R411" s="46"/>
      <c r="S411" s="2" t="str">
        <f t="shared" si="4"/>
        <v>01</v>
      </c>
      <c r="T411" s="2">
        <v>297</v>
      </c>
      <c r="U411" s="48" t="s">
        <v>91</v>
      </c>
      <c r="V411" s="2"/>
      <c r="W411" s="2" t="str">
        <f t="shared" si="6"/>
        <v>02</v>
      </c>
      <c r="X411" s="2"/>
      <c r="Y411" s="3"/>
      <c r="Z411" s="3"/>
      <c r="AA411" s="3"/>
      <c r="AB411" s="3"/>
      <c r="AC411" s="3"/>
      <c r="AD411" s="3"/>
      <c r="AE411" s="3"/>
      <c r="AF411" s="3"/>
      <c r="AG411" s="3"/>
      <c r="AH411" s="3"/>
      <c r="AI411" s="3"/>
      <c r="AJ411" s="3"/>
      <c r="AK411" s="3"/>
      <c r="AL411" s="3"/>
      <c r="AM411" s="3"/>
      <c r="AN411" s="3"/>
      <c r="AO411" s="3"/>
      <c r="AP411" s="3"/>
      <c r="AQ411" s="3"/>
      <c r="AR411" s="3"/>
      <c r="AS411" s="3"/>
      <c r="AT411" s="3"/>
      <c r="AU411" s="3"/>
    </row>
    <row r="412" spans="1:47" ht="14.25" customHeight="1" x14ac:dyDescent="0.3">
      <c r="A412" s="42"/>
      <c r="B412" s="42"/>
      <c r="C412" s="42"/>
      <c r="D412" s="61" t="s">
        <v>33</v>
      </c>
      <c r="E412" s="62"/>
      <c r="F412" s="61"/>
      <c r="G412" s="62"/>
      <c r="H412" s="61"/>
      <c r="I412" s="62"/>
      <c r="J412" s="42"/>
      <c r="K412" s="42"/>
      <c r="L412" s="63">
        <v>0</v>
      </c>
      <c r="M412" s="64"/>
      <c r="N412" s="62"/>
      <c r="O412" s="49" t="str">
        <f t="shared" si="5"/>
        <v>PLAN</v>
      </c>
      <c r="P412" s="61" t="s">
        <v>33</v>
      </c>
      <c r="Q412" s="62"/>
      <c r="R412" s="46"/>
      <c r="S412" s="2" t="str">
        <f t="shared" si="4"/>
        <v>01</v>
      </c>
      <c r="T412" s="2">
        <v>298</v>
      </c>
      <c r="U412" s="48" t="s">
        <v>91</v>
      </c>
      <c r="V412" s="2"/>
      <c r="W412" s="2" t="str">
        <f t="shared" si="6"/>
        <v>02</v>
      </c>
      <c r="X412" s="2"/>
      <c r="Y412" s="3"/>
      <c r="Z412" s="3"/>
      <c r="AA412" s="3"/>
      <c r="AB412" s="3"/>
      <c r="AC412" s="3"/>
      <c r="AD412" s="3"/>
      <c r="AE412" s="3"/>
      <c r="AF412" s="3"/>
      <c r="AG412" s="3"/>
      <c r="AH412" s="3"/>
      <c r="AI412" s="3"/>
      <c r="AJ412" s="3"/>
      <c r="AK412" s="3"/>
      <c r="AL412" s="3"/>
      <c r="AM412" s="3"/>
      <c r="AN412" s="3"/>
      <c r="AO412" s="3"/>
      <c r="AP412" s="3"/>
      <c r="AQ412" s="3"/>
      <c r="AR412" s="3"/>
      <c r="AS412" s="3"/>
      <c r="AT412" s="3"/>
      <c r="AU412" s="3"/>
    </row>
    <row r="413" spans="1:47" ht="14.25" customHeight="1" x14ac:dyDescent="0.3">
      <c r="A413" s="42"/>
      <c r="B413" s="42"/>
      <c r="C413" s="42"/>
      <c r="D413" s="61" t="s">
        <v>33</v>
      </c>
      <c r="E413" s="62"/>
      <c r="F413" s="61"/>
      <c r="G413" s="62"/>
      <c r="H413" s="61"/>
      <c r="I413" s="62"/>
      <c r="J413" s="42"/>
      <c r="K413" s="42"/>
      <c r="L413" s="63">
        <v>0</v>
      </c>
      <c r="M413" s="64"/>
      <c r="N413" s="62"/>
      <c r="O413" s="49" t="str">
        <f t="shared" si="5"/>
        <v>PLAN</v>
      </c>
      <c r="P413" s="61" t="s">
        <v>33</v>
      </c>
      <c r="Q413" s="62"/>
      <c r="R413" s="46"/>
      <c r="S413" s="2" t="str">
        <f t="shared" si="4"/>
        <v>01</v>
      </c>
      <c r="T413" s="2">
        <v>299</v>
      </c>
      <c r="U413" s="48" t="s">
        <v>91</v>
      </c>
      <c r="V413" s="2"/>
      <c r="W413" s="2" t="str">
        <f t="shared" si="6"/>
        <v>02</v>
      </c>
      <c r="X413" s="2"/>
      <c r="Y413" s="3"/>
      <c r="Z413" s="3"/>
      <c r="AA413" s="3"/>
      <c r="AB413" s="3"/>
      <c r="AC413" s="3"/>
      <c r="AD413" s="3"/>
      <c r="AE413" s="3"/>
      <c r="AF413" s="3"/>
      <c r="AG413" s="3"/>
      <c r="AH413" s="3"/>
      <c r="AI413" s="3"/>
      <c r="AJ413" s="3"/>
      <c r="AK413" s="3"/>
      <c r="AL413" s="3"/>
      <c r="AM413" s="3"/>
      <c r="AN413" s="3"/>
      <c r="AO413" s="3"/>
      <c r="AP413" s="3"/>
      <c r="AQ413" s="3"/>
      <c r="AR413" s="3"/>
      <c r="AS413" s="3"/>
      <c r="AT413" s="3"/>
      <c r="AU413" s="3"/>
    </row>
    <row r="414" spans="1:47" ht="14.25" customHeight="1" x14ac:dyDescent="0.3">
      <c r="A414" s="42"/>
      <c r="B414" s="42"/>
      <c r="C414" s="42"/>
      <c r="D414" s="61" t="s">
        <v>33</v>
      </c>
      <c r="E414" s="62"/>
      <c r="F414" s="61"/>
      <c r="G414" s="62"/>
      <c r="H414" s="61"/>
      <c r="I414" s="62"/>
      <c r="J414" s="42"/>
      <c r="K414" s="42"/>
      <c r="L414" s="63">
        <v>0</v>
      </c>
      <c r="M414" s="64"/>
      <c r="N414" s="62"/>
      <c r="O414" s="49" t="str">
        <f t="shared" si="5"/>
        <v>PLAN</v>
      </c>
      <c r="P414" s="61" t="s">
        <v>33</v>
      </c>
      <c r="Q414" s="62"/>
      <c r="R414" s="46"/>
      <c r="S414" s="2" t="str">
        <f t="shared" si="4"/>
        <v>01</v>
      </c>
      <c r="T414" s="2">
        <v>300</v>
      </c>
      <c r="U414" s="48" t="s">
        <v>91</v>
      </c>
      <c r="V414" s="2"/>
      <c r="W414" s="2" t="str">
        <f t="shared" si="6"/>
        <v>02</v>
      </c>
      <c r="X414" s="2"/>
      <c r="Y414" s="3"/>
      <c r="Z414" s="3"/>
      <c r="AA414" s="3"/>
      <c r="AB414" s="3"/>
      <c r="AC414" s="3"/>
      <c r="AD414" s="3"/>
      <c r="AE414" s="3"/>
      <c r="AF414" s="3"/>
      <c r="AG414" s="3"/>
      <c r="AH414" s="3"/>
      <c r="AI414" s="3"/>
      <c r="AJ414" s="3"/>
      <c r="AK414" s="3"/>
      <c r="AL414" s="3"/>
      <c r="AM414" s="3"/>
      <c r="AN414" s="3"/>
      <c r="AO414" s="3"/>
      <c r="AP414" s="3"/>
      <c r="AQ414" s="3"/>
      <c r="AR414" s="3"/>
      <c r="AS414" s="3"/>
      <c r="AT414" s="3"/>
      <c r="AU414" s="3"/>
    </row>
    <row r="415" spans="1:47" ht="14.25" customHeight="1" x14ac:dyDescent="0.3">
      <c r="A415" s="42"/>
      <c r="B415" s="42"/>
      <c r="C415" s="42"/>
      <c r="D415" s="61" t="s">
        <v>33</v>
      </c>
      <c r="E415" s="62"/>
      <c r="F415" s="61"/>
      <c r="G415" s="62"/>
      <c r="H415" s="61"/>
      <c r="I415" s="62"/>
      <c r="J415" s="42"/>
      <c r="K415" s="42"/>
      <c r="L415" s="63">
        <v>0</v>
      </c>
      <c r="M415" s="64"/>
      <c r="N415" s="62"/>
      <c r="O415" s="49" t="str">
        <f t="shared" si="5"/>
        <v>PLAN</v>
      </c>
      <c r="P415" s="61" t="s">
        <v>33</v>
      </c>
      <c r="Q415" s="62"/>
      <c r="R415" s="46"/>
      <c r="S415" s="2" t="str">
        <f t="shared" si="4"/>
        <v>01</v>
      </c>
      <c r="T415" s="2">
        <v>301</v>
      </c>
      <c r="U415" s="48" t="s">
        <v>91</v>
      </c>
      <c r="V415" s="2"/>
      <c r="W415" s="2" t="str">
        <f t="shared" si="6"/>
        <v>02</v>
      </c>
      <c r="X415" s="2"/>
      <c r="Y415" s="3"/>
      <c r="Z415" s="3"/>
      <c r="AA415" s="3"/>
      <c r="AB415" s="3"/>
      <c r="AC415" s="3"/>
      <c r="AD415" s="3"/>
      <c r="AE415" s="3"/>
      <c r="AF415" s="3"/>
      <c r="AG415" s="3"/>
      <c r="AH415" s="3"/>
      <c r="AI415" s="3"/>
      <c r="AJ415" s="3"/>
      <c r="AK415" s="3"/>
      <c r="AL415" s="3"/>
      <c r="AM415" s="3"/>
      <c r="AN415" s="3"/>
      <c r="AO415" s="3"/>
      <c r="AP415" s="3"/>
      <c r="AQ415" s="3"/>
      <c r="AR415" s="3"/>
      <c r="AS415" s="3"/>
      <c r="AT415" s="3"/>
      <c r="AU415" s="3"/>
    </row>
    <row r="416" spans="1:47" ht="14.25" customHeight="1" x14ac:dyDescent="0.3">
      <c r="A416" s="42"/>
      <c r="B416" s="42"/>
      <c r="C416" s="42"/>
      <c r="D416" s="61" t="s">
        <v>33</v>
      </c>
      <c r="E416" s="62"/>
      <c r="F416" s="61"/>
      <c r="G416" s="62"/>
      <c r="H416" s="61"/>
      <c r="I416" s="62"/>
      <c r="J416" s="42"/>
      <c r="K416" s="42"/>
      <c r="L416" s="63">
        <v>0</v>
      </c>
      <c r="M416" s="64"/>
      <c r="N416" s="62"/>
      <c r="O416" s="49" t="str">
        <f t="shared" si="5"/>
        <v>PLAN</v>
      </c>
      <c r="P416" s="61" t="s">
        <v>33</v>
      </c>
      <c r="Q416" s="62"/>
      <c r="R416" s="46"/>
      <c r="S416" s="2" t="str">
        <f t="shared" si="4"/>
        <v>01</v>
      </c>
      <c r="T416" s="2">
        <v>302</v>
      </c>
      <c r="U416" s="48" t="s">
        <v>91</v>
      </c>
      <c r="V416" s="2"/>
      <c r="W416" s="2" t="str">
        <f t="shared" si="6"/>
        <v>02</v>
      </c>
      <c r="X416" s="2"/>
      <c r="Y416" s="3"/>
      <c r="Z416" s="3"/>
      <c r="AA416" s="3"/>
      <c r="AB416" s="3"/>
      <c r="AC416" s="3"/>
      <c r="AD416" s="3"/>
      <c r="AE416" s="3"/>
      <c r="AF416" s="3"/>
      <c r="AG416" s="3"/>
      <c r="AH416" s="3"/>
      <c r="AI416" s="3"/>
      <c r="AJ416" s="3"/>
      <c r="AK416" s="3"/>
      <c r="AL416" s="3"/>
      <c r="AM416" s="3"/>
      <c r="AN416" s="3"/>
      <c r="AO416" s="3"/>
      <c r="AP416" s="3"/>
      <c r="AQ416" s="3"/>
      <c r="AR416" s="3"/>
      <c r="AS416" s="3"/>
      <c r="AT416" s="3"/>
      <c r="AU416" s="3"/>
    </row>
    <row r="417" spans="1:47" ht="14.25" customHeight="1" x14ac:dyDescent="0.3">
      <c r="A417" s="42"/>
      <c r="B417" s="42"/>
      <c r="C417" s="42"/>
      <c r="D417" s="61" t="s">
        <v>33</v>
      </c>
      <c r="E417" s="62"/>
      <c r="F417" s="61"/>
      <c r="G417" s="62"/>
      <c r="H417" s="61"/>
      <c r="I417" s="62"/>
      <c r="J417" s="42"/>
      <c r="K417" s="42"/>
      <c r="L417" s="63">
        <v>0</v>
      </c>
      <c r="M417" s="64"/>
      <c r="N417" s="62"/>
      <c r="O417" s="49" t="str">
        <f t="shared" si="5"/>
        <v>PLAN</v>
      </c>
      <c r="P417" s="61" t="s">
        <v>33</v>
      </c>
      <c r="Q417" s="62"/>
      <c r="R417" s="46"/>
      <c r="S417" s="2" t="str">
        <f t="shared" si="4"/>
        <v>01</v>
      </c>
      <c r="T417" s="2">
        <v>303</v>
      </c>
      <c r="U417" s="48" t="s">
        <v>91</v>
      </c>
      <c r="V417" s="2"/>
      <c r="W417" s="2" t="str">
        <f t="shared" si="6"/>
        <v>02</v>
      </c>
      <c r="X417" s="2"/>
      <c r="Y417" s="3"/>
      <c r="Z417" s="3"/>
      <c r="AA417" s="3"/>
      <c r="AB417" s="3"/>
      <c r="AC417" s="3"/>
      <c r="AD417" s="3"/>
      <c r="AE417" s="3"/>
      <c r="AF417" s="3"/>
      <c r="AG417" s="3"/>
      <c r="AH417" s="3"/>
      <c r="AI417" s="3"/>
      <c r="AJ417" s="3"/>
      <c r="AK417" s="3"/>
      <c r="AL417" s="3"/>
      <c r="AM417" s="3"/>
      <c r="AN417" s="3"/>
      <c r="AO417" s="3"/>
      <c r="AP417" s="3"/>
      <c r="AQ417" s="3"/>
      <c r="AR417" s="3"/>
      <c r="AS417" s="3"/>
      <c r="AT417" s="3"/>
      <c r="AU417" s="3"/>
    </row>
    <row r="418" spans="1:47" ht="14.25" customHeight="1" x14ac:dyDescent="0.3">
      <c r="A418" s="42"/>
      <c r="B418" s="42"/>
      <c r="C418" s="42"/>
      <c r="D418" s="61" t="s">
        <v>33</v>
      </c>
      <c r="E418" s="62"/>
      <c r="F418" s="61"/>
      <c r="G418" s="62"/>
      <c r="H418" s="61"/>
      <c r="I418" s="62"/>
      <c r="J418" s="42"/>
      <c r="K418" s="42"/>
      <c r="L418" s="63">
        <v>0</v>
      </c>
      <c r="M418" s="64"/>
      <c r="N418" s="62"/>
      <c r="O418" s="49" t="str">
        <f t="shared" si="5"/>
        <v>PLAN</v>
      </c>
      <c r="P418" s="61" t="s">
        <v>33</v>
      </c>
      <c r="Q418" s="62"/>
      <c r="R418" s="46"/>
      <c r="S418" s="2" t="str">
        <f t="shared" si="4"/>
        <v>01</v>
      </c>
      <c r="T418" s="2">
        <v>304</v>
      </c>
      <c r="U418" s="48" t="s">
        <v>91</v>
      </c>
      <c r="V418" s="2"/>
      <c r="W418" s="2" t="str">
        <f t="shared" si="6"/>
        <v>02</v>
      </c>
      <c r="X418" s="2"/>
      <c r="Y418" s="3"/>
      <c r="Z418" s="3"/>
      <c r="AA418" s="3"/>
      <c r="AB418" s="3"/>
      <c r="AC418" s="3"/>
      <c r="AD418" s="3"/>
      <c r="AE418" s="3"/>
      <c r="AF418" s="3"/>
      <c r="AG418" s="3"/>
      <c r="AH418" s="3"/>
      <c r="AI418" s="3"/>
      <c r="AJ418" s="3"/>
      <c r="AK418" s="3"/>
      <c r="AL418" s="3"/>
      <c r="AM418" s="3"/>
      <c r="AN418" s="3"/>
      <c r="AO418" s="3"/>
      <c r="AP418" s="3"/>
      <c r="AQ418" s="3"/>
      <c r="AR418" s="3"/>
      <c r="AS418" s="3"/>
      <c r="AT418" s="3"/>
      <c r="AU418" s="3"/>
    </row>
    <row r="419" spans="1:47" ht="14.25" customHeight="1" x14ac:dyDescent="0.3">
      <c r="A419" s="42"/>
      <c r="B419" s="42"/>
      <c r="C419" s="42"/>
      <c r="D419" s="61" t="s">
        <v>33</v>
      </c>
      <c r="E419" s="62"/>
      <c r="F419" s="61"/>
      <c r="G419" s="62"/>
      <c r="H419" s="61"/>
      <c r="I419" s="62"/>
      <c r="J419" s="42"/>
      <c r="K419" s="42"/>
      <c r="L419" s="63">
        <v>0</v>
      </c>
      <c r="M419" s="64"/>
      <c r="N419" s="62"/>
      <c r="O419" s="49" t="str">
        <f t="shared" si="5"/>
        <v>PLAN</v>
      </c>
      <c r="P419" s="61" t="s">
        <v>33</v>
      </c>
      <c r="Q419" s="62"/>
      <c r="R419" s="46"/>
      <c r="S419" s="2" t="str">
        <f t="shared" si="4"/>
        <v>01</v>
      </c>
      <c r="T419" s="2">
        <v>305</v>
      </c>
      <c r="U419" s="48" t="s">
        <v>91</v>
      </c>
      <c r="V419" s="2"/>
      <c r="W419" s="2" t="str">
        <f t="shared" si="6"/>
        <v>02</v>
      </c>
      <c r="X419" s="2"/>
      <c r="Y419" s="3"/>
      <c r="Z419" s="3"/>
      <c r="AA419" s="3"/>
      <c r="AB419" s="3"/>
      <c r="AC419" s="3"/>
      <c r="AD419" s="3"/>
      <c r="AE419" s="3"/>
      <c r="AF419" s="3"/>
      <c r="AG419" s="3"/>
      <c r="AH419" s="3"/>
      <c r="AI419" s="3"/>
      <c r="AJ419" s="3"/>
      <c r="AK419" s="3"/>
      <c r="AL419" s="3"/>
      <c r="AM419" s="3"/>
      <c r="AN419" s="3"/>
      <c r="AO419" s="3"/>
      <c r="AP419" s="3"/>
      <c r="AQ419" s="3"/>
      <c r="AR419" s="3"/>
      <c r="AS419" s="3"/>
      <c r="AT419" s="3"/>
      <c r="AU419" s="3"/>
    </row>
    <row r="420" spans="1:47" ht="14.25" customHeight="1" x14ac:dyDescent="0.3">
      <c r="A420" s="42"/>
      <c r="B420" s="42"/>
      <c r="C420" s="42"/>
      <c r="D420" s="61" t="s">
        <v>33</v>
      </c>
      <c r="E420" s="62"/>
      <c r="F420" s="61"/>
      <c r="G420" s="62"/>
      <c r="H420" s="61"/>
      <c r="I420" s="62"/>
      <c r="J420" s="42"/>
      <c r="K420" s="42"/>
      <c r="L420" s="63">
        <v>0</v>
      </c>
      <c r="M420" s="64"/>
      <c r="N420" s="62"/>
      <c r="O420" s="49" t="str">
        <f t="shared" si="5"/>
        <v>PLAN</v>
      </c>
      <c r="P420" s="61" t="s">
        <v>33</v>
      </c>
      <c r="Q420" s="62"/>
      <c r="R420" s="46"/>
      <c r="S420" s="2" t="str">
        <f t="shared" si="4"/>
        <v>01</v>
      </c>
      <c r="T420" s="2">
        <v>306</v>
      </c>
      <c r="U420" s="48" t="s">
        <v>91</v>
      </c>
      <c r="V420" s="2"/>
      <c r="W420" s="2" t="str">
        <f t="shared" si="6"/>
        <v>02</v>
      </c>
      <c r="X420" s="2"/>
      <c r="Y420" s="3"/>
      <c r="Z420" s="3"/>
      <c r="AA420" s="3"/>
      <c r="AB420" s="3"/>
      <c r="AC420" s="3"/>
      <c r="AD420" s="3"/>
      <c r="AE420" s="3"/>
      <c r="AF420" s="3"/>
      <c r="AG420" s="3"/>
      <c r="AH420" s="3"/>
      <c r="AI420" s="3"/>
      <c r="AJ420" s="3"/>
      <c r="AK420" s="3"/>
      <c r="AL420" s="3"/>
      <c r="AM420" s="3"/>
      <c r="AN420" s="3"/>
      <c r="AO420" s="3"/>
      <c r="AP420" s="3"/>
      <c r="AQ420" s="3"/>
      <c r="AR420" s="3"/>
      <c r="AS420" s="3"/>
      <c r="AT420" s="3"/>
      <c r="AU420" s="3"/>
    </row>
    <row r="421" spans="1:47" ht="14.25" customHeight="1" x14ac:dyDescent="0.3">
      <c r="A421" s="42"/>
      <c r="B421" s="42"/>
      <c r="C421" s="42"/>
      <c r="D421" s="61" t="s">
        <v>33</v>
      </c>
      <c r="E421" s="62"/>
      <c r="F421" s="61"/>
      <c r="G421" s="62"/>
      <c r="H421" s="61"/>
      <c r="I421" s="62"/>
      <c r="J421" s="42"/>
      <c r="K421" s="42"/>
      <c r="L421" s="63">
        <v>0</v>
      </c>
      <c r="M421" s="64"/>
      <c r="N421" s="62"/>
      <c r="O421" s="49" t="str">
        <f t="shared" si="5"/>
        <v>PLAN</v>
      </c>
      <c r="P421" s="61" t="s">
        <v>33</v>
      </c>
      <c r="Q421" s="62"/>
      <c r="R421" s="46"/>
      <c r="S421" s="2" t="str">
        <f t="shared" si="4"/>
        <v>01</v>
      </c>
      <c r="T421" s="2">
        <v>307</v>
      </c>
      <c r="U421" s="48" t="s">
        <v>91</v>
      </c>
      <c r="V421" s="2"/>
      <c r="W421" s="2" t="str">
        <f t="shared" si="6"/>
        <v>02</v>
      </c>
      <c r="X421" s="2"/>
      <c r="Y421" s="3"/>
      <c r="Z421" s="3"/>
      <c r="AA421" s="3"/>
      <c r="AB421" s="3"/>
      <c r="AC421" s="3"/>
      <c r="AD421" s="3"/>
      <c r="AE421" s="3"/>
      <c r="AF421" s="3"/>
      <c r="AG421" s="3"/>
      <c r="AH421" s="3"/>
      <c r="AI421" s="3"/>
      <c r="AJ421" s="3"/>
      <c r="AK421" s="3"/>
      <c r="AL421" s="3"/>
      <c r="AM421" s="3"/>
      <c r="AN421" s="3"/>
      <c r="AO421" s="3"/>
      <c r="AP421" s="3"/>
      <c r="AQ421" s="3"/>
      <c r="AR421" s="3"/>
      <c r="AS421" s="3"/>
      <c r="AT421" s="3"/>
      <c r="AU421" s="3"/>
    </row>
    <row r="422" spans="1:47" ht="14.25" customHeight="1" x14ac:dyDescent="0.3">
      <c r="A422" s="42"/>
      <c r="B422" s="42"/>
      <c r="C422" s="42"/>
      <c r="D422" s="61" t="s">
        <v>33</v>
      </c>
      <c r="E422" s="62"/>
      <c r="F422" s="61"/>
      <c r="G422" s="62"/>
      <c r="H422" s="61"/>
      <c r="I422" s="62"/>
      <c r="J422" s="42"/>
      <c r="K422" s="42"/>
      <c r="L422" s="63">
        <v>0</v>
      </c>
      <c r="M422" s="64"/>
      <c r="N422" s="62"/>
      <c r="O422" s="49" t="str">
        <f t="shared" si="5"/>
        <v>PLAN</v>
      </c>
      <c r="P422" s="61" t="s">
        <v>33</v>
      </c>
      <c r="Q422" s="62"/>
      <c r="R422" s="46"/>
      <c r="S422" s="2" t="str">
        <f t="shared" si="4"/>
        <v>01</v>
      </c>
      <c r="T422" s="2">
        <v>308</v>
      </c>
      <c r="U422" s="48" t="s">
        <v>91</v>
      </c>
      <c r="V422" s="2"/>
      <c r="W422" s="2" t="str">
        <f t="shared" si="6"/>
        <v>02</v>
      </c>
      <c r="X422" s="2"/>
      <c r="Y422" s="3"/>
      <c r="Z422" s="3"/>
      <c r="AA422" s="3"/>
      <c r="AB422" s="3"/>
      <c r="AC422" s="3"/>
      <c r="AD422" s="3"/>
      <c r="AE422" s="3"/>
      <c r="AF422" s="3"/>
      <c r="AG422" s="3"/>
      <c r="AH422" s="3"/>
      <c r="AI422" s="3"/>
      <c r="AJ422" s="3"/>
      <c r="AK422" s="3"/>
      <c r="AL422" s="3"/>
      <c r="AM422" s="3"/>
      <c r="AN422" s="3"/>
      <c r="AO422" s="3"/>
      <c r="AP422" s="3"/>
      <c r="AQ422" s="3"/>
      <c r="AR422" s="3"/>
      <c r="AS422" s="3"/>
      <c r="AT422" s="3"/>
      <c r="AU422" s="3"/>
    </row>
    <row r="423" spans="1:47" ht="14.25" customHeight="1" x14ac:dyDescent="0.3">
      <c r="A423" s="42"/>
      <c r="B423" s="42"/>
      <c r="C423" s="42"/>
      <c r="D423" s="61" t="s">
        <v>33</v>
      </c>
      <c r="E423" s="62"/>
      <c r="F423" s="61"/>
      <c r="G423" s="62"/>
      <c r="H423" s="61"/>
      <c r="I423" s="62"/>
      <c r="J423" s="42"/>
      <c r="K423" s="42"/>
      <c r="L423" s="63">
        <v>0</v>
      </c>
      <c r="M423" s="64"/>
      <c r="N423" s="62"/>
      <c r="O423" s="49" t="str">
        <f t="shared" si="5"/>
        <v>PLAN</v>
      </c>
      <c r="P423" s="61" t="s">
        <v>33</v>
      </c>
      <c r="Q423" s="62"/>
      <c r="R423" s="46"/>
      <c r="S423" s="2" t="str">
        <f t="shared" si="4"/>
        <v>01</v>
      </c>
      <c r="T423" s="2">
        <v>309</v>
      </c>
      <c r="U423" s="48" t="s">
        <v>91</v>
      </c>
      <c r="V423" s="2"/>
      <c r="W423" s="2" t="str">
        <f t="shared" si="6"/>
        <v>02</v>
      </c>
      <c r="X423" s="2"/>
      <c r="Y423" s="3"/>
      <c r="Z423" s="3"/>
      <c r="AA423" s="3"/>
      <c r="AB423" s="3"/>
      <c r="AC423" s="3"/>
      <c r="AD423" s="3"/>
      <c r="AE423" s="3"/>
      <c r="AF423" s="3"/>
      <c r="AG423" s="3"/>
      <c r="AH423" s="3"/>
      <c r="AI423" s="3"/>
      <c r="AJ423" s="3"/>
      <c r="AK423" s="3"/>
      <c r="AL423" s="3"/>
      <c r="AM423" s="3"/>
      <c r="AN423" s="3"/>
      <c r="AO423" s="3"/>
      <c r="AP423" s="3"/>
      <c r="AQ423" s="3"/>
      <c r="AR423" s="3"/>
      <c r="AS423" s="3"/>
      <c r="AT423" s="3"/>
      <c r="AU423" s="3"/>
    </row>
    <row r="424" spans="1:47" ht="14.25" customHeight="1" x14ac:dyDescent="0.3">
      <c r="A424" s="42"/>
      <c r="B424" s="42"/>
      <c r="C424" s="42"/>
      <c r="D424" s="61" t="s">
        <v>33</v>
      </c>
      <c r="E424" s="62"/>
      <c r="F424" s="61"/>
      <c r="G424" s="62"/>
      <c r="H424" s="61"/>
      <c r="I424" s="62"/>
      <c r="J424" s="42"/>
      <c r="K424" s="42"/>
      <c r="L424" s="63">
        <v>0</v>
      </c>
      <c r="M424" s="64"/>
      <c r="N424" s="62"/>
      <c r="O424" s="49" t="str">
        <f t="shared" si="5"/>
        <v>PLAN</v>
      </c>
      <c r="P424" s="61" t="s">
        <v>33</v>
      </c>
      <c r="Q424" s="62"/>
      <c r="R424" s="46"/>
      <c r="S424" s="2" t="str">
        <f t="shared" si="4"/>
        <v>01</v>
      </c>
      <c r="T424" s="2">
        <v>310</v>
      </c>
      <c r="U424" s="48" t="s">
        <v>91</v>
      </c>
      <c r="V424" s="2"/>
      <c r="W424" s="2" t="str">
        <f t="shared" si="6"/>
        <v>02</v>
      </c>
      <c r="X424" s="2"/>
      <c r="Y424" s="3"/>
      <c r="Z424" s="3"/>
      <c r="AA424" s="3"/>
      <c r="AB424" s="3"/>
      <c r="AC424" s="3"/>
      <c r="AD424" s="3"/>
      <c r="AE424" s="3"/>
      <c r="AF424" s="3"/>
      <c r="AG424" s="3"/>
      <c r="AH424" s="3"/>
      <c r="AI424" s="3"/>
      <c r="AJ424" s="3"/>
      <c r="AK424" s="3"/>
      <c r="AL424" s="3"/>
      <c r="AM424" s="3"/>
      <c r="AN424" s="3"/>
      <c r="AO424" s="3"/>
      <c r="AP424" s="3"/>
      <c r="AQ424" s="3"/>
      <c r="AR424" s="3"/>
      <c r="AS424" s="3"/>
      <c r="AT424" s="3"/>
      <c r="AU424" s="3"/>
    </row>
    <row r="425" spans="1:47" ht="14.25" customHeight="1" x14ac:dyDescent="0.3">
      <c r="A425" s="42"/>
      <c r="B425" s="42"/>
      <c r="C425" s="42"/>
      <c r="D425" s="61" t="s">
        <v>33</v>
      </c>
      <c r="E425" s="62"/>
      <c r="F425" s="61"/>
      <c r="G425" s="62"/>
      <c r="H425" s="61"/>
      <c r="I425" s="62"/>
      <c r="J425" s="42"/>
      <c r="K425" s="42"/>
      <c r="L425" s="63">
        <v>0</v>
      </c>
      <c r="M425" s="64"/>
      <c r="N425" s="62"/>
      <c r="O425" s="49" t="str">
        <f t="shared" si="5"/>
        <v>PLAN</v>
      </c>
      <c r="P425" s="61" t="s">
        <v>33</v>
      </c>
      <c r="Q425" s="62"/>
      <c r="R425" s="46"/>
      <c r="S425" s="2" t="str">
        <f t="shared" si="4"/>
        <v>01</v>
      </c>
      <c r="T425" s="2">
        <v>311</v>
      </c>
      <c r="U425" s="48" t="s">
        <v>91</v>
      </c>
      <c r="V425" s="2"/>
      <c r="W425" s="2" t="str">
        <f t="shared" si="6"/>
        <v>02</v>
      </c>
      <c r="X425" s="2"/>
      <c r="Y425" s="3"/>
      <c r="Z425" s="3"/>
      <c r="AA425" s="3"/>
      <c r="AB425" s="3"/>
      <c r="AC425" s="3"/>
      <c r="AD425" s="3"/>
      <c r="AE425" s="3"/>
      <c r="AF425" s="3"/>
      <c r="AG425" s="3"/>
      <c r="AH425" s="3"/>
      <c r="AI425" s="3"/>
      <c r="AJ425" s="3"/>
      <c r="AK425" s="3"/>
      <c r="AL425" s="3"/>
      <c r="AM425" s="3"/>
      <c r="AN425" s="3"/>
      <c r="AO425" s="3"/>
      <c r="AP425" s="3"/>
      <c r="AQ425" s="3"/>
      <c r="AR425" s="3"/>
      <c r="AS425" s="3"/>
      <c r="AT425" s="3"/>
      <c r="AU425" s="3"/>
    </row>
    <row r="426" spans="1:47" ht="14.25" customHeight="1" x14ac:dyDescent="0.3">
      <c r="A426" s="42"/>
      <c r="B426" s="42"/>
      <c r="C426" s="42"/>
      <c r="D426" s="61" t="s">
        <v>33</v>
      </c>
      <c r="E426" s="62"/>
      <c r="F426" s="61"/>
      <c r="G426" s="62"/>
      <c r="H426" s="61"/>
      <c r="I426" s="62"/>
      <c r="J426" s="42"/>
      <c r="K426" s="42"/>
      <c r="L426" s="63">
        <v>0</v>
      </c>
      <c r="M426" s="64"/>
      <c r="N426" s="62"/>
      <c r="O426" s="49" t="str">
        <f t="shared" si="5"/>
        <v>PLAN</v>
      </c>
      <c r="P426" s="61" t="s">
        <v>33</v>
      </c>
      <c r="Q426" s="62"/>
      <c r="R426" s="46"/>
      <c r="S426" s="2" t="str">
        <f t="shared" si="4"/>
        <v>01</v>
      </c>
      <c r="T426" s="2">
        <v>312</v>
      </c>
      <c r="U426" s="48" t="s">
        <v>91</v>
      </c>
      <c r="V426" s="2"/>
      <c r="W426" s="2" t="str">
        <f t="shared" si="6"/>
        <v>02</v>
      </c>
      <c r="X426" s="2"/>
      <c r="Y426" s="3"/>
      <c r="Z426" s="3"/>
      <c r="AA426" s="3"/>
      <c r="AB426" s="3"/>
      <c r="AC426" s="3"/>
      <c r="AD426" s="3"/>
      <c r="AE426" s="3"/>
      <c r="AF426" s="3"/>
      <c r="AG426" s="3"/>
      <c r="AH426" s="3"/>
      <c r="AI426" s="3"/>
      <c r="AJ426" s="3"/>
      <c r="AK426" s="3"/>
      <c r="AL426" s="3"/>
      <c r="AM426" s="3"/>
      <c r="AN426" s="3"/>
      <c r="AO426" s="3"/>
      <c r="AP426" s="3"/>
      <c r="AQ426" s="3"/>
      <c r="AR426" s="3"/>
      <c r="AS426" s="3"/>
      <c r="AT426" s="3"/>
      <c r="AU426" s="3"/>
    </row>
    <row r="427" spans="1:47" ht="14.25" customHeight="1" x14ac:dyDescent="0.3">
      <c r="A427" s="42"/>
      <c r="B427" s="42"/>
      <c r="C427" s="42"/>
      <c r="D427" s="61" t="s">
        <v>33</v>
      </c>
      <c r="E427" s="62"/>
      <c r="F427" s="61"/>
      <c r="G427" s="62"/>
      <c r="H427" s="61"/>
      <c r="I427" s="62"/>
      <c r="J427" s="42"/>
      <c r="K427" s="42"/>
      <c r="L427" s="63">
        <v>0</v>
      </c>
      <c r="M427" s="64"/>
      <c r="N427" s="62"/>
      <c r="O427" s="49" t="str">
        <f t="shared" si="5"/>
        <v>PLAN</v>
      </c>
      <c r="P427" s="61" t="s">
        <v>33</v>
      </c>
      <c r="Q427" s="62"/>
      <c r="R427" s="46"/>
      <c r="S427" s="2" t="str">
        <f t="shared" si="4"/>
        <v>01</v>
      </c>
      <c r="T427" s="2">
        <v>313</v>
      </c>
      <c r="U427" s="48" t="s">
        <v>91</v>
      </c>
      <c r="V427" s="2"/>
      <c r="W427" s="2" t="str">
        <f t="shared" si="6"/>
        <v>02</v>
      </c>
      <c r="X427" s="2"/>
      <c r="Y427" s="3"/>
      <c r="Z427" s="3"/>
      <c r="AA427" s="3"/>
      <c r="AB427" s="3"/>
      <c r="AC427" s="3"/>
      <c r="AD427" s="3"/>
      <c r="AE427" s="3"/>
      <c r="AF427" s="3"/>
      <c r="AG427" s="3"/>
      <c r="AH427" s="3"/>
      <c r="AI427" s="3"/>
      <c r="AJ427" s="3"/>
      <c r="AK427" s="3"/>
      <c r="AL427" s="3"/>
      <c r="AM427" s="3"/>
      <c r="AN427" s="3"/>
      <c r="AO427" s="3"/>
      <c r="AP427" s="3"/>
      <c r="AQ427" s="3"/>
      <c r="AR427" s="3"/>
      <c r="AS427" s="3"/>
      <c r="AT427" s="3"/>
      <c r="AU427" s="3"/>
    </row>
    <row r="428" spans="1:47" ht="14.25" customHeight="1" x14ac:dyDescent="0.3">
      <c r="A428" s="42"/>
      <c r="B428" s="42"/>
      <c r="C428" s="42"/>
      <c r="D428" s="61" t="s">
        <v>33</v>
      </c>
      <c r="E428" s="62"/>
      <c r="F428" s="61"/>
      <c r="G428" s="62"/>
      <c r="H428" s="61"/>
      <c r="I428" s="62"/>
      <c r="J428" s="42"/>
      <c r="K428" s="42"/>
      <c r="L428" s="63">
        <v>0</v>
      </c>
      <c r="M428" s="64"/>
      <c r="N428" s="62"/>
      <c r="O428" s="49" t="str">
        <f t="shared" si="5"/>
        <v>PLAN</v>
      </c>
      <c r="P428" s="61" t="s">
        <v>33</v>
      </c>
      <c r="Q428" s="62"/>
      <c r="R428" s="46"/>
      <c r="S428" s="2" t="str">
        <f t="shared" si="4"/>
        <v>01</v>
      </c>
      <c r="T428" s="2">
        <v>314</v>
      </c>
      <c r="U428" s="48" t="s">
        <v>91</v>
      </c>
      <c r="V428" s="2"/>
      <c r="W428" s="2" t="str">
        <f t="shared" si="6"/>
        <v>02</v>
      </c>
      <c r="X428" s="2"/>
      <c r="Y428" s="3"/>
      <c r="Z428" s="3"/>
      <c r="AA428" s="3"/>
      <c r="AB428" s="3"/>
      <c r="AC428" s="3"/>
      <c r="AD428" s="3"/>
      <c r="AE428" s="3"/>
      <c r="AF428" s="3"/>
      <c r="AG428" s="3"/>
      <c r="AH428" s="3"/>
      <c r="AI428" s="3"/>
      <c r="AJ428" s="3"/>
      <c r="AK428" s="3"/>
      <c r="AL428" s="3"/>
      <c r="AM428" s="3"/>
      <c r="AN428" s="3"/>
      <c r="AO428" s="3"/>
      <c r="AP428" s="3"/>
      <c r="AQ428" s="3"/>
      <c r="AR428" s="3"/>
      <c r="AS428" s="3"/>
      <c r="AT428" s="3"/>
      <c r="AU428" s="3"/>
    </row>
    <row r="429" spans="1:47" ht="14.25" customHeight="1" x14ac:dyDescent="0.3">
      <c r="A429" s="42"/>
      <c r="B429" s="42"/>
      <c r="C429" s="42"/>
      <c r="D429" s="61" t="s">
        <v>33</v>
      </c>
      <c r="E429" s="62"/>
      <c r="F429" s="61"/>
      <c r="G429" s="62"/>
      <c r="H429" s="61"/>
      <c r="I429" s="62"/>
      <c r="J429" s="42"/>
      <c r="K429" s="42"/>
      <c r="L429" s="63">
        <v>0</v>
      </c>
      <c r="M429" s="64"/>
      <c r="N429" s="62"/>
      <c r="O429" s="49" t="str">
        <f t="shared" si="5"/>
        <v>PLAN</v>
      </c>
      <c r="P429" s="61" t="s">
        <v>33</v>
      </c>
      <c r="Q429" s="62"/>
      <c r="R429" s="46"/>
      <c r="S429" s="2" t="str">
        <f t="shared" si="4"/>
        <v>01</v>
      </c>
      <c r="T429" s="2">
        <v>315</v>
      </c>
      <c r="U429" s="48" t="s">
        <v>91</v>
      </c>
      <c r="V429" s="2"/>
      <c r="W429" s="2" t="str">
        <f t="shared" si="6"/>
        <v>02</v>
      </c>
      <c r="X429" s="2"/>
      <c r="Y429" s="3"/>
      <c r="Z429" s="3"/>
      <c r="AA429" s="3"/>
      <c r="AB429" s="3"/>
      <c r="AC429" s="3"/>
      <c r="AD429" s="3"/>
      <c r="AE429" s="3"/>
      <c r="AF429" s="3"/>
      <c r="AG429" s="3"/>
      <c r="AH429" s="3"/>
      <c r="AI429" s="3"/>
      <c r="AJ429" s="3"/>
      <c r="AK429" s="3"/>
      <c r="AL429" s="3"/>
      <c r="AM429" s="3"/>
      <c r="AN429" s="3"/>
      <c r="AO429" s="3"/>
      <c r="AP429" s="3"/>
      <c r="AQ429" s="3"/>
      <c r="AR429" s="3"/>
      <c r="AS429" s="3"/>
      <c r="AT429" s="3"/>
      <c r="AU429" s="3"/>
    </row>
    <row r="430" spans="1:47" ht="14.25" customHeight="1" x14ac:dyDescent="0.3">
      <c r="A430" s="42"/>
      <c r="B430" s="42"/>
      <c r="C430" s="42"/>
      <c r="D430" s="61" t="s">
        <v>33</v>
      </c>
      <c r="E430" s="62"/>
      <c r="F430" s="61"/>
      <c r="G430" s="62"/>
      <c r="H430" s="61"/>
      <c r="I430" s="62"/>
      <c r="J430" s="42"/>
      <c r="K430" s="42"/>
      <c r="L430" s="63">
        <v>0</v>
      </c>
      <c r="M430" s="64"/>
      <c r="N430" s="62"/>
      <c r="O430" s="49" t="str">
        <f t="shared" si="5"/>
        <v>PLAN</v>
      </c>
      <c r="P430" s="61" t="s">
        <v>33</v>
      </c>
      <c r="Q430" s="62"/>
      <c r="R430" s="46"/>
      <c r="S430" s="2" t="str">
        <f t="shared" si="4"/>
        <v>01</v>
      </c>
      <c r="T430" s="2">
        <v>316</v>
      </c>
      <c r="U430" s="48" t="s">
        <v>91</v>
      </c>
      <c r="V430" s="2"/>
      <c r="W430" s="2" t="str">
        <f t="shared" si="6"/>
        <v>02</v>
      </c>
      <c r="X430" s="2"/>
      <c r="Y430" s="3"/>
      <c r="Z430" s="3"/>
      <c r="AA430" s="3"/>
      <c r="AB430" s="3"/>
      <c r="AC430" s="3"/>
      <c r="AD430" s="3"/>
      <c r="AE430" s="3"/>
      <c r="AF430" s="3"/>
      <c r="AG430" s="3"/>
      <c r="AH430" s="3"/>
      <c r="AI430" s="3"/>
      <c r="AJ430" s="3"/>
      <c r="AK430" s="3"/>
      <c r="AL430" s="3"/>
      <c r="AM430" s="3"/>
      <c r="AN430" s="3"/>
      <c r="AO430" s="3"/>
      <c r="AP430" s="3"/>
      <c r="AQ430" s="3"/>
      <c r="AR430" s="3"/>
      <c r="AS430" s="3"/>
      <c r="AT430" s="3"/>
      <c r="AU430" s="3"/>
    </row>
    <row r="431" spans="1:47" ht="14.25" customHeight="1" x14ac:dyDescent="0.3">
      <c r="A431" s="42"/>
      <c r="B431" s="42"/>
      <c r="C431" s="42"/>
      <c r="D431" s="61" t="s">
        <v>33</v>
      </c>
      <c r="E431" s="62"/>
      <c r="F431" s="61"/>
      <c r="G431" s="62"/>
      <c r="H431" s="61"/>
      <c r="I431" s="62"/>
      <c r="J431" s="42"/>
      <c r="K431" s="42"/>
      <c r="L431" s="63">
        <v>0</v>
      </c>
      <c r="M431" s="64"/>
      <c r="N431" s="62"/>
      <c r="O431" s="49" t="str">
        <f t="shared" si="5"/>
        <v>PLAN</v>
      </c>
      <c r="P431" s="61" t="s">
        <v>33</v>
      </c>
      <c r="Q431" s="62"/>
      <c r="R431" s="46"/>
      <c r="S431" s="2" t="str">
        <f t="shared" si="4"/>
        <v>01</v>
      </c>
      <c r="T431" s="2">
        <v>317</v>
      </c>
      <c r="U431" s="48" t="s">
        <v>91</v>
      </c>
      <c r="V431" s="2"/>
      <c r="W431" s="2" t="str">
        <f t="shared" si="6"/>
        <v>02</v>
      </c>
      <c r="X431" s="2"/>
      <c r="Y431" s="3"/>
      <c r="Z431" s="3"/>
      <c r="AA431" s="3"/>
      <c r="AB431" s="3"/>
      <c r="AC431" s="3"/>
      <c r="AD431" s="3"/>
      <c r="AE431" s="3"/>
      <c r="AF431" s="3"/>
      <c r="AG431" s="3"/>
      <c r="AH431" s="3"/>
      <c r="AI431" s="3"/>
      <c r="AJ431" s="3"/>
      <c r="AK431" s="3"/>
      <c r="AL431" s="3"/>
      <c r="AM431" s="3"/>
      <c r="AN431" s="3"/>
      <c r="AO431" s="3"/>
      <c r="AP431" s="3"/>
      <c r="AQ431" s="3"/>
      <c r="AR431" s="3"/>
      <c r="AS431" s="3"/>
      <c r="AT431" s="3"/>
      <c r="AU431" s="3"/>
    </row>
    <row r="432" spans="1:47" ht="14.25" customHeight="1" x14ac:dyDescent="0.3">
      <c r="A432" s="42"/>
      <c r="B432" s="42"/>
      <c r="C432" s="42"/>
      <c r="D432" s="61" t="s">
        <v>33</v>
      </c>
      <c r="E432" s="62"/>
      <c r="F432" s="61"/>
      <c r="G432" s="62"/>
      <c r="H432" s="61"/>
      <c r="I432" s="62"/>
      <c r="J432" s="42"/>
      <c r="K432" s="42"/>
      <c r="L432" s="63">
        <v>0</v>
      </c>
      <c r="M432" s="64"/>
      <c r="N432" s="62"/>
      <c r="O432" s="49" t="str">
        <f t="shared" si="5"/>
        <v>PLAN</v>
      </c>
      <c r="P432" s="61" t="s">
        <v>33</v>
      </c>
      <c r="Q432" s="62"/>
      <c r="R432" s="46"/>
      <c r="S432" s="2" t="str">
        <f t="shared" si="4"/>
        <v>01</v>
      </c>
      <c r="T432" s="2">
        <v>318</v>
      </c>
      <c r="U432" s="48" t="s">
        <v>91</v>
      </c>
      <c r="V432" s="2"/>
      <c r="W432" s="2" t="str">
        <f t="shared" si="6"/>
        <v>02</v>
      </c>
      <c r="X432" s="2"/>
      <c r="Y432" s="3"/>
      <c r="Z432" s="3"/>
      <c r="AA432" s="3"/>
      <c r="AB432" s="3"/>
      <c r="AC432" s="3"/>
      <c r="AD432" s="3"/>
      <c r="AE432" s="3"/>
      <c r="AF432" s="3"/>
      <c r="AG432" s="3"/>
      <c r="AH432" s="3"/>
      <c r="AI432" s="3"/>
      <c r="AJ432" s="3"/>
      <c r="AK432" s="3"/>
      <c r="AL432" s="3"/>
      <c r="AM432" s="3"/>
      <c r="AN432" s="3"/>
      <c r="AO432" s="3"/>
      <c r="AP432" s="3"/>
      <c r="AQ432" s="3"/>
      <c r="AR432" s="3"/>
      <c r="AS432" s="3"/>
      <c r="AT432" s="3"/>
      <c r="AU432" s="3"/>
    </row>
    <row r="433" spans="1:47" ht="14.25" customHeight="1" x14ac:dyDescent="0.3">
      <c r="A433" s="42"/>
      <c r="B433" s="42"/>
      <c r="C433" s="42"/>
      <c r="D433" s="61" t="s">
        <v>33</v>
      </c>
      <c r="E433" s="62"/>
      <c r="F433" s="61"/>
      <c r="G433" s="62"/>
      <c r="H433" s="61"/>
      <c r="I433" s="62"/>
      <c r="J433" s="42"/>
      <c r="K433" s="42"/>
      <c r="L433" s="63">
        <v>0</v>
      </c>
      <c r="M433" s="64"/>
      <c r="N433" s="62"/>
      <c r="O433" s="49" t="str">
        <f t="shared" si="5"/>
        <v>PLAN</v>
      </c>
      <c r="P433" s="61" t="s">
        <v>33</v>
      </c>
      <c r="Q433" s="62"/>
      <c r="R433" s="46"/>
      <c r="S433" s="2" t="str">
        <f t="shared" si="4"/>
        <v>01</v>
      </c>
      <c r="T433" s="2">
        <v>319</v>
      </c>
      <c r="U433" s="48" t="s">
        <v>91</v>
      </c>
      <c r="V433" s="2"/>
      <c r="W433" s="2" t="str">
        <f t="shared" si="6"/>
        <v>02</v>
      </c>
      <c r="X433" s="2"/>
      <c r="Y433" s="3"/>
      <c r="Z433" s="3"/>
      <c r="AA433" s="3"/>
      <c r="AB433" s="3"/>
      <c r="AC433" s="3"/>
      <c r="AD433" s="3"/>
      <c r="AE433" s="3"/>
      <c r="AF433" s="3"/>
      <c r="AG433" s="3"/>
      <c r="AH433" s="3"/>
      <c r="AI433" s="3"/>
      <c r="AJ433" s="3"/>
      <c r="AK433" s="3"/>
      <c r="AL433" s="3"/>
      <c r="AM433" s="3"/>
      <c r="AN433" s="3"/>
      <c r="AO433" s="3"/>
      <c r="AP433" s="3"/>
      <c r="AQ433" s="3"/>
      <c r="AR433" s="3"/>
      <c r="AS433" s="3"/>
      <c r="AT433" s="3"/>
      <c r="AU433" s="3"/>
    </row>
    <row r="434" spans="1:47" ht="14.25" customHeight="1" x14ac:dyDescent="0.3">
      <c r="A434" s="42"/>
      <c r="B434" s="42"/>
      <c r="C434" s="42"/>
      <c r="D434" s="61" t="s">
        <v>33</v>
      </c>
      <c r="E434" s="62"/>
      <c r="F434" s="61"/>
      <c r="G434" s="62"/>
      <c r="H434" s="61"/>
      <c r="I434" s="62"/>
      <c r="J434" s="42"/>
      <c r="K434" s="42"/>
      <c r="L434" s="63">
        <v>0</v>
      </c>
      <c r="M434" s="64"/>
      <c r="N434" s="62"/>
      <c r="O434" s="49" t="str">
        <f t="shared" si="5"/>
        <v>PLAN</v>
      </c>
      <c r="P434" s="61" t="s">
        <v>33</v>
      </c>
      <c r="Q434" s="62"/>
      <c r="R434" s="46"/>
      <c r="S434" s="2" t="str">
        <f t="shared" si="4"/>
        <v>01</v>
      </c>
      <c r="T434" s="2">
        <v>320</v>
      </c>
      <c r="U434" s="48" t="s">
        <v>91</v>
      </c>
      <c r="V434" s="2"/>
      <c r="W434" s="2" t="str">
        <f t="shared" si="6"/>
        <v>02</v>
      </c>
      <c r="X434" s="2"/>
      <c r="Y434" s="3"/>
      <c r="Z434" s="3"/>
      <c r="AA434" s="3"/>
      <c r="AB434" s="3"/>
      <c r="AC434" s="3"/>
      <c r="AD434" s="3"/>
      <c r="AE434" s="3"/>
      <c r="AF434" s="3"/>
      <c r="AG434" s="3"/>
      <c r="AH434" s="3"/>
      <c r="AI434" s="3"/>
      <c r="AJ434" s="3"/>
      <c r="AK434" s="3"/>
      <c r="AL434" s="3"/>
      <c r="AM434" s="3"/>
      <c r="AN434" s="3"/>
      <c r="AO434" s="3"/>
      <c r="AP434" s="3"/>
      <c r="AQ434" s="3"/>
      <c r="AR434" s="3"/>
      <c r="AS434" s="3"/>
      <c r="AT434" s="3"/>
      <c r="AU434" s="3"/>
    </row>
    <row r="435" spans="1:47" ht="14.25" customHeight="1" x14ac:dyDescent="0.3">
      <c r="A435" s="42"/>
      <c r="B435" s="42"/>
      <c r="C435" s="42"/>
      <c r="D435" s="61" t="s">
        <v>33</v>
      </c>
      <c r="E435" s="62"/>
      <c r="F435" s="61"/>
      <c r="G435" s="62"/>
      <c r="H435" s="61"/>
      <c r="I435" s="62"/>
      <c r="J435" s="42"/>
      <c r="K435" s="42"/>
      <c r="L435" s="63">
        <v>0</v>
      </c>
      <c r="M435" s="64"/>
      <c r="N435" s="62"/>
      <c r="O435" s="49" t="str">
        <f t="shared" si="5"/>
        <v>PLAN</v>
      </c>
      <c r="P435" s="61" t="s">
        <v>33</v>
      </c>
      <c r="Q435" s="62"/>
      <c r="R435" s="46"/>
      <c r="S435" s="2" t="str">
        <f t="shared" si="4"/>
        <v>01</v>
      </c>
      <c r="T435" s="2">
        <v>321</v>
      </c>
      <c r="U435" s="48" t="s">
        <v>91</v>
      </c>
      <c r="V435" s="2"/>
      <c r="W435" s="2" t="str">
        <f t="shared" si="6"/>
        <v>02</v>
      </c>
      <c r="X435" s="2"/>
      <c r="Y435" s="3"/>
      <c r="Z435" s="3"/>
      <c r="AA435" s="3"/>
      <c r="AB435" s="3"/>
      <c r="AC435" s="3"/>
      <c r="AD435" s="3"/>
      <c r="AE435" s="3"/>
      <c r="AF435" s="3"/>
      <c r="AG435" s="3"/>
      <c r="AH435" s="3"/>
      <c r="AI435" s="3"/>
      <c r="AJ435" s="3"/>
      <c r="AK435" s="3"/>
      <c r="AL435" s="3"/>
      <c r="AM435" s="3"/>
      <c r="AN435" s="3"/>
      <c r="AO435" s="3"/>
      <c r="AP435" s="3"/>
      <c r="AQ435" s="3"/>
      <c r="AR435" s="3"/>
      <c r="AS435" s="3"/>
      <c r="AT435" s="3"/>
      <c r="AU435" s="3"/>
    </row>
    <row r="436" spans="1:47" ht="14.25" customHeight="1" x14ac:dyDescent="0.3">
      <c r="A436" s="42"/>
      <c r="B436" s="42"/>
      <c r="C436" s="42"/>
      <c r="D436" s="61" t="s">
        <v>33</v>
      </c>
      <c r="E436" s="62"/>
      <c r="F436" s="61"/>
      <c r="G436" s="62"/>
      <c r="H436" s="61"/>
      <c r="I436" s="62"/>
      <c r="J436" s="42"/>
      <c r="K436" s="42"/>
      <c r="L436" s="63">
        <v>0</v>
      </c>
      <c r="M436" s="64"/>
      <c r="N436" s="62"/>
      <c r="O436" s="49" t="str">
        <f t="shared" si="5"/>
        <v>PLAN</v>
      </c>
      <c r="P436" s="61" t="s">
        <v>33</v>
      </c>
      <c r="Q436" s="62"/>
      <c r="R436" s="46"/>
      <c r="S436" s="2" t="str">
        <f t="shared" si="4"/>
        <v>01</v>
      </c>
      <c r="T436" s="2">
        <v>322</v>
      </c>
      <c r="U436" s="48" t="s">
        <v>91</v>
      </c>
      <c r="V436" s="2"/>
      <c r="W436" s="2" t="str">
        <f t="shared" si="6"/>
        <v>02</v>
      </c>
      <c r="X436" s="2"/>
      <c r="Y436" s="3"/>
      <c r="Z436" s="3"/>
      <c r="AA436" s="3"/>
      <c r="AB436" s="3"/>
      <c r="AC436" s="3"/>
      <c r="AD436" s="3"/>
      <c r="AE436" s="3"/>
      <c r="AF436" s="3"/>
      <c r="AG436" s="3"/>
      <c r="AH436" s="3"/>
      <c r="AI436" s="3"/>
      <c r="AJ436" s="3"/>
      <c r="AK436" s="3"/>
      <c r="AL436" s="3"/>
      <c r="AM436" s="3"/>
      <c r="AN436" s="3"/>
      <c r="AO436" s="3"/>
      <c r="AP436" s="3"/>
      <c r="AQ436" s="3"/>
      <c r="AR436" s="3"/>
      <c r="AS436" s="3"/>
      <c r="AT436" s="3"/>
      <c r="AU436" s="3"/>
    </row>
    <row r="437" spans="1:47" ht="14.25" customHeight="1" x14ac:dyDescent="0.3">
      <c r="A437" s="42"/>
      <c r="B437" s="42"/>
      <c r="C437" s="42"/>
      <c r="D437" s="61" t="s">
        <v>33</v>
      </c>
      <c r="E437" s="62"/>
      <c r="F437" s="61"/>
      <c r="G437" s="62"/>
      <c r="H437" s="61"/>
      <c r="I437" s="62"/>
      <c r="J437" s="42"/>
      <c r="K437" s="42"/>
      <c r="L437" s="63">
        <v>0</v>
      </c>
      <c r="M437" s="64"/>
      <c r="N437" s="62"/>
      <c r="O437" s="49" t="str">
        <f t="shared" si="5"/>
        <v>PLAN</v>
      </c>
      <c r="P437" s="61" t="s">
        <v>33</v>
      </c>
      <c r="Q437" s="62"/>
      <c r="R437" s="46"/>
      <c r="S437" s="2" t="str">
        <f t="shared" si="4"/>
        <v>01</v>
      </c>
      <c r="T437" s="2">
        <v>323</v>
      </c>
      <c r="U437" s="48" t="s">
        <v>91</v>
      </c>
      <c r="V437" s="2"/>
      <c r="W437" s="2" t="str">
        <f t="shared" si="6"/>
        <v>02</v>
      </c>
      <c r="X437" s="2"/>
      <c r="Y437" s="3"/>
      <c r="Z437" s="3"/>
      <c r="AA437" s="3"/>
      <c r="AB437" s="3"/>
      <c r="AC437" s="3"/>
      <c r="AD437" s="3"/>
      <c r="AE437" s="3"/>
      <c r="AF437" s="3"/>
      <c r="AG437" s="3"/>
      <c r="AH437" s="3"/>
      <c r="AI437" s="3"/>
      <c r="AJ437" s="3"/>
      <c r="AK437" s="3"/>
      <c r="AL437" s="3"/>
      <c r="AM437" s="3"/>
      <c r="AN437" s="3"/>
      <c r="AO437" s="3"/>
      <c r="AP437" s="3"/>
      <c r="AQ437" s="3"/>
      <c r="AR437" s="3"/>
      <c r="AS437" s="3"/>
      <c r="AT437" s="3"/>
      <c r="AU437" s="3"/>
    </row>
    <row r="438" spans="1:47" ht="14.25" customHeight="1" x14ac:dyDescent="0.3">
      <c r="A438" s="42"/>
      <c r="B438" s="42"/>
      <c r="C438" s="42"/>
      <c r="D438" s="61" t="s">
        <v>33</v>
      </c>
      <c r="E438" s="62"/>
      <c r="F438" s="61"/>
      <c r="G438" s="62"/>
      <c r="H438" s="61"/>
      <c r="I438" s="62"/>
      <c r="J438" s="42"/>
      <c r="K438" s="42"/>
      <c r="L438" s="63">
        <v>0</v>
      </c>
      <c r="M438" s="64"/>
      <c r="N438" s="62"/>
      <c r="O438" s="49" t="str">
        <f t="shared" si="5"/>
        <v>PLAN</v>
      </c>
      <c r="P438" s="61" t="s">
        <v>33</v>
      </c>
      <c r="Q438" s="62"/>
      <c r="R438" s="46"/>
      <c r="S438" s="2" t="str">
        <f t="shared" si="4"/>
        <v>01</v>
      </c>
      <c r="T438" s="2">
        <v>324</v>
      </c>
      <c r="U438" s="48" t="s">
        <v>91</v>
      </c>
      <c r="V438" s="2"/>
      <c r="W438" s="2" t="str">
        <f t="shared" si="6"/>
        <v>02</v>
      </c>
      <c r="X438" s="2"/>
      <c r="Y438" s="3"/>
      <c r="Z438" s="3"/>
      <c r="AA438" s="3"/>
      <c r="AB438" s="3"/>
      <c r="AC438" s="3"/>
      <c r="AD438" s="3"/>
      <c r="AE438" s="3"/>
      <c r="AF438" s="3"/>
      <c r="AG438" s="3"/>
      <c r="AH438" s="3"/>
      <c r="AI438" s="3"/>
      <c r="AJ438" s="3"/>
      <c r="AK438" s="3"/>
      <c r="AL438" s="3"/>
      <c r="AM438" s="3"/>
      <c r="AN438" s="3"/>
      <c r="AO438" s="3"/>
      <c r="AP438" s="3"/>
      <c r="AQ438" s="3"/>
      <c r="AR438" s="3"/>
      <c r="AS438" s="3"/>
      <c r="AT438" s="3"/>
      <c r="AU438" s="3"/>
    </row>
    <row r="439" spans="1:47" ht="14.25" customHeight="1" x14ac:dyDescent="0.3">
      <c r="A439" s="42"/>
      <c r="B439" s="42"/>
      <c r="C439" s="42"/>
      <c r="D439" s="61" t="s">
        <v>33</v>
      </c>
      <c r="E439" s="62"/>
      <c r="F439" s="61"/>
      <c r="G439" s="62"/>
      <c r="H439" s="61"/>
      <c r="I439" s="62"/>
      <c r="J439" s="42"/>
      <c r="K439" s="42"/>
      <c r="L439" s="63">
        <v>0</v>
      </c>
      <c r="M439" s="64"/>
      <c r="N439" s="62"/>
      <c r="O439" s="49" t="str">
        <f t="shared" si="5"/>
        <v>PLAN</v>
      </c>
      <c r="P439" s="61" t="s">
        <v>33</v>
      </c>
      <c r="Q439" s="62"/>
      <c r="R439" s="46"/>
      <c r="S439" s="2" t="str">
        <f t="shared" si="4"/>
        <v>01</v>
      </c>
      <c r="T439" s="2">
        <v>325</v>
      </c>
      <c r="U439" s="48" t="s">
        <v>91</v>
      </c>
      <c r="V439" s="2"/>
      <c r="W439" s="2" t="str">
        <f t="shared" si="6"/>
        <v>02</v>
      </c>
      <c r="X439" s="2"/>
      <c r="Y439" s="3"/>
      <c r="Z439" s="3"/>
      <c r="AA439" s="3"/>
      <c r="AB439" s="3"/>
      <c r="AC439" s="3"/>
      <c r="AD439" s="3"/>
      <c r="AE439" s="3"/>
      <c r="AF439" s="3"/>
      <c r="AG439" s="3"/>
      <c r="AH439" s="3"/>
      <c r="AI439" s="3"/>
      <c r="AJ439" s="3"/>
      <c r="AK439" s="3"/>
      <c r="AL439" s="3"/>
      <c r="AM439" s="3"/>
      <c r="AN439" s="3"/>
      <c r="AO439" s="3"/>
      <c r="AP439" s="3"/>
      <c r="AQ439" s="3"/>
      <c r="AR439" s="3"/>
      <c r="AS439" s="3"/>
      <c r="AT439" s="3"/>
      <c r="AU439" s="3"/>
    </row>
    <row r="440" spans="1:47" ht="14.25" customHeight="1" x14ac:dyDescent="0.3">
      <c r="A440" s="42"/>
      <c r="B440" s="42"/>
      <c r="C440" s="42"/>
      <c r="D440" s="61" t="s">
        <v>33</v>
      </c>
      <c r="E440" s="62"/>
      <c r="F440" s="61"/>
      <c r="G440" s="62"/>
      <c r="H440" s="61"/>
      <c r="I440" s="62"/>
      <c r="J440" s="42"/>
      <c r="K440" s="42"/>
      <c r="L440" s="63">
        <v>0</v>
      </c>
      <c r="M440" s="64"/>
      <c r="N440" s="62"/>
      <c r="O440" s="49" t="str">
        <f t="shared" si="5"/>
        <v>PLAN</v>
      </c>
      <c r="P440" s="61" t="s">
        <v>33</v>
      </c>
      <c r="Q440" s="62"/>
      <c r="R440" s="46"/>
      <c r="S440" s="2" t="str">
        <f t="shared" si="4"/>
        <v>01</v>
      </c>
      <c r="T440" s="2">
        <v>326</v>
      </c>
      <c r="U440" s="48" t="s">
        <v>91</v>
      </c>
      <c r="V440" s="2"/>
      <c r="W440" s="2" t="str">
        <f t="shared" si="6"/>
        <v>02</v>
      </c>
      <c r="X440" s="2"/>
      <c r="Y440" s="3"/>
      <c r="Z440" s="3"/>
      <c r="AA440" s="3"/>
      <c r="AB440" s="3"/>
      <c r="AC440" s="3"/>
      <c r="AD440" s="3"/>
      <c r="AE440" s="3"/>
      <c r="AF440" s="3"/>
      <c r="AG440" s="3"/>
      <c r="AH440" s="3"/>
      <c r="AI440" s="3"/>
      <c r="AJ440" s="3"/>
      <c r="AK440" s="3"/>
      <c r="AL440" s="3"/>
      <c r="AM440" s="3"/>
      <c r="AN440" s="3"/>
      <c r="AO440" s="3"/>
      <c r="AP440" s="3"/>
      <c r="AQ440" s="3"/>
      <c r="AR440" s="3"/>
      <c r="AS440" s="3"/>
      <c r="AT440" s="3"/>
      <c r="AU440" s="3"/>
    </row>
    <row r="441" spans="1:47" ht="14.25" customHeight="1" x14ac:dyDescent="0.3">
      <c r="A441" s="42"/>
      <c r="B441" s="42"/>
      <c r="C441" s="42"/>
      <c r="D441" s="61" t="s">
        <v>33</v>
      </c>
      <c r="E441" s="62"/>
      <c r="F441" s="61"/>
      <c r="G441" s="62"/>
      <c r="H441" s="61"/>
      <c r="I441" s="62"/>
      <c r="J441" s="42"/>
      <c r="K441" s="42"/>
      <c r="L441" s="63">
        <v>0</v>
      </c>
      <c r="M441" s="64"/>
      <c r="N441" s="62"/>
      <c r="O441" s="49" t="str">
        <f t="shared" si="5"/>
        <v>PLAN</v>
      </c>
      <c r="P441" s="61" t="s">
        <v>33</v>
      </c>
      <c r="Q441" s="62"/>
      <c r="R441" s="46"/>
      <c r="S441" s="2" t="str">
        <f t="shared" si="4"/>
        <v>01</v>
      </c>
      <c r="T441" s="2">
        <v>327</v>
      </c>
      <c r="U441" s="48" t="s">
        <v>91</v>
      </c>
      <c r="V441" s="2"/>
      <c r="W441" s="2" t="str">
        <f t="shared" si="6"/>
        <v>02</v>
      </c>
      <c r="X441" s="2"/>
      <c r="Y441" s="3"/>
      <c r="Z441" s="3"/>
      <c r="AA441" s="3"/>
      <c r="AB441" s="3"/>
      <c r="AC441" s="3"/>
      <c r="AD441" s="3"/>
      <c r="AE441" s="3"/>
      <c r="AF441" s="3"/>
      <c r="AG441" s="3"/>
      <c r="AH441" s="3"/>
      <c r="AI441" s="3"/>
      <c r="AJ441" s="3"/>
      <c r="AK441" s="3"/>
      <c r="AL441" s="3"/>
      <c r="AM441" s="3"/>
      <c r="AN441" s="3"/>
      <c r="AO441" s="3"/>
      <c r="AP441" s="3"/>
      <c r="AQ441" s="3"/>
      <c r="AR441" s="3"/>
      <c r="AS441" s="3"/>
      <c r="AT441" s="3"/>
      <c r="AU441" s="3"/>
    </row>
    <row r="442" spans="1:47" ht="14.25" customHeight="1" x14ac:dyDescent="0.3">
      <c r="A442" s="42"/>
      <c r="B442" s="42"/>
      <c r="C442" s="42"/>
      <c r="D442" s="61" t="s">
        <v>33</v>
      </c>
      <c r="E442" s="62"/>
      <c r="F442" s="61"/>
      <c r="G442" s="62"/>
      <c r="H442" s="61"/>
      <c r="I442" s="62"/>
      <c r="J442" s="42"/>
      <c r="K442" s="42"/>
      <c r="L442" s="63">
        <v>0</v>
      </c>
      <c r="M442" s="64"/>
      <c r="N442" s="62"/>
      <c r="O442" s="49" t="str">
        <f t="shared" si="5"/>
        <v>PLAN</v>
      </c>
      <c r="P442" s="61" t="s">
        <v>33</v>
      </c>
      <c r="Q442" s="62"/>
      <c r="R442" s="46"/>
      <c r="S442" s="2" t="str">
        <f t="shared" si="4"/>
        <v>01</v>
      </c>
      <c r="T442" s="2">
        <v>328</v>
      </c>
      <c r="U442" s="48" t="s">
        <v>91</v>
      </c>
      <c r="V442" s="2"/>
      <c r="W442" s="2" t="str">
        <f t="shared" si="6"/>
        <v>02</v>
      </c>
      <c r="X442" s="2"/>
      <c r="Y442" s="3"/>
      <c r="Z442" s="3"/>
      <c r="AA442" s="3"/>
      <c r="AB442" s="3"/>
      <c r="AC442" s="3"/>
      <c r="AD442" s="3"/>
      <c r="AE442" s="3"/>
      <c r="AF442" s="3"/>
      <c r="AG442" s="3"/>
      <c r="AH442" s="3"/>
      <c r="AI442" s="3"/>
      <c r="AJ442" s="3"/>
      <c r="AK442" s="3"/>
      <c r="AL442" s="3"/>
      <c r="AM442" s="3"/>
      <c r="AN442" s="3"/>
      <c r="AO442" s="3"/>
      <c r="AP442" s="3"/>
      <c r="AQ442" s="3"/>
      <c r="AR442" s="3"/>
      <c r="AS442" s="3"/>
      <c r="AT442" s="3"/>
      <c r="AU442" s="3"/>
    </row>
    <row r="443" spans="1:47" ht="14.25" customHeight="1" x14ac:dyDescent="0.3">
      <c r="A443" s="42"/>
      <c r="B443" s="42"/>
      <c r="C443" s="42"/>
      <c r="D443" s="61" t="s">
        <v>33</v>
      </c>
      <c r="E443" s="62"/>
      <c r="F443" s="61"/>
      <c r="G443" s="62"/>
      <c r="H443" s="61"/>
      <c r="I443" s="62"/>
      <c r="J443" s="42"/>
      <c r="K443" s="42"/>
      <c r="L443" s="63">
        <v>0</v>
      </c>
      <c r="M443" s="64"/>
      <c r="N443" s="62"/>
      <c r="O443" s="49" t="str">
        <f t="shared" si="5"/>
        <v>PLAN</v>
      </c>
      <c r="P443" s="61" t="s">
        <v>33</v>
      </c>
      <c r="Q443" s="62"/>
      <c r="R443" s="46"/>
      <c r="S443" s="2" t="str">
        <f t="shared" si="4"/>
        <v>01</v>
      </c>
      <c r="T443" s="2">
        <v>329</v>
      </c>
      <c r="U443" s="48" t="s">
        <v>91</v>
      </c>
      <c r="V443" s="2"/>
      <c r="W443" s="2" t="str">
        <f t="shared" si="6"/>
        <v>02</v>
      </c>
      <c r="X443" s="2"/>
      <c r="Y443" s="3"/>
      <c r="Z443" s="3"/>
      <c r="AA443" s="3"/>
      <c r="AB443" s="3"/>
      <c r="AC443" s="3"/>
      <c r="AD443" s="3"/>
      <c r="AE443" s="3"/>
      <c r="AF443" s="3"/>
      <c r="AG443" s="3"/>
      <c r="AH443" s="3"/>
      <c r="AI443" s="3"/>
      <c r="AJ443" s="3"/>
      <c r="AK443" s="3"/>
      <c r="AL443" s="3"/>
      <c r="AM443" s="3"/>
      <c r="AN443" s="3"/>
      <c r="AO443" s="3"/>
      <c r="AP443" s="3"/>
      <c r="AQ443" s="3"/>
      <c r="AR443" s="3"/>
      <c r="AS443" s="3"/>
      <c r="AT443" s="3"/>
      <c r="AU443" s="3"/>
    </row>
    <row r="444" spans="1:47" ht="14.25" customHeight="1" x14ac:dyDescent="0.3">
      <c r="A444" s="42"/>
      <c r="B444" s="42"/>
      <c r="C444" s="42"/>
      <c r="D444" s="61" t="s">
        <v>33</v>
      </c>
      <c r="E444" s="62"/>
      <c r="F444" s="61"/>
      <c r="G444" s="62"/>
      <c r="H444" s="61"/>
      <c r="I444" s="62"/>
      <c r="J444" s="42"/>
      <c r="K444" s="42"/>
      <c r="L444" s="63">
        <v>0</v>
      </c>
      <c r="M444" s="64"/>
      <c r="N444" s="62"/>
      <c r="O444" s="49" t="str">
        <f t="shared" si="5"/>
        <v>PLAN</v>
      </c>
      <c r="P444" s="61" t="s">
        <v>33</v>
      </c>
      <c r="Q444" s="62"/>
      <c r="R444" s="46"/>
      <c r="S444" s="2" t="str">
        <f t="shared" si="4"/>
        <v>01</v>
      </c>
      <c r="T444" s="2">
        <v>330</v>
      </c>
      <c r="U444" s="48" t="s">
        <v>91</v>
      </c>
      <c r="V444" s="2"/>
      <c r="W444" s="2" t="str">
        <f t="shared" si="6"/>
        <v>02</v>
      </c>
      <c r="X444" s="2"/>
      <c r="Y444" s="3"/>
      <c r="Z444" s="3"/>
      <c r="AA444" s="3"/>
      <c r="AB444" s="3"/>
      <c r="AC444" s="3"/>
      <c r="AD444" s="3"/>
      <c r="AE444" s="3"/>
      <c r="AF444" s="3"/>
      <c r="AG444" s="3"/>
      <c r="AH444" s="3"/>
      <c r="AI444" s="3"/>
      <c r="AJ444" s="3"/>
      <c r="AK444" s="3"/>
      <c r="AL444" s="3"/>
      <c r="AM444" s="3"/>
      <c r="AN444" s="3"/>
      <c r="AO444" s="3"/>
      <c r="AP444" s="3"/>
      <c r="AQ444" s="3"/>
      <c r="AR444" s="3"/>
      <c r="AS444" s="3"/>
      <c r="AT444" s="3"/>
      <c r="AU444" s="3"/>
    </row>
    <row r="445" spans="1:47" ht="14.25" customHeight="1" x14ac:dyDescent="0.3">
      <c r="A445" s="42"/>
      <c r="B445" s="42"/>
      <c r="C445" s="42"/>
      <c r="D445" s="61" t="s">
        <v>33</v>
      </c>
      <c r="E445" s="62"/>
      <c r="F445" s="61"/>
      <c r="G445" s="62"/>
      <c r="H445" s="61"/>
      <c r="I445" s="62"/>
      <c r="J445" s="42"/>
      <c r="K445" s="42"/>
      <c r="L445" s="63">
        <v>0</v>
      </c>
      <c r="M445" s="64"/>
      <c r="N445" s="62"/>
      <c r="O445" s="49" t="str">
        <f t="shared" si="5"/>
        <v>PLAN</v>
      </c>
      <c r="P445" s="61" t="s">
        <v>33</v>
      </c>
      <c r="Q445" s="62"/>
      <c r="R445" s="46"/>
      <c r="S445" s="2" t="str">
        <f t="shared" si="4"/>
        <v>01</v>
      </c>
      <c r="T445" s="2">
        <v>331</v>
      </c>
      <c r="U445" s="48" t="s">
        <v>91</v>
      </c>
      <c r="V445" s="2"/>
      <c r="W445" s="2" t="str">
        <f t="shared" si="6"/>
        <v>02</v>
      </c>
      <c r="X445" s="2"/>
      <c r="Y445" s="3"/>
      <c r="Z445" s="3"/>
      <c r="AA445" s="3"/>
      <c r="AB445" s="3"/>
      <c r="AC445" s="3"/>
      <c r="AD445" s="3"/>
      <c r="AE445" s="3"/>
      <c r="AF445" s="3"/>
      <c r="AG445" s="3"/>
      <c r="AH445" s="3"/>
      <c r="AI445" s="3"/>
      <c r="AJ445" s="3"/>
      <c r="AK445" s="3"/>
      <c r="AL445" s="3"/>
      <c r="AM445" s="3"/>
      <c r="AN445" s="3"/>
      <c r="AO445" s="3"/>
      <c r="AP445" s="3"/>
      <c r="AQ445" s="3"/>
      <c r="AR445" s="3"/>
      <c r="AS445" s="3"/>
      <c r="AT445" s="3"/>
      <c r="AU445" s="3"/>
    </row>
    <row r="446" spans="1:47" ht="14.25" customHeight="1" x14ac:dyDescent="0.3">
      <c r="A446" s="42"/>
      <c r="B446" s="42"/>
      <c r="C446" s="42"/>
      <c r="D446" s="61" t="s">
        <v>33</v>
      </c>
      <c r="E446" s="62"/>
      <c r="F446" s="61"/>
      <c r="G446" s="62"/>
      <c r="H446" s="61"/>
      <c r="I446" s="62"/>
      <c r="J446" s="42"/>
      <c r="K446" s="42"/>
      <c r="L446" s="63">
        <v>0</v>
      </c>
      <c r="M446" s="64"/>
      <c r="N446" s="62"/>
      <c r="O446" s="49" t="str">
        <f t="shared" si="5"/>
        <v>PLAN</v>
      </c>
      <c r="P446" s="61" t="s">
        <v>33</v>
      </c>
      <c r="Q446" s="62"/>
      <c r="R446" s="46"/>
      <c r="S446" s="2" t="str">
        <f t="shared" si="4"/>
        <v>01</v>
      </c>
      <c r="T446" s="2">
        <v>332</v>
      </c>
      <c r="U446" s="48" t="s">
        <v>91</v>
      </c>
      <c r="V446" s="2"/>
      <c r="W446" s="2" t="str">
        <f t="shared" si="6"/>
        <v>02</v>
      </c>
      <c r="X446" s="2"/>
      <c r="Y446" s="3"/>
      <c r="Z446" s="3"/>
      <c r="AA446" s="3"/>
      <c r="AB446" s="3"/>
      <c r="AC446" s="3"/>
      <c r="AD446" s="3"/>
      <c r="AE446" s="3"/>
      <c r="AF446" s="3"/>
      <c r="AG446" s="3"/>
      <c r="AH446" s="3"/>
      <c r="AI446" s="3"/>
      <c r="AJ446" s="3"/>
      <c r="AK446" s="3"/>
      <c r="AL446" s="3"/>
      <c r="AM446" s="3"/>
      <c r="AN446" s="3"/>
      <c r="AO446" s="3"/>
      <c r="AP446" s="3"/>
      <c r="AQ446" s="3"/>
      <c r="AR446" s="3"/>
      <c r="AS446" s="3"/>
      <c r="AT446" s="3"/>
      <c r="AU446" s="3"/>
    </row>
    <row r="447" spans="1:47" ht="14.25" customHeight="1" x14ac:dyDescent="0.3">
      <c r="A447" s="42"/>
      <c r="B447" s="42"/>
      <c r="C447" s="42"/>
      <c r="D447" s="61" t="s">
        <v>33</v>
      </c>
      <c r="E447" s="62"/>
      <c r="F447" s="61"/>
      <c r="G447" s="62"/>
      <c r="H447" s="61"/>
      <c r="I447" s="62"/>
      <c r="J447" s="42"/>
      <c r="K447" s="42"/>
      <c r="L447" s="63">
        <v>0</v>
      </c>
      <c r="M447" s="64"/>
      <c r="N447" s="62"/>
      <c r="O447" s="49" t="str">
        <f t="shared" si="5"/>
        <v>PLAN</v>
      </c>
      <c r="P447" s="61" t="s">
        <v>33</v>
      </c>
      <c r="Q447" s="62"/>
      <c r="R447" s="46"/>
      <c r="S447" s="2" t="str">
        <f t="shared" si="4"/>
        <v>01</v>
      </c>
      <c r="T447" s="2">
        <v>333</v>
      </c>
      <c r="U447" s="48" t="s">
        <v>91</v>
      </c>
      <c r="V447" s="2"/>
      <c r="W447" s="2" t="str">
        <f t="shared" si="6"/>
        <v>02</v>
      </c>
      <c r="X447" s="2"/>
      <c r="Y447" s="3"/>
      <c r="Z447" s="3"/>
      <c r="AA447" s="3"/>
      <c r="AB447" s="3"/>
      <c r="AC447" s="3"/>
      <c r="AD447" s="3"/>
      <c r="AE447" s="3"/>
      <c r="AF447" s="3"/>
      <c r="AG447" s="3"/>
      <c r="AH447" s="3"/>
      <c r="AI447" s="3"/>
      <c r="AJ447" s="3"/>
      <c r="AK447" s="3"/>
      <c r="AL447" s="3"/>
      <c r="AM447" s="3"/>
      <c r="AN447" s="3"/>
      <c r="AO447" s="3"/>
      <c r="AP447" s="3"/>
      <c r="AQ447" s="3"/>
      <c r="AR447" s="3"/>
      <c r="AS447" s="3"/>
      <c r="AT447" s="3"/>
      <c r="AU447" s="3"/>
    </row>
    <row r="448" spans="1:47" ht="14.25" customHeight="1" x14ac:dyDescent="0.3">
      <c r="A448" s="42"/>
      <c r="B448" s="42"/>
      <c r="C448" s="42"/>
      <c r="D448" s="61" t="s">
        <v>33</v>
      </c>
      <c r="E448" s="62"/>
      <c r="F448" s="61"/>
      <c r="G448" s="62"/>
      <c r="H448" s="61"/>
      <c r="I448" s="62"/>
      <c r="J448" s="42"/>
      <c r="K448" s="42"/>
      <c r="L448" s="63">
        <v>0</v>
      </c>
      <c r="M448" s="64"/>
      <c r="N448" s="62"/>
      <c r="O448" s="49" t="str">
        <f t="shared" si="5"/>
        <v>PLAN</v>
      </c>
      <c r="P448" s="61" t="s">
        <v>33</v>
      </c>
      <c r="Q448" s="62"/>
      <c r="R448" s="46"/>
      <c r="S448" s="2" t="str">
        <f t="shared" si="4"/>
        <v>01</v>
      </c>
      <c r="T448" s="2">
        <v>334</v>
      </c>
      <c r="U448" s="48" t="s">
        <v>91</v>
      </c>
      <c r="V448" s="2"/>
      <c r="W448" s="2" t="str">
        <f t="shared" si="6"/>
        <v>02</v>
      </c>
      <c r="X448" s="2"/>
      <c r="Y448" s="3"/>
      <c r="Z448" s="3"/>
      <c r="AA448" s="3"/>
      <c r="AB448" s="3"/>
      <c r="AC448" s="3"/>
      <c r="AD448" s="3"/>
      <c r="AE448" s="3"/>
      <c r="AF448" s="3"/>
      <c r="AG448" s="3"/>
      <c r="AH448" s="3"/>
      <c r="AI448" s="3"/>
      <c r="AJ448" s="3"/>
      <c r="AK448" s="3"/>
      <c r="AL448" s="3"/>
      <c r="AM448" s="3"/>
      <c r="AN448" s="3"/>
      <c r="AO448" s="3"/>
      <c r="AP448" s="3"/>
      <c r="AQ448" s="3"/>
      <c r="AR448" s="3"/>
      <c r="AS448" s="3"/>
      <c r="AT448" s="3"/>
      <c r="AU448" s="3"/>
    </row>
    <row r="449" spans="1:47" ht="14.25" customHeight="1" x14ac:dyDescent="0.3">
      <c r="A449" s="42"/>
      <c r="B449" s="42"/>
      <c r="C449" s="42"/>
      <c r="D449" s="61" t="s">
        <v>33</v>
      </c>
      <c r="E449" s="62"/>
      <c r="F449" s="61"/>
      <c r="G449" s="62"/>
      <c r="H449" s="61"/>
      <c r="I449" s="62"/>
      <c r="J449" s="42"/>
      <c r="K449" s="42"/>
      <c r="L449" s="63">
        <v>0</v>
      </c>
      <c r="M449" s="64"/>
      <c r="N449" s="62"/>
      <c r="O449" s="49" t="str">
        <f t="shared" si="5"/>
        <v>PLAN</v>
      </c>
      <c r="P449" s="61" t="s">
        <v>33</v>
      </c>
      <c r="Q449" s="62"/>
      <c r="R449" s="46"/>
      <c r="S449" s="2" t="str">
        <f t="shared" si="4"/>
        <v>01</v>
      </c>
      <c r="T449" s="2">
        <v>335</v>
      </c>
      <c r="U449" s="48" t="s">
        <v>91</v>
      </c>
      <c r="V449" s="2"/>
      <c r="W449" s="2" t="str">
        <f t="shared" si="6"/>
        <v>02</v>
      </c>
      <c r="X449" s="2"/>
      <c r="Y449" s="3"/>
      <c r="Z449" s="3"/>
      <c r="AA449" s="3"/>
      <c r="AB449" s="3"/>
      <c r="AC449" s="3"/>
      <c r="AD449" s="3"/>
      <c r="AE449" s="3"/>
      <c r="AF449" s="3"/>
      <c r="AG449" s="3"/>
      <c r="AH449" s="3"/>
      <c r="AI449" s="3"/>
      <c r="AJ449" s="3"/>
      <c r="AK449" s="3"/>
      <c r="AL449" s="3"/>
      <c r="AM449" s="3"/>
      <c r="AN449" s="3"/>
      <c r="AO449" s="3"/>
      <c r="AP449" s="3"/>
      <c r="AQ449" s="3"/>
      <c r="AR449" s="3"/>
      <c r="AS449" s="3"/>
      <c r="AT449" s="3"/>
      <c r="AU449" s="3"/>
    </row>
    <row r="450" spans="1:47" ht="14.25" customHeight="1" x14ac:dyDescent="0.3">
      <c r="A450" s="42"/>
      <c r="B450" s="42"/>
      <c r="C450" s="42"/>
      <c r="D450" s="61" t="s">
        <v>33</v>
      </c>
      <c r="E450" s="62"/>
      <c r="F450" s="61"/>
      <c r="G450" s="62"/>
      <c r="H450" s="61"/>
      <c r="I450" s="62"/>
      <c r="J450" s="42"/>
      <c r="K450" s="42"/>
      <c r="L450" s="63">
        <v>0</v>
      </c>
      <c r="M450" s="64"/>
      <c r="N450" s="62"/>
      <c r="O450" s="49" t="str">
        <f t="shared" si="5"/>
        <v>PLAN</v>
      </c>
      <c r="P450" s="61" t="s">
        <v>33</v>
      </c>
      <c r="Q450" s="62"/>
      <c r="R450" s="46"/>
      <c r="S450" s="2" t="str">
        <f t="shared" si="4"/>
        <v>01</v>
      </c>
      <c r="T450" s="2">
        <v>336</v>
      </c>
      <c r="U450" s="48" t="s">
        <v>91</v>
      </c>
      <c r="V450" s="2"/>
      <c r="W450" s="2" t="str">
        <f t="shared" si="6"/>
        <v>02</v>
      </c>
      <c r="X450" s="2"/>
      <c r="Y450" s="3"/>
      <c r="Z450" s="3"/>
      <c r="AA450" s="3"/>
      <c r="AB450" s="3"/>
      <c r="AC450" s="3"/>
      <c r="AD450" s="3"/>
      <c r="AE450" s="3"/>
      <c r="AF450" s="3"/>
      <c r="AG450" s="3"/>
      <c r="AH450" s="3"/>
      <c r="AI450" s="3"/>
      <c r="AJ450" s="3"/>
      <c r="AK450" s="3"/>
      <c r="AL450" s="3"/>
      <c r="AM450" s="3"/>
      <c r="AN450" s="3"/>
      <c r="AO450" s="3"/>
      <c r="AP450" s="3"/>
      <c r="AQ450" s="3"/>
      <c r="AR450" s="3"/>
      <c r="AS450" s="3"/>
      <c r="AT450" s="3"/>
      <c r="AU450" s="3"/>
    </row>
    <row r="451" spans="1:47" ht="14.25" customHeight="1" x14ac:dyDescent="0.3">
      <c r="A451" s="42"/>
      <c r="B451" s="42"/>
      <c r="C451" s="42"/>
      <c r="D451" s="61" t="s">
        <v>33</v>
      </c>
      <c r="E451" s="62"/>
      <c r="F451" s="61"/>
      <c r="G451" s="62"/>
      <c r="H451" s="61"/>
      <c r="I451" s="62"/>
      <c r="J451" s="42"/>
      <c r="K451" s="42"/>
      <c r="L451" s="63">
        <v>0</v>
      </c>
      <c r="M451" s="64"/>
      <c r="N451" s="62"/>
      <c r="O451" s="49" t="str">
        <f t="shared" si="5"/>
        <v>PLAN</v>
      </c>
      <c r="P451" s="61" t="s">
        <v>33</v>
      </c>
      <c r="Q451" s="62"/>
      <c r="R451" s="46"/>
      <c r="S451" s="2" t="str">
        <f t="shared" si="4"/>
        <v>01</v>
      </c>
      <c r="T451" s="2">
        <v>337</v>
      </c>
      <c r="U451" s="48" t="s">
        <v>91</v>
      </c>
      <c r="V451" s="2"/>
      <c r="W451" s="2" t="str">
        <f t="shared" si="6"/>
        <v>02</v>
      </c>
      <c r="X451" s="2"/>
      <c r="Y451" s="3"/>
      <c r="Z451" s="3"/>
      <c r="AA451" s="3"/>
      <c r="AB451" s="3"/>
      <c r="AC451" s="3"/>
      <c r="AD451" s="3"/>
      <c r="AE451" s="3"/>
      <c r="AF451" s="3"/>
      <c r="AG451" s="3"/>
      <c r="AH451" s="3"/>
      <c r="AI451" s="3"/>
      <c r="AJ451" s="3"/>
      <c r="AK451" s="3"/>
      <c r="AL451" s="3"/>
      <c r="AM451" s="3"/>
      <c r="AN451" s="3"/>
      <c r="AO451" s="3"/>
      <c r="AP451" s="3"/>
      <c r="AQ451" s="3"/>
      <c r="AR451" s="3"/>
      <c r="AS451" s="3"/>
      <c r="AT451" s="3"/>
      <c r="AU451" s="3"/>
    </row>
    <row r="452" spans="1:47" ht="14.25" customHeight="1" x14ac:dyDescent="0.3">
      <c r="A452" s="42"/>
      <c r="B452" s="42"/>
      <c r="C452" s="42"/>
      <c r="D452" s="61" t="s">
        <v>33</v>
      </c>
      <c r="E452" s="62"/>
      <c r="F452" s="61"/>
      <c r="G452" s="62"/>
      <c r="H452" s="61"/>
      <c r="I452" s="62"/>
      <c r="J452" s="42"/>
      <c r="K452" s="42"/>
      <c r="L452" s="63">
        <v>0</v>
      </c>
      <c r="M452" s="64"/>
      <c r="N452" s="62"/>
      <c r="O452" s="49" t="str">
        <f t="shared" si="5"/>
        <v>PLAN</v>
      </c>
      <c r="P452" s="61" t="s">
        <v>33</v>
      </c>
      <c r="Q452" s="62"/>
      <c r="R452" s="46"/>
      <c r="S452" s="2" t="str">
        <f t="shared" si="4"/>
        <v>01</v>
      </c>
      <c r="T452" s="2">
        <v>338</v>
      </c>
      <c r="U452" s="48" t="s">
        <v>91</v>
      </c>
      <c r="V452" s="2"/>
      <c r="W452" s="2" t="str">
        <f t="shared" si="6"/>
        <v>02</v>
      </c>
      <c r="X452" s="2"/>
      <c r="Y452" s="3"/>
      <c r="Z452" s="3"/>
      <c r="AA452" s="3"/>
      <c r="AB452" s="3"/>
      <c r="AC452" s="3"/>
      <c r="AD452" s="3"/>
      <c r="AE452" s="3"/>
      <c r="AF452" s="3"/>
      <c r="AG452" s="3"/>
      <c r="AH452" s="3"/>
      <c r="AI452" s="3"/>
      <c r="AJ452" s="3"/>
      <c r="AK452" s="3"/>
      <c r="AL452" s="3"/>
      <c r="AM452" s="3"/>
      <c r="AN452" s="3"/>
      <c r="AO452" s="3"/>
      <c r="AP452" s="3"/>
      <c r="AQ452" s="3"/>
      <c r="AR452" s="3"/>
      <c r="AS452" s="3"/>
      <c r="AT452" s="3"/>
      <c r="AU452" s="3"/>
    </row>
    <row r="453" spans="1:47" ht="14.25" customHeight="1" x14ac:dyDescent="0.3">
      <c r="A453" s="42"/>
      <c r="B453" s="42"/>
      <c r="C453" s="42"/>
      <c r="D453" s="61" t="s">
        <v>33</v>
      </c>
      <c r="E453" s="62"/>
      <c r="F453" s="61"/>
      <c r="G453" s="62"/>
      <c r="H453" s="61"/>
      <c r="I453" s="62"/>
      <c r="J453" s="42"/>
      <c r="K453" s="42"/>
      <c r="L453" s="63">
        <v>0</v>
      </c>
      <c r="M453" s="64"/>
      <c r="N453" s="62"/>
      <c r="O453" s="49" t="str">
        <f t="shared" si="5"/>
        <v>PLAN</v>
      </c>
      <c r="P453" s="61" t="s">
        <v>33</v>
      </c>
      <c r="Q453" s="62"/>
      <c r="R453" s="46"/>
      <c r="S453" s="2" t="str">
        <f t="shared" si="4"/>
        <v>01</v>
      </c>
      <c r="T453" s="2">
        <v>339</v>
      </c>
      <c r="U453" s="48" t="s">
        <v>91</v>
      </c>
      <c r="V453" s="2"/>
      <c r="W453" s="2" t="str">
        <f t="shared" si="6"/>
        <v>02</v>
      </c>
      <c r="X453" s="2"/>
      <c r="Y453" s="3"/>
      <c r="Z453" s="3"/>
      <c r="AA453" s="3"/>
      <c r="AB453" s="3"/>
      <c r="AC453" s="3"/>
      <c r="AD453" s="3"/>
      <c r="AE453" s="3"/>
      <c r="AF453" s="3"/>
      <c r="AG453" s="3"/>
      <c r="AH453" s="3"/>
      <c r="AI453" s="3"/>
      <c r="AJ453" s="3"/>
      <c r="AK453" s="3"/>
      <c r="AL453" s="3"/>
      <c r="AM453" s="3"/>
      <c r="AN453" s="3"/>
      <c r="AO453" s="3"/>
      <c r="AP453" s="3"/>
      <c r="AQ453" s="3"/>
      <c r="AR453" s="3"/>
      <c r="AS453" s="3"/>
      <c r="AT453" s="3"/>
      <c r="AU453" s="3"/>
    </row>
    <row r="454" spans="1:47" ht="14.25" customHeight="1" x14ac:dyDescent="0.3">
      <c r="A454" s="42"/>
      <c r="B454" s="42"/>
      <c r="C454" s="42"/>
      <c r="D454" s="61" t="s">
        <v>33</v>
      </c>
      <c r="E454" s="62"/>
      <c r="F454" s="61"/>
      <c r="G454" s="62"/>
      <c r="H454" s="61"/>
      <c r="I454" s="62"/>
      <c r="J454" s="42"/>
      <c r="K454" s="42"/>
      <c r="L454" s="63">
        <v>0</v>
      </c>
      <c r="M454" s="64"/>
      <c r="N454" s="62"/>
      <c r="O454" s="49" t="str">
        <f t="shared" si="5"/>
        <v>PLAN</v>
      </c>
      <c r="P454" s="61" t="s">
        <v>33</v>
      </c>
      <c r="Q454" s="62"/>
      <c r="R454" s="46"/>
      <c r="S454" s="2" t="str">
        <f t="shared" si="4"/>
        <v>01</v>
      </c>
      <c r="T454" s="2">
        <v>340</v>
      </c>
      <c r="U454" s="48" t="s">
        <v>91</v>
      </c>
      <c r="V454" s="2"/>
      <c r="W454" s="2" t="str">
        <f t="shared" si="6"/>
        <v>02</v>
      </c>
      <c r="X454" s="2"/>
      <c r="Y454" s="3"/>
      <c r="Z454" s="3"/>
      <c r="AA454" s="3"/>
      <c r="AB454" s="3"/>
      <c r="AC454" s="3"/>
      <c r="AD454" s="3"/>
      <c r="AE454" s="3"/>
      <c r="AF454" s="3"/>
      <c r="AG454" s="3"/>
      <c r="AH454" s="3"/>
      <c r="AI454" s="3"/>
      <c r="AJ454" s="3"/>
      <c r="AK454" s="3"/>
      <c r="AL454" s="3"/>
      <c r="AM454" s="3"/>
      <c r="AN454" s="3"/>
      <c r="AO454" s="3"/>
      <c r="AP454" s="3"/>
      <c r="AQ454" s="3"/>
      <c r="AR454" s="3"/>
      <c r="AS454" s="3"/>
      <c r="AT454" s="3"/>
      <c r="AU454" s="3"/>
    </row>
    <row r="455" spans="1:47" ht="14.25" customHeight="1" x14ac:dyDescent="0.3">
      <c r="A455" s="42"/>
      <c r="B455" s="42"/>
      <c r="C455" s="42"/>
      <c r="D455" s="61" t="s">
        <v>33</v>
      </c>
      <c r="E455" s="62"/>
      <c r="F455" s="61"/>
      <c r="G455" s="62"/>
      <c r="H455" s="61"/>
      <c r="I455" s="62"/>
      <c r="J455" s="42"/>
      <c r="K455" s="42"/>
      <c r="L455" s="63">
        <v>0</v>
      </c>
      <c r="M455" s="64"/>
      <c r="N455" s="62"/>
      <c r="O455" s="49" t="str">
        <f t="shared" si="5"/>
        <v>PLAN</v>
      </c>
      <c r="P455" s="61" t="s">
        <v>33</v>
      </c>
      <c r="Q455" s="62"/>
      <c r="R455" s="46"/>
      <c r="S455" s="2" t="str">
        <f t="shared" si="4"/>
        <v>01</v>
      </c>
      <c r="T455" s="2">
        <v>341</v>
      </c>
      <c r="U455" s="48" t="s">
        <v>91</v>
      </c>
      <c r="V455" s="2"/>
      <c r="W455" s="2" t="str">
        <f t="shared" si="6"/>
        <v>02</v>
      </c>
      <c r="X455" s="2"/>
      <c r="Y455" s="3"/>
      <c r="Z455" s="3"/>
      <c r="AA455" s="3"/>
      <c r="AB455" s="3"/>
      <c r="AC455" s="3"/>
      <c r="AD455" s="3"/>
      <c r="AE455" s="3"/>
      <c r="AF455" s="3"/>
      <c r="AG455" s="3"/>
      <c r="AH455" s="3"/>
      <c r="AI455" s="3"/>
      <c r="AJ455" s="3"/>
      <c r="AK455" s="3"/>
      <c r="AL455" s="3"/>
      <c r="AM455" s="3"/>
      <c r="AN455" s="3"/>
      <c r="AO455" s="3"/>
      <c r="AP455" s="3"/>
      <c r="AQ455" s="3"/>
      <c r="AR455" s="3"/>
      <c r="AS455" s="3"/>
      <c r="AT455" s="3"/>
      <c r="AU455" s="3"/>
    </row>
    <row r="456" spans="1:47" ht="14.25" customHeight="1" x14ac:dyDescent="0.3">
      <c r="A456" s="42"/>
      <c r="B456" s="42"/>
      <c r="C456" s="42"/>
      <c r="D456" s="61" t="s">
        <v>33</v>
      </c>
      <c r="E456" s="62"/>
      <c r="F456" s="61"/>
      <c r="G456" s="62"/>
      <c r="H456" s="61"/>
      <c r="I456" s="62"/>
      <c r="J456" s="42"/>
      <c r="K456" s="42"/>
      <c r="L456" s="63">
        <v>0</v>
      </c>
      <c r="M456" s="64"/>
      <c r="N456" s="62"/>
      <c r="O456" s="49" t="str">
        <f t="shared" si="5"/>
        <v>PLAN</v>
      </c>
      <c r="P456" s="61" t="s">
        <v>33</v>
      </c>
      <c r="Q456" s="62"/>
      <c r="R456" s="46"/>
      <c r="S456" s="2" t="str">
        <f t="shared" si="4"/>
        <v>01</v>
      </c>
      <c r="T456" s="2">
        <v>342</v>
      </c>
      <c r="U456" s="48" t="s">
        <v>91</v>
      </c>
      <c r="V456" s="2"/>
      <c r="W456" s="2" t="str">
        <f t="shared" si="6"/>
        <v>02</v>
      </c>
      <c r="X456" s="2"/>
      <c r="Y456" s="3"/>
      <c r="Z456" s="3"/>
      <c r="AA456" s="3"/>
      <c r="AB456" s="3"/>
      <c r="AC456" s="3"/>
      <c r="AD456" s="3"/>
      <c r="AE456" s="3"/>
      <c r="AF456" s="3"/>
      <c r="AG456" s="3"/>
      <c r="AH456" s="3"/>
      <c r="AI456" s="3"/>
      <c r="AJ456" s="3"/>
      <c r="AK456" s="3"/>
      <c r="AL456" s="3"/>
      <c r="AM456" s="3"/>
      <c r="AN456" s="3"/>
      <c r="AO456" s="3"/>
      <c r="AP456" s="3"/>
      <c r="AQ456" s="3"/>
      <c r="AR456" s="3"/>
      <c r="AS456" s="3"/>
      <c r="AT456" s="3"/>
      <c r="AU456" s="3"/>
    </row>
    <row r="457" spans="1:47" ht="14.25" customHeight="1" x14ac:dyDescent="0.3">
      <c r="A457" s="42"/>
      <c r="B457" s="42"/>
      <c r="C457" s="42"/>
      <c r="D457" s="61" t="s">
        <v>33</v>
      </c>
      <c r="E457" s="62"/>
      <c r="F457" s="61"/>
      <c r="G457" s="62"/>
      <c r="H457" s="61"/>
      <c r="I457" s="62"/>
      <c r="J457" s="42"/>
      <c r="K457" s="42"/>
      <c r="L457" s="63">
        <v>0</v>
      </c>
      <c r="M457" s="64"/>
      <c r="N457" s="62"/>
      <c r="O457" s="49" t="str">
        <f t="shared" si="5"/>
        <v>PLAN</v>
      </c>
      <c r="P457" s="61" t="s">
        <v>33</v>
      </c>
      <c r="Q457" s="62"/>
      <c r="R457" s="46"/>
      <c r="S457" s="2" t="str">
        <f t="shared" si="4"/>
        <v>01</v>
      </c>
      <c r="T457" s="2">
        <v>343</v>
      </c>
      <c r="U457" s="48" t="s">
        <v>91</v>
      </c>
      <c r="V457" s="2"/>
      <c r="W457" s="2" t="str">
        <f t="shared" si="6"/>
        <v>02</v>
      </c>
      <c r="X457" s="2"/>
      <c r="Y457" s="3"/>
      <c r="Z457" s="3"/>
      <c r="AA457" s="3"/>
      <c r="AB457" s="3"/>
      <c r="AC457" s="3"/>
      <c r="AD457" s="3"/>
      <c r="AE457" s="3"/>
      <c r="AF457" s="3"/>
      <c r="AG457" s="3"/>
      <c r="AH457" s="3"/>
      <c r="AI457" s="3"/>
      <c r="AJ457" s="3"/>
      <c r="AK457" s="3"/>
      <c r="AL457" s="3"/>
      <c r="AM457" s="3"/>
      <c r="AN457" s="3"/>
      <c r="AO457" s="3"/>
      <c r="AP457" s="3"/>
      <c r="AQ457" s="3"/>
      <c r="AR457" s="3"/>
      <c r="AS457" s="3"/>
      <c r="AT457" s="3"/>
      <c r="AU457" s="3"/>
    </row>
    <row r="458" spans="1:47" ht="14.25" customHeight="1" x14ac:dyDescent="0.3">
      <c r="A458" s="42"/>
      <c r="B458" s="42"/>
      <c r="C458" s="42"/>
      <c r="D458" s="61" t="s">
        <v>33</v>
      </c>
      <c r="E458" s="62"/>
      <c r="F458" s="61"/>
      <c r="G458" s="62"/>
      <c r="H458" s="61"/>
      <c r="I458" s="62"/>
      <c r="J458" s="42"/>
      <c r="K458" s="42"/>
      <c r="L458" s="63">
        <v>0</v>
      </c>
      <c r="M458" s="64"/>
      <c r="N458" s="62"/>
      <c r="O458" s="49" t="str">
        <f t="shared" si="5"/>
        <v>PLAN</v>
      </c>
      <c r="P458" s="61" t="s">
        <v>33</v>
      </c>
      <c r="Q458" s="62"/>
      <c r="R458" s="46"/>
      <c r="S458" s="2" t="str">
        <f t="shared" si="4"/>
        <v>01</v>
      </c>
      <c r="T458" s="2">
        <v>344</v>
      </c>
      <c r="U458" s="48" t="s">
        <v>91</v>
      </c>
      <c r="V458" s="2"/>
      <c r="W458" s="2" t="str">
        <f t="shared" si="6"/>
        <v>02</v>
      </c>
      <c r="X458" s="2"/>
      <c r="Y458" s="3"/>
      <c r="Z458" s="3"/>
      <c r="AA458" s="3"/>
      <c r="AB458" s="3"/>
      <c r="AC458" s="3"/>
      <c r="AD458" s="3"/>
      <c r="AE458" s="3"/>
      <c r="AF458" s="3"/>
      <c r="AG458" s="3"/>
      <c r="AH458" s="3"/>
      <c r="AI458" s="3"/>
      <c r="AJ458" s="3"/>
      <c r="AK458" s="3"/>
      <c r="AL458" s="3"/>
      <c r="AM458" s="3"/>
      <c r="AN458" s="3"/>
      <c r="AO458" s="3"/>
      <c r="AP458" s="3"/>
      <c r="AQ458" s="3"/>
      <c r="AR458" s="3"/>
      <c r="AS458" s="3"/>
      <c r="AT458" s="3"/>
      <c r="AU458" s="3"/>
    </row>
    <row r="459" spans="1:47" ht="14.25" customHeight="1" x14ac:dyDescent="0.3">
      <c r="A459" s="42"/>
      <c r="B459" s="42"/>
      <c r="C459" s="42"/>
      <c r="D459" s="61" t="s">
        <v>33</v>
      </c>
      <c r="E459" s="62"/>
      <c r="F459" s="61"/>
      <c r="G459" s="62"/>
      <c r="H459" s="61"/>
      <c r="I459" s="62"/>
      <c r="J459" s="42"/>
      <c r="K459" s="42"/>
      <c r="L459" s="63">
        <v>0</v>
      </c>
      <c r="M459" s="64"/>
      <c r="N459" s="62"/>
      <c r="O459" s="49" t="str">
        <f t="shared" si="5"/>
        <v>PLAN</v>
      </c>
      <c r="P459" s="61" t="s">
        <v>33</v>
      </c>
      <c r="Q459" s="62"/>
      <c r="R459" s="46"/>
      <c r="S459" s="2" t="str">
        <f t="shared" si="4"/>
        <v>01</v>
      </c>
      <c r="T459" s="2">
        <v>345</v>
      </c>
      <c r="U459" s="48" t="s">
        <v>91</v>
      </c>
      <c r="V459" s="2"/>
      <c r="W459" s="2" t="str">
        <f t="shared" si="6"/>
        <v>02</v>
      </c>
      <c r="X459" s="2"/>
      <c r="Y459" s="3"/>
      <c r="Z459" s="3"/>
      <c r="AA459" s="3"/>
      <c r="AB459" s="3"/>
      <c r="AC459" s="3"/>
      <c r="AD459" s="3"/>
      <c r="AE459" s="3"/>
      <c r="AF459" s="3"/>
      <c r="AG459" s="3"/>
      <c r="AH459" s="3"/>
      <c r="AI459" s="3"/>
      <c r="AJ459" s="3"/>
      <c r="AK459" s="3"/>
      <c r="AL459" s="3"/>
      <c r="AM459" s="3"/>
      <c r="AN459" s="3"/>
      <c r="AO459" s="3"/>
      <c r="AP459" s="3"/>
      <c r="AQ459" s="3"/>
      <c r="AR459" s="3"/>
      <c r="AS459" s="3"/>
      <c r="AT459" s="3"/>
      <c r="AU459" s="3"/>
    </row>
    <row r="460" spans="1:47" ht="14.25" customHeight="1" x14ac:dyDescent="0.3">
      <c r="A460" s="42"/>
      <c r="B460" s="42"/>
      <c r="C460" s="42"/>
      <c r="D460" s="61" t="s">
        <v>33</v>
      </c>
      <c r="E460" s="62"/>
      <c r="F460" s="61"/>
      <c r="G460" s="62"/>
      <c r="H460" s="61"/>
      <c r="I460" s="62"/>
      <c r="J460" s="42"/>
      <c r="K460" s="42"/>
      <c r="L460" s="63">
        <v>0</v>
      </c>
      <c r="M460" s="64"/>
      <c r="N460" s="62"/>
      <c r="O460" s="49" t="str">
        <f t="shared" si="5"/>
        <v>PLAN</v>
      </c>
      <c r="P460" s="61" t="s">
        <v>33</v>
      </c>
      <c r="Q460" s="62"/>
      <c r="R460" s="46"/>
      <c r="S460" s="2" t="str">
        <f t="shared" si="4"/>
        <v>01</v>
      </c>
      <c r="T460" s="2">
        <v>346</v>
      </c>
      <c r="U460" s="48" t="s">
        <v>91</v>
      </c>
      <c r="V460" s="2"/>
      <c r="W460" s="2" t="str">
        <f t="shared" si="6"/>
        <v>02</v>
      </c>
      <c r="X460" s="2"/>
      <c r="Y460" s="3"/>
      <c r="Z460" s="3"/>
      <c r="AA460" s="3"/>
      <c r="AB460" s="3"/>
      <c r="AC460" s="3"/>
      <c r="AD460" s="3"/>
      <c r="AE460" s="3"/>
      <c r="AF460" s="3"/>
      <c r="AG460" s="3"/>
      <c r="AH460" s="3"/>
      <c r="AI460" s="3"/>
      <c r="AJ460" s="3"/>
      <c r="AK460" s="3"/>
      <c r="AL460" s="3"/>
      <c r="AM460" s="3"/>
      <c r="AN460" s="3"/>
      <c r="AO460" s="3"/>
      <c r="AP460" s="3"/>
      <c r="AQ460" s="3"/>
      <c r="AR460" s="3"/>
      <c r="AS460" s="3"/>
      <c r="AT460" s="3"/>
      <c r="AU460" s="3"/>
    </row>
    <row r="461" spans="1:47" ht="14.25" customHeight="1" x14ac:dyDescent="0.3">
      <c r="A461" s="42"/>
      <c r="B461" s="42"/>
      <c r="C461" s="42"/>
      <c r="D461" s="61" t="s">
        <v>33</v>
      </c>
      <c r="E461" s="62"/>
      <c r="F461" s="61"/>
      <c r="G461" s="62"/>
      <c r="H461" s="61"/>
      <c r="I461" s="62"/>
      <c r="J461" s="42"/>
      <c r="K461" s="42"/>
      <c r="L461" s="63">
        <v>0</v>
      </c>
      <c r="M461" s="64"/>
      <c r="N461" s="62"/>
      <c r="O461" s="49" t="str">
        <f t="shared" si="5"/>
        <v>PLAN</v>
      </c>
      <c r="P461" s="61" t="s">
        <v>33</v>
      </c>
      <c r="Q461" s="62"/>
      <c r="R461" s="46"/>
      <c r="S461" s="2" t="str">
        <f t="shared" si="4"/>
        <v>01</v>
      </c>
      <c r="T461" s="2">
        <v>347</v>
      </c>
      <c r="U461" s="48" t="s">
        <v>91</v>
      </c>
      <c r="V461" s="2"/>
      <c r="W461" s="2" t="str">
        <f t="shared" si="6"/>
        <v>02</v>
      </c>
      <c r="X461" s="2"/>
      <c r="Y461" s="3"/>
      <c r="Z461" s="3"/>
      <c r="AA461" s="3"/>
      <c r="AB461" s="3"/>
      <c r="AC461" s="3"/>
      <c r="AD461" s="3"/>
      <c r="AE461" s="3"/>
      <c r="AF461" s="3"/>
      <c r="AG461" s="3"/>
      <c r="AH461" s="3"/>
      <c r="AI461" s="3"/>
      <c r="AJ461" s="3"/>
      <c r="AK461" s="3"/>
      <c r="AL461" s="3"/>
      <c r="AM461" s="3"/>
      <c r="AN461" s="3"/>
      <c r="AO461" s="3"/>
      <c r="AP461" s="3"/>
      <c r="AQ461" s="3"/>
      <c r="AR461" s="3"/>
      <c r="AS461" s="3"/>
      <c r="AT461" s="3"/>
      <c r="AU461" s="3"/>
    </row>
    <row r="462" spans="1:47" ht="14.25" customHeight="1" x14ac:dyDescent="0.3">
      <c r="A462" s="42"/>
      <c r="B462" s="42"/>
      <c r="C462" s="42"/>
      <c r="D462" s="61" t="s">
        <v>33</v>
      </c>
      <c r="E462" s="62"/>
      <c r="F462" s="61"/>
      <c r="G462" s="62"/>
      <c r="H462" s="61"/>
      <c r="I462" s="62"/>
      <c r="J462" s="42"/>
      <c r="K462" s="42"/>
      <c r="L462" s="63">
        <v>0</v>
      </c>
      <c r="M462" s="64"/>
      <c r="N462" s="62"/>
      <c r="O462" s="49" t="str">
        <f t="shared" si="5"/>
        <v>PLAN</v>
      </c>
      <c r="P462" s="61" t="s">
        <v>33</v>
      </c>
      <c r="Q462" s="62"/>
      <c r="R462" s="46"/>
      <c r="S462" s="2" t="str">
        <f t="shared" si="4"/>
        <v>01</v>
      </c>
      <c r="T462" s="2">
        <v>348</v>
      </c>
      <c r="U462" s="48" t="s">
        <v>91</v>
      </c>
      <c r="V462" s="2"/>
      <c r="W462" s="2" t="str">
        <f t="shared" si="6"/>
        <v>02</v>
      </c>
      <c r="X462" s="2"/>
      <c r="Y462" s="3"/>
      <c r="Z462" s="3"/>
      <c r="AA462" s="3"/>
      <c r="AB462" s="3"/>
      <c r="AC462" s="3"/>
      <c r="AD462" s="3"/>
      <c r="AE462" s="3"/>
      <c r="AF462" s="3"/>
      <c r="AG462" s="3"/>
      <c r="AH462" s="3"/>
      <c r="AI462" s="3"/>
      <c r="AJ462" s="3"/>
      <c r="AK462" s="3"/>
      <c r="AL462" s="3"/>
      <c r="AM462" s="3"/>
      <c r="AN462" s="3"/>
      <c r="AO462" s="3"/>
      <c r="AP462" s="3"/>
      <c r="AQ462" s="3"/>
      <c r="AR462" s="3"/>
      <c r="AS462" s="3"/>
      <c r="AT462" s="3"/>
      <c r="AU462" s="3"/>
    </row>
    <row r="463" spans="1:47" ht="14.25" customHeight="1" x14ac:dyDescent="0.3">
      <c r="A463" s="42"/>
      <c r="B463" s="42"/>
      <c r="C463" s="42"/>
      <c r="D463" s="61" t="s">
        <v>33</v>
      </c>
      <c r="E463" s="62"/>
      <c r="F463" s="61"/>
      <c r="G463" s="62"/>
      <c r="H463" s="61"/>
      <c r="I463" s="62"/>
      <c r="J463" s="42"/>
      <c r="K463" s="42"/>
      <c r="L463" s="63">
        <v>0</v>
      </c>
      <c r="M463" s="64"/>
      <c r="N463" s="62"/>
      <c r="O463" s="49" t="str">
        <f t="shared" si="5"/>
        <v>PLAN</v>
      </c>
      <c r="P463" s="61" t="s">
        <v>33</v>
      </c>
      <c r="Q463" s="62"/>
      <c r="R463" s="46"/>
      <c r="S463" s="2" t="str">
        <f t="shared" si="4"/>
        <v>01</v>
      </c>
      <c r="T463" s="2">
        <v>349</v>
      </c>
      <c r="U463" s="48" t="s">
        <v>91</v>
      </c>
      <c r="V463" s="2"/>
      <c r="W463" s="2" t="str">
        <f t="shared" si="6"/>
        <v>02</v>
      </c>
      <c r="X463" s="2"/>
      <c r="Y463" s="3"/>
      <c r="Z463" s="3"/>
      <c r="AA463" s="3"/>
      <c r="AB463" s="3"/>
      <c r="AC463" s="3"/>
      <c r="AD463" s="3"/>
      <c r="AE463" s="3"/>
      <c r="AF463" s="3"/>
      <c r="AG463" s="3"/>
      <c r="AH463" s="3"/>
      <c r="AI463" s="3"/>
      <c r="AJ463" s="3"/>
      <c r="AK463" s="3"/>
      <c r="AL463" s="3"/>
      <c r="AM463" s="3"/>
      <c r="AN463" s="3"/>
      <c r="AO463" s="3"/>
      <c r="AP463" s="3"/>
      <c r="AQ463" s="3"/>
      <c r="AR463" s="3"/>
      <c r="AS463" s="3"/>
      <c r="AT463" s="3"/>
      <c r="AU463" s="3"/>
    </row>
    <row r="464" spans="1:47" ht="14.25" customHeight="1" x14ac:dyDescent="0.3">
      <c r="A464" s="42"/>
      <c r="B464" s="42"/>
      <c r="C464" s="42"/>
      <c r="D464" s="61" t="s">
        <v>33</v>
      </c>
      <c r="E464" s="62"/>
      <c r="F464" s="61"/>
      <c r="G464" s="62"/>
      <c r="H464" s="61"/>
      <c r="I464" s="62"/>
      <c r="J464" s="42"/>
      <c r="K464" s="42"/>
      <c r="L464" s="63">
        <v>0</v>
      </c>
      <c r="M464" s="64"/>
      <c r="N464" s="62"/>
      <c r="O464" s="49" t="str">
        <f t="shared" si="5"/>
        <v>PLAN</v>
      </c>
      <c r="P464" s="61" t="s">
        <v>33</v>
      </c>
      <c r="Q464" s="62"/>
      <c r="R464" s="46"/>
      <c r="S464" s="2" t="str">
        <f t="shared" si="4"/>
        <v>01</v>
      </c>
      <c r="T464" s="2">
        <v>350</v>
      </c>
      <c r="U464" s="48" t="s">
        <v>91</v>
      </c>
      <c r="V464" s="2"/>
      <c r="W464" s="2" t="str">
        <f t="shared" si="6"/>
        <v>02</v>
      </c>
      <c r="X464" s="2"/>
      <c r="Y464" s="3"/>
      <c r="Z464" s="3"/>
      <c r="AA464" s="3"/>
      <c r="AB464" s="3"/>
      <c r="AC464" s="3"/>
      <c r="AD464" s="3"/>
      <c r="AE464" s="3"/>
      <c r="AF464" s="3"/>
      <c r="AG464" s="3"/>
      <c r="AH464" s="3"/>
      <c r="AI464" s="3"/>
      <c r="AJ464" s="3"/>
      <c r="AK464" s="3"/>
      <c r="AL464" s="3"/>
      <c r="AM464" s="3"/>
      <c r="AN464" s="3"/>
      <c r="AO464" s="3"/>
      <c r="AP464" s="3"/>
      <c r="AQ464" s="3"/>
      <c r="AR464" s="3"/>
      <c r="AS464" s="3"/>
      <c r="AT464" s="3"/>
      <c r="AU464" s="3"/>
    </row>
    <row r="465" spans="1:47" ht="14.25" customHeight="1" x14ac:dyDescent="0.3">
      <c r="A465" s="42"/>
      <c r="B465" s="42"/>
      <c r="C465" s="42"/>
      <c r="D465" s="61" t="s">
        <v>33</v>
      </c>
      <c r="E465" s="62"/>
      <c r="F465" s="61"/>
      <c r="G465" s="62"/>
      <c r="H465" s="61"/>
      <c r="I465" s="62"/>
      <c r="J465" s="42"/>
      <c r="K465" s="42"/>
      <c r="L465" s="63">
        <v>0</v>
      </c>
      <c r="M465" s="64"/>
      <c r="N465" s="62"/>
      <c r="O465" s="49" t="str">
        <f t="shared" si="5"/>
        <v>PLAN</v>
      </c>
      <c r="P465" s="61" t="s">
        <v>33</v>
      </c>
      <c r="Q465" s="62"/>
      <c r="R465" s="46"/>
      <c r="S465" s="2" t="str">
        <f t="shared" si="4"/>
        <v>01</v>
      </c>
      <c r="T465" s="2">
        <v>351</v>
      </c>
      <c r="U465" s="48" t="s">
        <v>91</v>
      </c>
      <c r="V465" s="2"/>
      <c r="W465" s="2" t="str">
        <f t="shared" si="6"/>
        <v>02</v>
      </c>
      <c r="X465" s="2"/>
      <c r="Y465" s="3"/>
      <c r="Z465" s="3"/>
      <c r="AA465" s="3"/>
      <c r="AB465" s="3"/>
      <c r="AC465" s="3"/>
      <c r="AD465" s="3"/>
      <c r="AE465" s="3"/>
      <c r="AF465" s="3"/>
      <c r="AG465" s="3"/>
      <c r="AH465" s="3"/>
      <c r="AI465" s="3"/>
      <c r="AJ465" s="3"/>
      <c r="AK465" s="3"/>
      <c r="AL465" s="3"/>
      <c r="AM465" s="3"/>
      <c r="AN465" s="3"/>
      <c r="AO465" s="3"/>
      <c r="AP465" s="3"/>
      <c r="AQ465" s="3"/>
      <c r="AR465" s="3"/>
      <c r="AS465" s="3"/>
      <c r="AT465" s="3"/>
      <c r="AU465" s="3"/>
    </row>
    <row r="466" spans="1:47" ht="14.25" customHeight="1" x14ac:dyDescent="0.3">
      <c r="A466" s="42"/>
      <c r="B466" s="42"/>
      <c r="C466" s="42"/>
      <c r="D466" s="61" t="s">
        <v>33</v>
      </c>
      <c r="E466" s="62"/>
      <c r="F466" s="61"/>
      <c r="G466" s="62"/>
      <c r="H466" s="61"/>
      <c r="I466" s="62"/>
      <c r="J466" s="42"/>
      <c r="K466" s="42"/>
      <c r="L466" s="63">
        <v>0</v>
      </c>
      <c r="M466" s="64"/>
      <c r="N466" s="62"/>
      <c r="O466" s="49" t="str">
        <f t="shared" si="5"/>
        <v>PLAN</v>
      </c>
      <c r="P466" s="61" t="s">
        <v>33</v>
      </c>
      <c r="Q466" s="62"/>
      <c r="R466" s="46"/>
      <c r="S466" s="2" t="str">
        <f t="shared" si="4"/>
        <v>01</v>
      </c>
      <c r="T466" s="2">
        <v>352</v>
      </c>
      <c r="U466" s="48" t="s">
        <v>91</v>
      </c>
      <c r="V466" s="2"/>
      <c r="W466" s="2" t="str">
        <f t="shared" si="6"/>
        <v>02</v>
      </c>
      <c r="X466" s="2"/>
      <c r="Y466" s="3"/>
      <c r="Z466" s="3"/>
      <c r="AA466" s="3"/>
      <c r="AB466" s="3"/>
      <c r="AC466" s="3"/>
      <c r="AD466" s="3"/>
      <c r="AE466" s="3"/>
      <c r="AF466" s="3"/>
      <c r="AG466" s="3"/>
      <c r="AH466" s="3"/>
      <c r="AI466" s="3"/>
      <c r="AJ466" s="3"/>
      <c r="AK466" s="3"/>
      <c r="AL466" s="3"/>
      <c r="AM466" s="3"/>
      <c r="AN466" s="3"/>
      <c r="AO466" s="3"/>
      <c r="AP466" s="3"/>
      <c r="AQ466" s="3"/>
      <c r="AR466" s="3"/>
      <c r="AS466" s="3"/>
      <c r="AT466" s="3"/>
      <c r="AU466" s="3"/>
    </row>
    <row r="467" spans="1:47" ht="14.25" customHeight="1" x14ac:dyDescent="0.3">
      <c r="A467" s="42"/>
      <c r="B467" s="42"/>
      <c r="C467" s="42"/>
      <c r="D467" s="61" t="s">
        <v>33</v>
      </c>
      <c r="E467" s="62"/>
      <c r="F467" s="61"/>
      <c r="G467" s="62"/>
      <c r="H467" s="61"/>
      <c r="I467" s="62"/>
      <c r="J467" s="42"/>
      <c r="K467" s="42"/>
      <c r="L467" s="63">
        <v>0</v>
      </c>
      <c r="M467" s="64"/>
      <c r="N467" s="62"/>
      <c r="O467" s="49" t="str">
        <f t="shared" si="5"/>
        <v>PLAN</v>
      </c>
      <c r="P467" s="61" t="s">
        <v>33</v>
      </c>
      <c r="Q467" s="62"/>
      <c r="R467" s="46"/>
      <c r="S467" s="2" t="str">
        <f t="shared" si="4"/>
        <v>01</v>
      </c>
      <c r="T467" s="2">
        <v>353</v>
      </c>
      <c r="U467" s="48" t="s">
        <v>91</v>
      </c>
      <c r="V467" s="2"/>
      <c r="W467" s="2" t="str">
        <f t="shared" si="6"/>
        <v>02</v>
      </c>
      <c r="X467" s="2"/>
      <c r="Y467" s="3"/>
      <c r="Z467" s="3"/>
      <c r="AA467" s="3"/>
      <c r="AB467" s="3"/>
      <c r="AC467" s="3"/>
      <c r="AD467" s="3"/>
      <c r="AE467" s="3"/>
      <c r="AF467" s="3"/>
      <c r="AG467" s="3"/>
      <c r="AH467" s="3"/>
      <c r="AI467" s="3"/>
      <c r="AJ467" s="3"/>
      <c r="AK467" s="3"/>
      <c r="AL467" s="3"/>
      <c r="AM467" s="3"/>
      <c r="AN467" s="3"/>
      <c r="AO467" s="3"/>
      <c r="AP467" s="3"/>
      <c r="AQ467" s="3"/>
      <c r="AR467" s="3"/>
      <c r="AS467" s="3"/>
      <c r="AT467" s="3"/>
      <c r="AU467" s="3"/>
    </row>
    <row r="468" spans="1:47" ht="14.25" customHeight="1" x14ac:dyDescent="0.3">
      <c r="A468" s="42"/>
      <c r="B468" s="42"/>
      <c r="C468" s="42"/>
      <c r="D468" s="61" t="s">
        <v>33</v>
      </c>
      <c r="E468" s="62"/>
      <c r="F468" s="61"/>
      <c r="G468" s="62"/>
      <c r="H468" s="61"/>
      <c r="I468" s="62"/>
      <c r="J468" s="42"/>
      <c r="K468" s="42"/>
      <c r="L468" s="63">
        <v>0</v>
      </c>
      <c r="M468" s="64"/>
      <c r="N468" s="62"/>
      <c r="O468" s="49" t="str">
        <f t="shared" si="5"/>
        <v>PLAN</v>
      </c>
      <c r="P468" s="61" t="s">
        <v>33</v>
      </c>
      <c r="Q468" s="62"/>
      <c r="R468" s="46"/>
      <c r="S468" s="2" t="str">
        <f t="shared" si="4"/>
        <v>01</v>
      </c>
      <c r="T468" s="2">
        <v>354</v>
      </c>
      <c r="U468" s="48" t="s">
        <v>91</v>
      </c>
      <c r="V468" s="2"/>
      <c r="W468" s="2" t="str">
        <f t="shared" si="6"/>
        <v>02</v>
      </c>
      <c r="X468" s="2"/>
      <c r="Y468" s="3"/>
      <c r="Z468" s="3"/>
      <c r="AA468" s="3"/>
      <c r="AB468" s="3"/>
      <c r="AC468" s="3"/>
      <c r="AD468" s="3"/>
      <c r="AE468" s="3"/>
      <c r="AF468" s="3"/>
      <c r="AG468" s="3"/>
      <c r="AH468" s="3"/>
      <c r="AI468" s="3"/>
      <c r="AJ468" s="3"/>
      <c r="AK468" s="3"/>
      <c r="AL468" s="3"/>
      <c r="AM468" s="3"/>
      <c r="AN468" s="3"/>
      <c r="AO468" s="3"/>
      <c r="AP468" s="3"/>
      <c r="AQ468" s="3"/>
      <c r="AR468" s="3"/>
      <c r="AS468" s="3"/>
      <c r="AT468" s="3"/>
      <c r="AU468" s="3"/>
    </row>
    <row r="469" spans="1:47" ht="14.25" customHeight="1" x14ac:dyDescent="0.3">
      <c r="B469" s="3"/>
      <c r="Q469" s="1"/>
      <c r="R469" s="1"/>
      <c r="S469" s="2"/>
      <c r="T469" s="2">
        <v>355</v>
      </c>
      <c r="U469" s="48" t="s">
        <v>91</v>
      </c>
      <c r="V469" s="2"/>
      <c r="W469" s="2"/>
      <c r="X469" s="2"/>
      <c r="Y469" s="3"/>
      <c r="Z469" s="3"/>
      <c r="AA469" s="3"/>
      <c r="AB469" s="3"/>
      <c r="AC469" s="3"/>
      <c r="AD469" s="3"/>
      <c r="AE469" s="3"/>
      <c r="AF469" s="3"/>
      <c r="AG469" s="3"/>
      <c r="AH469" s="3"/>
      <c r="AI469" s="3"/>
      <c r="AJ469" s="3"/>
      <c r="AK469" s="3"/>
      <c r="AL469" s="3"/>
      <c r="AM469" s="3"/>
      <c r="AN469" s="3"/>
      <c r="AO469" s="3"/>
      <c r="AP469" s="3"/>
      <c r="AQ469" s="3"/>
      <c r="AR469" s="3"/>
      <c r="AS469" s="3"/>
      <c r="AT469" s="3"/>
      <c r="AU469" s="3"/>
    </row>
    <row r="470" spans="1:47" ht="14.25" customHeight="1" x14ac:dyDescent="0.3">
      <c r="B470" s="3"/>
      <c r="Q470" s="1"/>
      <c r="R470" s="1"/>
      <c r="S470" s="2"/>
      <c r="T470" s="2">
        <v>356</v>
      </c>
      <c r="U470" s="48" t="s">
        <v>91</v>
      </c>
      <c r="V470" s="2"/>
      <c r="W470" s="2"/>
      <c r="X470" s="2"/>
      <c r="Y470" s="3"/>
      <c r="Z470" s="3"/>
      <c r="AA470" s="3"/>
      <c r="AB470" s="3"/>
      <c r="AC470" s="3"/>
      <c r="AD470" s="3"/>
      <c r="AE470" s="3"/>
      <c r="AF470" s="3"/>
      <c r="AG470" s="3"/>
      <c r="AH470" s="3"/>
      <c r="AI470" s="3"/>
      <c r="AJ470" s="3"/>
      <c r="AK470" s="3"/>
      <c r="AL470" s="3"/>
      <c r="AM470" s="3"/>
      <c r="AN470" s="3"/>
      <c r="AO470" s="3"/>
      <c r="AP470" s="3"/>
      <c r="AQ470" s="3"/>
      <c r="AR470" s="3"/>
      <c r="AS470" s="3"/>
      <c r="AT470" s="3"/>
      <c r="AU470" s="3"/>
    </row>
    <row r="471" spans="1:47" ht="14.25" customHeight="1" x14ac:dyDescent="0.3">
      <c r="B471" s="3"/>
      <c r="Q471" s="1"/>
      <c r="R471" s="1"/>
      <c r="S471" s="2"/>
      <c r="T471" s="2">
        <v>357</v>
      </c>
      <c r="U471" s="48" t="s">
        <v>91</v>
      </c>
      <c r="V471" s="2"/>
      <c r="W471" s="2"/>
      <c r="X471" s="2"/>
      <c r="Y471" s="3"/>
      <c r="Z471" s="3"/>
      <c r="AA471" s="3"/>
      <c r="AB471" s="3"/>
      <c r="AC471" s="3"/>
      <c r="AD471" s="3"/>
      <c r="AE471" s="3"/>
      <c r="AF471" s="3"/>
      <c r="AG471" s="3"/>
      <c r="AH471" s="3"/>
      <c r="AI471" s="3"/>
      <c r="AJ471" s="3"/>
      <c r="AK471" s="3"/>
      <c r="AL471" s="3"/>
      <c r="AM471" s="3"/>
      <c r="AN471" s="3"/>
      <c r="AO471" s="3"/>
      <c r="AP471" s="3"/>
      <c r="AQ471" s="3"/>
      <c r="AR471" s="3"/>
      <c r="AS471" s="3"/>
      <c r="AT471" s="3"/>
      <c r="AU471" s="3"/>
    </row>
    <row r="472" spans="1:47" ht="14.25" customHeight="1" x14ac:dyDescent="0.3">
      <c r="B472" s="3"/>
      <c r="Q472" s="1"/>
      <c r="R472" s="1"/>
      <c r="S472" s="2"/>
      <c r="T472" s="2">
        <v>358</v>
      </c>
      <c r="U472" s="48" t="s">
        <v>91</v>
      </c>
      <c r="V472" s="2"/>
      <c r="W472" s="2"/>
      <c r="X472" s="2"/>
      <c r="Y472" s="3"/>
      <c r="Z472" s="3"/>
      <c r="AA472" s="3"/>
      <c r="AB472" s="3"/>
      <c r="AC472" s="3"/>
      <c r="AD472" s="3"/>
      <c r="AE472" s="3"/>
      <c r="AF472" s="3"/>
      <c r="AG472" s="3"/>
      <c r="AH472" s="3"/>
      <c r="AI472" s="3"/>
      <c r="AJ472" s="3"/>
      <c r="AK472" s="3"/>
      <c r="AL472" s="3"/>
      <c r="AM472" s="3"/>
      <c r="AN472" s="3"/>
      <c r="AO472" s="3"/>
      <c r="AP472" s="3"/>
      <c r="AQ472" s="3"/>
      <c r="AR472" s="3"/>
      <c r="AS472" s="3"/>
      <c r="AT472" s="3"/>
      <c r="AU472" s="3"/>
    </row>
    <row r="473" spans="1:47" ht="14.25" customHeight="1" x14ac:dyDescent="0.3">
      <c r="B473" s="3"/>
      <c r="Q473" s="1"/>
      <c r="R473" s="1"/>
      <c r="S473" s="2"/>
      <c r="T473" s="2">
        <v>359</v>
      </c>
      <c r="U473" s="48" t="s">
        <v>91</v>
      </c>
      <c r="V473" s="2"/>
      <c r="W473" s="2"/>
      <c r="X473" s="2"/>
      <c r="Y473" s="3"/>
      <c r="Z473" s="3"/>
      <c r="AA473" s="3"/>
      <c r="AB473" s="3"/>
      <c r="AC473" s="3"/>
      <c r="AD473" s="3"/>
      <c r="AE473" s="3"/>
      <c r="AF473" s="3"/>
      <c r="AG473" s="3"/>
      <c r="AH473" s="3"/>
      <c r="AI473" s="3"/>
      <c r="AJ473" s="3"/>
      <c r="AK473" s="3"/>
      <c r="AL473" s="3"/>
      <c r="AM473" s="3"/>
      <c r="AN473" s="3"/>
      <c r="AO473" s="3"/>
      <c r="AP473" s="3"/>
      <c r="AQ473" s="3"/>
      <c r="AR473" s="3"/>
      <c r="AS473" s="3"/>
      <c r="AT473" s="3"/>
      <c r="AU473" s="3"/>
    </row>
    <row r="474" spans="1:47" ht="14.25" customHeight="1" x14ac:dyDescent="0.3">
      <c r="B474" s="3"/>
      <c r="Q474" s="1"/>
      <c r="R474" s="1"/>
      <c r="S474" s="2"/>
      <c r="T474" s="2">
        <v>360</v>
      </c>
      <c r="U474" s="48" t="s">
        <v>91</v>
      </c>
      <c r="V474" s="2"/>
      <c r="W474" s="2"/>
      <c r="X474" s="2"/>
      <c r="Y474" s="3"/>
      <c r="Z474" s="3"/>
      <c r="AA474" s="3"/>
      <c r="AB474" s="3"/>
      <c r="AC474" s="3"/>
      <c r="AD474" s="3"/>
      <c r="AE474" s="3"/>
      <c r="AF474" s="3"/>
      <c r="AG474" s="3"/>
      <c r="AH474" s="3"/>
      <c r="AI474" s="3"/>
      <c r="AJ474" s="3"/>
      <c r="AK474" s="3"/>
      <c r="AL474" s="3"/>
      <c r="AM474" s="3"/>
      <c r="AN474" s="3"/>
      <c r="AO474" s="3"/>
      <c r="AP474" s="3"/>
      <c r="AQ474" s="3"/>
      <c r="AR474" s="3"/>
      <c r="AS474" s="3"/>
      <c r="AT474" s="3"/>
      <c r="AU474" s="3"/>
    </row>
    <row r="475" spans="1:47" ht="14.25" customHeight="1" x14ac:dyDescent="0.3">
      <c r="B475" s="3"/>
      <c r="Q475" s="1"/>
      <c r="R475" s="1"/>
      <c r="S475" s="2"/>
      <c r="T475" s="2">
        <v>361</v>
      </c>
      <c r="U475" s="48" t="s">
        <v>91</v>
      </c>
      <c r="V475" s="2"/>
      <c r="W475" s="2"/>
      <c r="X475" s="2"/>
      <c r="Y475" s="3"/>
      <c r="Z475" s="3"/>
      <c r="AA475" s="3"/>
      <c r="AB475" s="3"/>
      <c r="AC475" s="3"/>
      <c r="AD475" s="3"/>
      <c r="AE475" s="3"/>
      <c r="AF475" s="3"/>
      <c r="AG475" s="3"/>
      <c r="AH475" s="3"/>
      <c r="AI475" s="3"/>
      <c r="AJ475" s="3"/>
      <c r="AK475" s="3"/>
      <c r="AL475" s="3"/>
      <c r="AM475" s="3"/>
      <c r="AN475" s="3"/>
      <c r="AO475" s="3"/>
      <c r="AP475" s="3"/>
      <c r="AQ475" s="3"/>
      <c r="AR475" s="3"/>
      <c r="AS475" s="3"/>
      <c r="AT475" s="3"/>
      <c r="AU475" s="3"/>
    </row>
    <row r="476" spans="1:47" ht="14.25" customHeight="1" x14ac:dyDescent="0.3">
      <c r="B476" s="3"/>
      <c r="Q476" s="1"/>
      <c r="R476" s="1"/>
      <c r="S476" s="2"/>
      <c r="T476" s="2">
        <v>362</v>
      </c>
      <c r="U476" s="48" t="s">
        <v>91</v>
      </c>
      <c r="V476" s="2"/>
      <c r="W476" s="2"/>
      <c r="X476" s="2"/>
      <c r="Y476" s="3"/>
      <c r="Z476" s="3"/>
      <c r="AA476" s="3"/>
      <c r="AB476" s="3"/>
      <c r="AC476" s="3"/>
      <c r="AD476" s="3"/>
      <c r="AE476" s="3"/>
      <c r="AF476" s="3"/>
      <c r="AG476" s="3"/>
      <c r="AH476" s="3"/>
      <c r="AI476" s="3"/>
      <c r="AJ476" s="3"/>
      <c r="AK476" s="3"/>
      <c r="AL476" s="3"/>
      <c r="AM476" s="3"/>
      <c r="AN476" s="3"/>
      <c r="AO476" s="3"/>
      <c r="AP476" s="3"/>
      <c r="AQ476" s="3"/>
      <c r="AR476" s="3"/>
      <c r="AS476" s="3"/>
      <c r="AT476" s="3"/>
      <c r="AU476" s="3"/>
    </row>
    <row r="477" spans="1:47" ht="14.25" customHeight="1" x14ac:dyDescent="0.3">
      <c r="B477" s="3"/>
      <c r="Q477" s="1"/>
      <c r="R477" s="1"/>
      <c r="S477" s="2"/>
      <c r="T477" s="2">
        <v>363</v>
      </c>
      <c r="U477" s="48" t="s">
        <v>91</v>
      </c>
      <c r="V477" s="2"/>
      <c r="W477" s="2"/>
      <c r="X477" s="2"/>
      <c r="Y477" s="3"/>
      <c r="Z477" s="3"/>
      <c r="AA477" s="3"/>
      <c r="AB477" s="3"/>
      <c r="AC477" s="3"/>
      <c r="AD477" s="3"/>
      <c r="AE477" s="3"/>
      <c r="AF477" s="3"/>
      <c r="AG477" s="3"/>
      <c r="AH477" s="3"/>
      <c r="AI477" s="3"/>
      <c r="AJ477" s="3"/>
      <c r="AK477" s="3"/>
      <c r="AL477" s="3"/>
      <c r="AM477" s="3"/>
      <c r="AN477" s="3"/>
      <c r="AO477" s="3"/>
      <c r="AP477" s="3"/>
      <c r="AQ477" s="3"/>
      <c r="AR477" s="3"/>
      <c r="AS477" s="3"/>
      <c r="AT477" s="3"/>
      <c r="AU477" s="3"/>
    </row>
    <row r="478" spans="1:47" ht="14.25" customHeight="1" x14ac:dyDescent="0.3">
      <c r="B478" s="3"/>
      <c r="Q478" s="1"/>
      <c r="R478" s="1"/>
      <c r="S478" s="2"/>
      <c r="T478" s="2">
        <v>364</v>
      </c>
      <c r="U478" s="48" t="s">
        <v>91</v>
      </c>
      <c r="V478" s="2"/>
      <c r="W478" s="2"/>
      <c r="X478" s="2"/>
      <c r="Y478" s="3"/>
      <c r="Z478" s="3"/>
      <c r="AA478" s="3"/>
      <c r="AB478" s="3"/>
      <c r="AC478" s="3"/>
      <c r="AD478" s="3"/>
      <c r="AE478" s="3"/>
      <c r="AF478" s="3"/>
      <c r="AG478" s="3"/>
      <c r="AH478" s="3"/>
      <c r="AI478" s="3"/>
      <c r="AJ478" s="3"/>
      <c r="AK478" s="3"/>
      <c r="AL478" s="3"/>
      <c r="AM478" s="3"/>
      <c r="AN478" s="3"/>
      <c r="AO478" s="3"/>
      <c r="AP478" s="3"/>
      <c r="AQ478" s="3"/>
      <c r="AR478" s="3"/>
      <c r="AS478" s="3"/>
      <c r="AT478" s="3"/>
      <c r="AU478" s="3"/>
    </row>
    <row r="479" spans="1:47" ht="14.25" customHeight="1" x14ac:dyDescent="0.3">
      <c r="B479" s="3"/>
      <c r="Q479" s="1"/>
      <c r="R479" s="1"/>
      <c r="S479" s="2"/>
      <c r="T479" s="2">
        <v>365</v>
      </c>
      <c r="U479" s="48" t="s">
        <v>91</v>
      </c>
      <c r="V479" s="2"/>
      <c r="W479" s="2"/>
      <c r="X479" s="2"/>
      <c r="Y479" s="3"/>
      <c r="Z479" s="3"/>
      <c r="AA479" s="3"/>
      <c r="AB479" s="3"/>
      <c r="AC479" s="3"/>
      <c r="AD479" s="3"/>
      <c r="AE479" s="3"/>
      <c r="AF479" s="3"/>
      <c r="AG479" s="3"/>
      <c r="AH479" s="3"/>
      <c r="AI479" s="3"/>
      <c r="AJ479" s="3"/>
      <c r="AK479" s="3"/>
      <c r="AL479" s="3"/>
      <c r="AM479" s="3"/>
      <c r="AN479" s="3"/>
      <c r="AO479" s="3"/>
      <c r="AP479" s="3"/>
      <c r="AQ479" s="3"/>
      <c r="AR479" s="3"/>
      <c r="AS479" s="3"/>
      <c r="AT479" s="3"/>
      <c r="AU479" s="3"/>
    </row>
    <row r="480" spans="1:47" ht="14.25" customHeight="1" x14ac:dyDescent="0.3">
      <c r="B480" s="3"/>
      <c r="Q480" s="1"/>
      <c r="R480" s="1"/>
      <c r="S480" s="2"/>
      <c r="T480" s="2">
        <v>366</v>
      </c>
      <c r="U480" s="48" t="s">
        <v>91</v>
      </c>
      <c r="V480" s="2"/>
      <c r="W480" s="2"/>
      <c r="X480" s="2"/>
      <c r="Y480" s="3"/>
      <c r="Z480" s="3"/>
      <c r="AA480" s="3"/>
      <c r="AB480" s="3"/>
      <c r="AC480" s="3"/>
      <c r="AD480" s="3"/>
      <c r="AE480" s="3"/>
      <c r="AF480" s="3"/>
      <c r="AG480" s="3"/>
      <c r="AH480" s="3"/>
      <c r="AI480" s="3"/>
      <c r="AJ480" s="3"/>
      <c r="AK480" s="3"/>
      <c r="AL480" s="3"/>
      <c r="AM480" s="3"/>
      <c r="AN480" s="3"/>
      <c r="AO480" s="3"/>
      <c r="AP480" s="3"/>
      <c r="AQ480" s="3"/>
      <c r="AR480" s="3"/>
      <c r="AS480" s="3"/>
      <c r="AT480" s="3"/>
      <c r="AU480" s="3"/>
    </row>
    <row r="481" spans="2:47" ht="14.25" customHeight="1" x14ac:dyDescent="0.3">
      <c r="B481" s="3"/>
      <c r="Q481" s="1"/>
      <c r="R481" s="1"/>
      <c r="S481" s="2"/>
      <c r="T481" s="2">
        <v>367</v>
      </c>
      <c r="U481" s="48" t="s">
        <v>91</v>
      </c>
      <c r="V481" s="2"/>
      <c r="W481" s="2"/>
      <c r="X481" s="2"/>
      <c r="Y481" s="3"/>
      <c r="Z481" s="3"/>
      <c r="AA481" s="3"/>
      <c r="AB481" s="3"/>
      <c r="AC481" s="3"/>
      <c r="AD481" s="3"/>
      <c r="AE481" s="3"/>
      <c r="AF481" s="3"/>
      <c r="AG481" s="3"/>
      <c r="AH481" s="3"/>
      <c r="AI481" s="3"/>
      <c r="AJ481" s="3"/>
      <c r="AK481" s="3"/>
      <c r="AL481" s="3"/>
      <c r="AM481" s="3"/>
      <c r="AN481" s="3"/>
      <c r="AO481" s="3"/>
      <c r="AP481" s="3"/>
      <c r="AQ481" s="3"/>
      <c r="AR481" s="3"/>
      <c r="AS481" s="3"/>
      <c r="AT481" s="3"/>
      <c r="AU481" s="3"/>
    </row>
    <row r="482" spans="2:47" ht="14.25" customHeight="1" x14ac:dyDescent="0.3">
      <c r="B482" s="3"/>
      <c r="Q482" s="1"/>
      <c r="R482" s="1"/>
      <c r="S482" s="2"/>
      <c r="T482" s="2">
        <v>368</v>
      </c>
      <c r="U482" s="48" t="s">
        <v>91</v>
      </c>
      <c r="V482" s="2"/>
      <c r="W482" s="2"/>
      <c r="X482" s="2"/>
      <c r="Y482" s="3"/>
      <c r="Z482" s="3"/>
      <c r="AA482" s="3"/>
      <c r="AB482" s="3"/>
      <c r="AC482" s="3"/>
      <c r="AD482" s="3"/>
      <c r="AE482" s="3"/>
      <c r="AF482" s="3"/>
      <c r="AG482" s="3"/>
      <c r="AH482" s="3"/>
      <c r="AI482" s="3"/>
      <c r="AJ482" s="3"/>
      <c r="AK482" s="3"/>
      <c r="AL482" s="3"/>
      <c r="AM482" s="3"/>
      <c r="AN482" s="3"/>
      <c r="AO482" s="3"/>
      <c r="AP482" s="3"/>
      <c r="AQ482" s="3"/>
      <c r="AR482" s="3"/>
      <c r="AS482" s="3"/>
      <c r="AT482" s="3"/>
      <c r="AU482" s="3"/>
    </row>
    <row r="483" spans="2:47" ht="14.25" customHeight="1" x14ac:dyDescent="0.3">
      <c r="B483" s="3"/>
      <c r="Q483" s="1"/>
      <c r="R483" s="1"/>
      <c r="S483" s="2"/>
      <c r="T483" s="2">
        <v>369</v>
      </c>
      <c r="U483" s="48" t="s">
        <v>91</v>
      </c>
      <c r="V483" s="2"/>
      <c r="W483" s="2"/>
      <c r="X483" s="2"/>
      <c r="Y483" s="3"/>
      <c r="Z483" s="3"/>
      <c r="AA483" s="3"/>
      <c r="AB483" s="3"/>
      <c r="AC483" s="3"/>
      <c r="AD483" s="3"/>
      <c r="AE483" s="3"/>
      <c r="AF483" s="3"/>
      <c r="AG483" s="3"/>
      <c r="AH483" s="3"/>
      <c r="AI483" s="3"/>
      <c r="AJ483" s="3"/>
      <c r="AK483" s="3"/>
      <c r="AL483" s="3"/>
      <c r="AM483" s="3"/>
      <c r="AN483" s="3"/>
      <c r="AO483" s="3"/>
      <c r="AP483" s="3"/>
      <c r="AQ483" s="3"/>
      <c r="AR483" s="3"/>
      <c r="AS483" s="3"/>
      <c r="AT483" s="3"/>
      <c r="AU483" s="3"/>
    </row>
    <row r="484" spans="2:47" ht="14.25" customHeight="1" x14ac:dyDescent="0.3">
      <c r="B484" s="3"/>
      <c r="Q484" s="1"/>
      <c r="R484" s="1"/>
      <c r="S484" s="2"/>
      <c r="T484" s="2">
        <v>370</v>
      </c>
      <c r="U484" s="48" t="s">
        <v>91</v>
      </c>
      <c r="V484" s="2"/>
      <c r="W484" s="2"/>
      <c r="X484" s="2"/>
      <c r="Y484" s="3"/>
      <c r="Z484" s="3"/>
      <c r="AA484" s="3"/>
      <c r="AB484" s="3"/>
      <c r="AC484" s="3"/>
      <c r="AD484" s="3"/>
      <c r="AE484" s="3"/>
      <c r="AF484" s="3"/>
      <c r="AG484" s="3"/>
      <c r="AH484" s="3"/>
      <c r="AI484" s="3"/>
      <c r="AJ484" s="3"/>
      <c r="AK484" s="3"/>
      <c r="AL484" s="3"/>
      <c r="AM484" s="3"/>
      <c r="AN484" s="3"/>
      <c r="AO484" s="3"/>
      <c r="AP484" s="3"/>
      <c r="AQ484" s="3"/>
      <c r="AR484" s="3"/>
      <c r="AS484" s="3"/>
      <c r="AT484" s="3"/>
      <c r="AU484" s="3"/>
    </row>
    <row r="485" spans="2:47" ht="14.25" customHeight="1" x14ac:dyDescent="0.3">
      <c r="B485" s="3"/>
      <c r="Q485" s="1"/>
      <c r="R485" s="1"/>
      <c r="S485" s="2"/>
      <c r="T485" s="2">
        <v>371</v>
      </c>
      <c r="U485" s="48" t="s">
        <v>91</v>
      </c>
      <c r="V485" s="2"/>
      <c r="W485" s="2"/>
      <c r="X485" s="2"/>
      <c r="Y485" s="3"/>
      <c r="Z485" s="3"/>
      <c r="AA485" s="3"/>
      <c r="AB485" s="3"/>
      <c r="AC485" s="3"/>
      <c r="AD485" s="3"/>
      <c r="AE485" s="3"/>
      <c r="AF485" s="3"/>
      <c r="AG485" s="3"/>
      <c r="AH485" s="3"/>
      <c r="AI485" s="3"/>
      <c r="AJ485" s="3"/>
      <c r="AK485" s="3"/>
      <c r="AL485" s="3"/>
      <c r="AM485" s="3"/>
      <c r="AN485" s="3"/>
      <c r="AO485" s="3"/>
      <c r="AP485" s="3"/>
      <c r="AQ485" s="3"/>
      <c r="AR485" s="3"/>
      <c r="AS485" s="3"/>
      <c r="AT485" s="3"/>
      <c r="AU485" s="3"/>
    </row>
    <row r="486" spans="2:47" ht="14.25" customHeight="1" x14ac:dyDescent="0.3">
      <c r="B486" s="3"/>
      <c r="Q486" s="1"/>
      <c r="R486" s="1"/>
      <c r="S486" s="2"/>
      <c r="T486" s="2">
        <v>372</v>
      </c>
      <c r="U486" s="48" t="s">
        <v>91</v>
      </c>
      <c r="V486" s="2"/>
      <c r="W486" s="2"/>
      <c r="X486" s="2"/>
      <c r="Y486" s="3"/>
      <c r="Z486" s="3"/>
      <c r="AA486" s="3"/>
      <c r="AB486" s="3"/>
      <c r="AC486" s="3"/>
      <c r="AD486" s="3"/>
      <c r="AE486" s="3"/>
      <c r="AF486" s="3"/>
      <c r="AG486" s="3"/>
      <c r="AH486" s="3"/>
      <c r="AI486" s="3"/>
      <c r="AJ486" s="3"/>
      <c r="AK486" s="3"/>
      <c r="AL486" s="3"/>
      <c r="AM486" s="3"/>
      <c r="AN486" s="3"/>
      <c r="AO486" s="3"/>
      <c r="AP486" s="3"/>
      <c r="AQ486" s="3"/>
      <c r="AR486" s="3"/>
      <c r="AS486" s="3"/>
      <c r="AT486" s="3"/>
      <c r="AU486" s="3"/>
    </row>
    <row r="487" spans="2:47" ht="14.25" customHeight="1" x14ac:dyDescent="0.3">
      <c r="B487" s="3"/>
      <c r="Q487" s="1"/>
      <c r="R487" s="1"/>
      <c r="S487" s="2"/>
      <c r="T487" s="2">
        <v>373</v>
      </c>
      <c r="U487" s="48" t="s">
        <v>91</v>
      </c>
      <c r="V487" s="2"/>
      <c r="W487" s="2"/>
      <c r="X487" s="2"/>
      <c r="Y487" s="3"/>
      <c r="Z487" s="3"/>
      <c r="AA487" s="3"/>
      <c r="AB487" s="3"/>
      <c r="AC487" s="3"/>
      <c r="AD487" s="3"/>
      <c r="AE487" s="3"/>
      <c r="AF487" s="3"/>
      <c r="AG487" s="3"/>
      <c r="AH487" s="3"/>
      <c r="AI487" s="3"/>
      <c r="AJ487" s="3"/>
      <c r="AK487" s="3"/>
      <c r="AL487" s="3"/>
      <c r="AM487" s="3"/>
      <c r="AN487" s="3"/>
      <c r="AO487" s="3"/>
      <c r="AP487" s="3"/>
      <c r="AQ487" s="3"/>
      <c r="AR487" s="3"/>
      <c r="AS487" s="3"/>
      <c r="AT487" s="3"/>
      <c r="AU487" s="3"/>
    </row>
    <row r="488" spans="2:47" ht="14.25" customHeight="1" x14ac:dyDescent="0.3">
      <c r="B488" s="3"/>
      <c r="Q488" s="1"/>
      <c r="R488" s="1"/>
      <c r="S488" s="2"/>
      <c r="T488" s="2">
        <v>374</v>
      </c>
      <c r="U488" s="48" t="s">
        <v>91</v>
      </c>
      <c r="V488" s="2"/>
      <c r="W488" s="2"/>
      <c r="X488" s="2"/>
      <c r="Y488" s="3"/>
      <c r="Z488" s="3"/>
      <c r="AA488" s="3"/>
      <c r="AB488" s="3"/>
      <c r="AC488" s="3"/>
      <c r="AD488" s="3"/>
      <c r="AE488" s="3"/>
      <c r="AF488" s="3"/>
      <c r="AG488" s="3"/>
      <c r="AH488" s="3"/>
      <c r="AI488" s="3"/>
      <c r="AJ488" s="3"/>
      <c r="AK488" s="3"/>
      <c r="AL488" s="3"/>
      <c r="AM488" s="3"/>
      <c r="AN488" s="3"/>
      <c r="AO488" s="3"/>
      <c r="AP488" s="3"/>
      <c r="AQ488" s="3"/>
      <c r="AR488" s="3"/>
      <c r="AS488" s="3"/>
      <c r="AT488" s="3"/>
      <c r="AU488" s="3"/>
    </row>
    <row r="489" spans="2:47" ht="14.25" customHeight="1" x14ac:dyDescent="0.3">
      <c r="B489" s="3"/>
      <c r="Q489" s="1"/>
      <c r="R489" s="1"/>
      <c r="S489" s="2"/>
      <c r="T489" s="2">
        <v>375</v>
      </c>
      <c r="U489" s="48" t="s">
        <v>91</v>
      </c>
      <c r="V489" s="2"/>
      <c r="W489" s="2"/>
      <c r="X489" s="2"/>
      <c r="Y489" s="3"/>
      <c r="Z489" s="3"/>
      <c r="AA489" s="3"/>
      <c r="AB489" s="3"/>
      <c r="AC489" s="3"/>
      <c r="AD489" s="3"/>
      <c r="AE489" s="3"/>
      <c r="AF489" s="3"/>
      <c r="AG489" s="3"/>
      <c r="AH489" s="3"/>
      <c r="AI489" s="3"/>
      <c r="AJ489" s="3"/>
      <c r="AK489" s="3"/>
      <c r="AL489" s="3"/>
      <c r="AM489" s="3"/>
      <c r="AN489" s="3"/>
      <c r="AO489" s="3"/>
      <c r="AP489" s="3"/>
      <c r="AQ489" s="3"/>
      <c r="AR489" s="3"/>
      <c r="AS489" s="3"/>
      <c r="AT489" s="3"/>
      <c r="AU489" s="3"/>
    </row>
    <row r="490" spans="2:47" ht="14.25" customHeight="1" x14ac:dyDescent="0.3">
      <c r="B490" s="3"/>
      <c r="Q490" s="1"/>
      <c r="R490" s="1"/>
      <c r="S490" s="2"/>
      <c r="T490" s="2">
        <v>376</v>
      </c>
      <c r="U490" s="48" t="s">
        <v>91</v>
      </c>
      <c r="V490" s="2"/>
      <c r="W490" s="2"/>
      <c r="X490" s="2"/>
      <c r="Y490" s="3"/>
      <c r="Z490" s="3"/>
      <c r="AA490" s="3"/>
      <c r="AB490" s="3"/>
      <c r="AC490" s="3"/>
      <c r="AD490" s="3"/>
      <c r="AE490" s="3"/>
      <c r="AF490" s="3"/>
      <c r="AG490" s="3"/>
      <c r="AH490" s="3"/>
      <c r="AI490" s="3"/>
      <c r="AJ490" s="3"/>
      <c r="AK490" s="3"/>
      <c r="AL490" s="3"/>
      <c r="AM490" s="3"/>
      <c r="AN490" s="3"/>
      <c r="AO490" s="3"/>
      <c r="AP490" s="3"/>
      <c r="AQ490" s="3"/>
      <c r="AR490" s="3"/>
      <c r="AS490" s="3"/>
      <c r="AT490" s="3"/>
      <c r="AU490" s="3"/>
    </row>
    <row r="491" spans="2:47" ht="14.25" customHeight="1" x14ac:dyDescent="0.3">
      <c r="B491" s="3"/>
      <c r="Q491" s="1"/>
      <c r="R491" s="1"/>
      <c r="S491" s="2"/>
      <c r="T491" s="2">
        <v>377</v>
      </c>
      <c r="U491" s="48" t="s">
        <v>91</v>
      </c>
      <c r="V491" s="2"/>
      <c r="W491" s="2"/>
      <c r="X491" s="2"/>
      <c r="Y491" s="3"/>
      <c r="Z491" s="3"/>
      <c r="AA491" s="3"/>
      <c r="AB491" s="3"/>
      <c r="AC491" s="3"/>
      <c r="AD491" s="3"/>
      <c r="AE491" s="3"/>
      <c r="AF491" s="3"/>
      <c r="AG491" s="3"/>
      <c r="AH491" s="3"/>
      <c r="AI491" s="3"/>
      <c r="AJ491" s="3"/>
      <c r="AK491" s="3"/>
      <c r="AL491" s="3"/>
      <c r="AM491" s="3"/>
      <c r="AN491" s="3"/>
      <c r="AO491" s="3"/>
      <c r="AP491" s="3"/>
      <c r="AQ491" s="3"/>
      <c r="AR491" s="3"/>
      <c r="AS491" s="3"/>
      <c r="AT491" s="3"/>
      <c r="AU491" s="3"/>
    </row>
    <row r="492" spans="2:47" ht="14.25" customHeight="1" x14ac:dyDescent="0.3">
      <c r="B492" s="3"/>
      <c r="Q492" s="1"/>
      <c r="R492" s="1"/>
      <c r="S492" s="2"/>
      <c r="T492" s="2">
        <v>378</v>
      </c>
      <c r="U492" s="48" t="s">
        <v>91</v>
      </c>
      <c r="V492" s="2"/>
      <c r="W492" s="2"/>
      <c r="X492" s="2"/>
      <c r="Y492" s="3"/>
      <c r="Z492" s="3"/>
      <c r="AA492" s="3"/>
      <c r="AB492" s="3"/>
      <c r="AC492" s="3"/>
      <c r="AD492" s="3"/>
      <c r="AE492" s="3"/>
      <c r="AF492" s="3"/>
      <c r="AG492" s="3"/>
      <c r="AH492" s="3"/>
      <c r="AI492" s="3"/>
      <c r="AJ492" s="3"/>
      <c r="AK492" s="3"/>
      <c r="AL492" s="3"/>
      <c r="AM492" s="3"/>
      <c r="AN492" s="3"/>
      <c r="AO492" s="3"/>
      <c r="AP492" s="3"/>
      <c r="AQ492" s="3"/>
      <c r="AR492" s="3"/>
      <c r="AS492" s="3"/>
      <c r="AT492" s="3"/>
      <c r="AU492" s="3"/>
    </row>
    <row r="493" spans="2:47" ht="14.25" customHeight="1" x14ac:dyDescent="0.3">
      <c r="B493" s="3"/>
      <c r="Q493" s="1"/>
      <c r="R493" s="1"/>
      <c r="S493" s="2"/>
      <c r="T493" s="2">
        <v>379</v>
      </c>
      <c r="U493" s="48" t="s">
        <v>91</v>
      </c>
      <c r="V493" s="2"/>
      <c r="W493" s="2"/>
      <c r="X493" s="2"/>
      <c r="Y493" s="3"/>
      <c r="Z493" s="3"/>
      <c r="AA493" s="3"/>
      <c r="AB493" s="3"/>
      <c r="AC493" s="3"/>
      <c r="AD493" s="3"/>
      <c r="AE493" s="3"/>
      <c r="AF493" s="3"/>
      <c r="AG493" s="3"/>
      <c r="AH493" s="3"/>
      <c r="AI493" s="3"/>
      <c r="AJ493" s="3"/>
      <c r="AK493" s="3"/>
      <c r="AL493" s="3"/>
      <c r="AM493" s="3"/>
      <c r="AN493" s="3"/>
      <c r="AO493" s="3"/>
      <c r="AP493" s="3"/>
      <c r="AQ493" s="3"/>
      <c r="AR493" s="3"/>
      <c r="AS493" s="3"/>
      <c r="AT493" s="3"/>
      <c r="AU493" s="3"/>
    </row>
    <row r="494" spans="2:47" ht="14.25" customHeight="1" x14ac:dyDescent="0.3">
      <c r="B494" s="3"/>
      <c r="Q494" s="1"/>
      <c r="R494" s="1"/>
      <c r="S494" s="2"/>
      <c r="T494" s="2">
        <v>380</v>
      </c>
      <c r="U494" s="48" t="s">
        <v>91</v>
      </c>
      <c r="V494" s="2"/>
      <c r="W494" s="2"/>
      <c r="X494" s="2"/>
      <c r="Y494" s="3"/>
      <c r="Z494" s="3"/>
      <c r="AA494" s="3"/>
      <c r="AB494" s="3"/>
      <c r="AC494" s="3"/>
      <c r="AD494" s="3"/>
      <c r="AE494" s="3"/>
      <c r="AF494" s="3"/>
      <c r="AG494" s="3"/>
      <c r="AH494" s="3"/>
      <c r="AI494" s="3"/>
      <c r="AJ494" s="3"/>
      <c r="AK494" s="3"/>
      <c r="AL494" s="3"/>
      <c r="AM494" s="3"/>
      <c r="AN494" s="3"/>
      <c r="AO494" s="3"/>
      <c r="AP494" s="3"/>
      <c r="AQ494" s="3"/>
      <c r="AR494" s="3"/>
      <c r="AS494" s="3"/>
      <c r="AT494" s="3"/>
      <c r="AU494" s="3"/>
    </row>
    <row r="495" spans="2:47" ht="14.25" customHeight="1" x14ac:dyDescent="0.3">
      <c r="B495" s="3"/>
      <c r="Q495" s="1"/>
      <c r="R495" s="1"/>
      <c r="S495" s="2"/>
      <c r="T495" s="2">
        <v>381</v>
      </c>
      <c r="U495" s="48" t="s">
        <v>91</v>
      </c>
      <c r="V495" s="2"/>
      <c r="W495" s="2"/>
      <c r="X495" s="2"/>
      <c r="Y495" s="3"/>
      <c r="Z495" s="3"/>
      <c r="AA495" s="3"/>
      <c r="AB495" s="3"/>
      <c r="AC495" s="3"/>
      <c r="AD495" s="3"/>
      <c r="AE495" s="3"/>
      <c r="AF495" s="3"/>
      <c r="AG495" s="3"/>
      <c r="AH495" s="3"/>
      <c r="AI495" s="3"/>
      <c r="AJ495" s="3"/>
      <c r="AK495" s="3"/>
      <c r="AL495" s="3"/>
      <c r="AM495" s="3"/>
      <c r="AN495" s="3"/>
      <c r="AO495" s="3"/>
      <c r="AP495" s="3"/>
      <c r="AQ495" s="3"/>
      <c r="AR495" s="3"/>
      <c r="AS495" s="3"/>
      <c r="AT495" s="3"/>
      <c r="AU495" s="3"/>
    </row>
    <row r="496" spans="2:47" ht="14.25" customHeight="1" x14ac:dyDescent="0.3">
      <c r="B496" s="3"/>
      <c r="Q496" s="1"/>
      <c r="R496" s="1"/>
      <c r="S496" s="2"/>
      <c r="T496" s="2">
        <v>382</v>
      </c>
      <c r="U496" s="48" t="s">
        <v>91</v>
      </c>
      <c r="V496" s="2"/>
      <c r="W496" s="2"/>
      <c r="X496" s="2"/>
      <c r="Y496" s="3"/>
      <c r="Z496" s="3"/>
      <c r="AA496" s="3"/>
      <c r="AB496" s="3"/>
      <c r="AC496" s="3"/>
      <c r="AD496" s="3"/>
      <c r="AE496" s="3"/>
      <c r="AF496" s="3"/>
      <c r="AG496" s="3"/>
      <c r="AH496" s="3"/>
      <c r="AI496" s="3"/>
      <c r="AJ496" s="3"/>
      <c r="AK496" s="3"/>
      <c r="AL496" s="3"/>
      <c r="AM496" s="3"/>
      <c r="AN496" s="3"/>
      <c r="AO496" s="3"/>
      <c r="AP496" s="3"/>
      <c r="AQ496" s="3"/>
      <c r="AR496" s="3"/>
      <c r="AS496" s="3"/>
      <c r="AT496" s="3"/>
      <c r="AU496" s="3"/>
    </row>
    <row r="497" spans="2:47" ht="14.25" customHeight="1" x14ac:dyDescent="0.3">
      <c r="B497" s="3"/>
      <c r="Q497" s="1"/>
      <c r="R497" s="1"/>
      <c r="S497" s="2"/>
      <c r="T497" s="2">
        <v>383</v>
      </c>
      <c r="U497" s="48" t="s">
        <v>91</v>
      </c>
      <c r="V497" s="2"/>
      <c r="W497" s="2"/>
      <c r="X497" s="2"/>
      <c r="Y497" s="3"/>
      <c r="Z497" s="3"/>
      <c r="AA497" s="3"/>
      <c r="AB497" s="3"/>
      <c r="AC497" s="3"/>
      <c r="AD497" s="3"/>
      <c r="AE497" s="3"/>
      <c r="AF497" s="3"/>
      <c r="AG497" s="3"/>
      <c r="AH497" s="3"/>
      <c r="AI497" s="3"/>
      <c r="AJ497" s="3"/>
      <c r="AK497" s="3"/>
      <c r="AL497" s="3"/>
      <c r="AM497" s="3"/>
      <c r="AN497" s="3"/>
      <c r="AO497" s="3"/>
      <c r="AP497" s="3"/>
      <c r="AQ497" s="3"/>
      <c r="AR497" s="3"/>
      <c r="AS497" s="3"/>
      <c r="AT497" s="3"/>
      <c r="AU497" s="3"/>
    </row>
    <row r="498" spans="2:47" ht="14.25" customHeight="1" x14ac:dyDescent="0.3">
      <c r="B498" s="3"/>
      <c r="Q498" s="1"/>
      <c r="R498" s="1"/>
      <c r="S498" s="2"/>
      <c r="T498" s="2">
        <v>384</v>
      </c>
      <c r="U498" s="48" t="s">
        <v>91</v>
      </c>
      <c r="V498" s="2"/>
      <c r="W498" s="2"/>
      <c r="X498" s="2"/>
      <c r="Y498" s="3"/>
      <c r="Z498" s="3"/>
      <c r="AA498" s="3"/>
      <c r="AB498" s="3"/>
      <c r="AC498" s="3"/>
      <c r="AD498" s="3"/>
      <c r="AE498" s="3"/>
      <c r="AF498" s="3"/>
      <c r="AG498" s="3"/>
      <c r="AH498" s="3"/>
      <c r="AI498" s="3"/>
      <c r="AJ498" s="3"/>
      <c r="AK498" s="3"/>
      <c r="AL498" s="3"/>
      <c r="AM498" s="3"/>
      <c r="AN498" s="3"/>
      <c r="AO498" s="3"/>
      <c r="AP498" s="3"/>
      <c r="AQ498" s="3"/>
      <c r="AR498" s="3"/>
      <c r="AS498" s="3"/>
      <c r="AT498" s="3"/>
      <c r="AU498" s="3"/>
    </row>
    <row r="499" spans="2:47" ht="14.25" customHeight="1" x14ac:dyDescent="0.3">
      <c r="B499" s="3"/>
      <c r="Q499" s="1"/>
      <c r="R499" s="1"/>
      <c r="S499" s="2"/>
      <c r="T499" s="2">
        <v>385</v>
      </c>
      <c r="U499" s="48" t="s">
        <v>91</v>
      </c>
      <c r="V499" s="2"/>
      <c r="W499" s="2"/>
      <c r="X499" s="2"/>
      <c r="Y499" s="3"/>
      <c r="Z499" s="3"/>
      <c r="AA499" s="3"/>
      <c r="AB499" s="3"/>
      <c r="AC499" s="3"/>
      <c r="AD499" s="3"/>
      <c r="AE499" s="3"/>
      <c r="AF499" s="3"/>
      <c r="AG499" s="3"/>
      <c r="AH499" s="3"/>
      <c r="AI499" s="3"/>
      <c r="AJ499" s="3"/>
      <c r="AK499" s="3"/>
      <c r="AL499" s="3"/>
      <c r="AM499" s="3"/>
      <c r="AN499" s="3"/>
      <c r="AO499" s="3"/>
      <c r="AP499" s="3"/>
      <c r="AQ499" s="3"/>
      <c r="AR499" s="3"/>
      <c r="AS499" s="3"/>
      <c r="AT499" s="3"/>
      <c r="AU499" s="3"/>
    </row>
    <row r="500" spans="2:47" ht="14.25" customHeight="1" x14ac:dyDescent="0.3">
      <c r="B500" s="3"/>
      <c r="Q500" s="1"/>
      <c r="R500" s="1"/>
      <c r="S500" s="2"/>
      <c r="T500" s="2">
        <v>386</v>
      </c>
      <c r="U500" s="48" t="s">
        <v>91</v>
      </c>
      <c r="V500" s="2"/>
      <c r="W500" s="2"/>
      <c r="X500" s="2"/>
      <c r="Y500" s="3"/>
      <c r="Z500" s="3"/>
      <c r="AA500" s="3"/>
      <c r="AB500" s="3"/>
      <c r="AC500" s="3"/>
      <c r="AD500" s="3"/>
      <c r="AE500" s="3"/>
      <c r="AF500" s="3"/>
      <c r="AG500" s="3"/>
      <c r="AH500" s="3"/>
      <c r="AI500" s="3"/>
      <c r="AJ500" s="3"/>
      <c r="AK500" s="3"/>
      <c r="AL500" s="3"/>
      <c r="AM500" s="3"/>
      <c r="AN500" s="3"/>
      <c r="AO500" s="3"/>
      <c r="AP500" s="3"/>
      <c r="AQ500" s="3"/>
      <c r="AR500" s="3"/>
      <c r="AS500" s="3"/>
      <c r="AT500" s="3"/>
      <c r="AU500" s="3"/>
    </row>
    <row r="501" spans="2:47" ht="14.25" customHeight="1" x14ac:dyDescent="0.3">
      <c r="B501" s="3"/>
      <c r="Q501" s="1"/>
      <c r="R501" s="1"/>
      <c r="S501" s="2"/>
      <c r="T501" s="2">
        <v>387</v>
      </c>
      <c r="U501" s="48" t="s">
        <v>91</v>
      </c>
      <c r="V501" s="2"/>
      <c r="W501" s="2"/>
      <c r="X501" s="2"/>
      <c r="Y501" s="3"/>
      <c r="Z501" s="3"/>
      <c r="AA501" s="3"/>
      <c r="AB501" s="3"/>
      <c r="AC501" s="3"/>
      <c r="AD501" s="3"/>
      <c r="AE501" s="3"/>
      <c r="AF501" s="3"/>
      <c r="AG501" s="3"/>
      <c r="AH501" s="3"/>
      <c r="AI501" s="3"/>
      <c r="AJ501" s="3"/>
      <c r="AK501" s="3"/>
      <c r="AL501" s="3"/>
      <c r="AM501" s="3"/>
      <c r="AN501" s="3"/>
      <c r="AO501" s="3"/>
      <c r="AP501" s="3"/>
      <c r="AQ501" s="3"/>
      <c r="AR501" s="3"/>
      <c r="AS501" s="3"/>
      <c r="AT501" s="3"/>
      <c r="AU501" s="3"/>
    </row>
    <row r="502" spans="2:47" ht="14.25" customHeight="1" x14ac:dyDescent="0.3">
      <c r="B502" s="3"/>
      <c r="Q502" s="1"/>
      <c r="R502" s="1"/>
      <c r="S502" s="2"/>
      <c r="T502" s="2">
        <v>388</v>
      </c>
      <c r="U502" s="48" t="s">
        <v>91</v>
      </c>
      <c r="V502" s="2"/>
      <c r="W502" s="2"/>
      <c r="X502" s="2"/>
      <c r="Y502" s="3"/>
      <c r="Z502" s="3"/>
      <c r="AA502" s="3"/>
      <c r="AB502" s="3"/>
      <c r="AC502" s="3"/>
      <c r="AD502" s="3"/>
      <c r="AE502" s="3"/>
      <c r="AF502" s="3"/>
      <c r="AG502" s="3"/>
      <c r="AH502" s="3"/>
      <c r="AI502" s="3"/>
      <c r="AJ502" s="3"/>
      <c r="AK502" s="3"/>
      <c r="AL502" s="3"/>
      <c r="AM502" s="3"/>
      <c r="AN502" s="3"/>
      <c r="AO502" s="3"/>
      <c r="AP502" s="3"/>
      <c r="AQ502" s="3"/>
      <c r="AR502" s="3"/>
      <c r="AS502" s="3"/>
      <c r="AT502" s="3"/>
      <c r="AU502" s="3"/>
    </row>
    <row r="503" spans="2:47" ht="14.25" customHeight="1" x14ac:dyDescent="0.3">
      <c r="B503" s="3"/>
      <c r="Q503" s="1"/>
      <c r="R503" s="1"/>
      <c r="S503" s="2"/>
      <c r="T503" s="2">
        <v>389</v>
      </c>
      <c r="U503" s="48" t="s">
        <v>91</v>
      </c>
      <c r="V503" s="2"/>
      <c r="W503" s="2"/>
      <c r="X503" s="2"/>
      <c r="Y503" s="3"/>
      <c r="Z503" s="3"/>
      <c r="AA503" s="3"/>
      <c r="AB503" s="3"/>
      <c r="AC503" s="3"/>
      <c r="AD503" s="3"/>
      <c r="AE503" s="3"/>
      <c r="AF503" s="3"/>
      <c r="AG503" s="3"/>
      <c r="AH503" s="3"/>
      <c r="AI503" s="3"/>
      <c r="AJ503" s="3"/>
      <c r="AK503" s="3"/>
      <c r="AL503" s="3"/>
      <c r="AM503" s="3"/>
      <c r="AN503" s="3"/>
      <c r="AO503" s="3"/>
      <c r="AP503" s="3"/>
      <c r="AQ503" s="3"/>
      <c r="AR503" s="3"/>
      <c r="AS503" s="3"/>
      <c r="AT503" s="3"/>
      <c r="AU503" s="3"/>
    </row>
    <row r="504" spans="2:47" ht="14.25" customHeight="1" x14ac:dyDescent="0.3">
      <c r="B504" s="3"/>
      <c r="Q504" s="1"/>
      <c r="R504" s="1"/>
      <c r="S504" s="2"/>
      <c r="T504" s="2">
        <v>390</v>
      </c>
      <c r="U504" s="48" t="s">
        <v>91</v>
      </c>
      <c r="V504" s="2"/>
      <c r="W504" s="2"/>
      <c r="X504" s="2"/>
      <c r="Y504" s="3"/>
      <c r="Z504" s="3"/>
      <c r="AA504" s="3"/>
      <c r="AB504" s="3"/>
      <c r="AC504" s="3"/>
      <c r="AD504" s="3"/>
      <c r="AE504" s="3"/>
      <c r="AF504" s="3"/>
      <c r="AG504" s="3"/>
      <c r="AH504" s="3"/>
      <c r="AI504" s="3"/>
      <c r="AJ504" s="3"/>
      <c r="AK504" s="3"/>
      <c r="AL504" s="3"/>
      <c r="AM504" s="3"/>
      <c r="AN504" s="3"/>
      <c r="AO504" s="3"/>
      <c r="AP504" s="3"/>
      <c r="AQ504" s="3"/>
      <c r="AR504" s="3"/>
      <c r="AS504" s="3"/>
      <c r="AT504" s="3"/>
      <c r="AU504" s="3"/>
    </row>
    <row r="505" spans="2:47" ht="14.25" customHeight="1" x14ac:dyDescent="0.3">
      <c r="B505" s="3"/>
      <c r="Q505" s="1"/>
      <c r="R505" s="1"/>
      <c r="S505" s="2"/>
      <c r="T505" s="2">
        <v>391</v>
      </c>
      <c r="U505" s="48" t="s">
        <v>91</v>
      </c>
      <c r="V505" s="2"/>
      <c r="W505" s="2"/>
      <c r="X505" s="2"/>
      <c r="Y505" s="3"/>
      <c r="Z505" s="3"/>
      <c r="AA505" s="3"/>
      <c r="AB505" s="3"/>
      <c r="AC505" s="3"/>
      <c r="AD505" s="3"/>
      <c r="AE505" s="3"/>
      <c r="AF505" s="3"/>
      <c r="AG505" s="3"/>
      <c r="AH505" s="3"/>
      <c r="AI505" s="3"/>
      <c r="AJ505" s="3"/>
      <c r="AK505" s="3"/>
      <c r="AL505" s="3"/>
      <c r="AM505" s="3"/>
      <c r="AN505" s="3"/>
      <c r="AO505" s="3"/>
      <c r="AP505" s="3"/>
      <c r="AQ505" s="3"/>
      <c r="AR505" s="3"/>
      <c r="AS505" s="3"/>
      <c r="AT505" s="3"/>
      <c r="AU505" s="3"/>
    </row>
    <row r="506" spans="2:47" ht="14.25" customHeight="1" x14ac:dyDescent="0.3">
      <c r="B506" s="3"/>
      <c r="Q506" s="1"/>
      <c r="R506" s="1"/>
      <c r="S506" s="2"/>
      <c r="T506" s="2">
        <v>392</v>
      </c>
      <c r="U506" s="48" t="s">
        <v>91</v>
      </c>
      <c r="V506" s="2"/>
      <c r="W506" s="2"/>
      <c r="X506" s="2"/>
      <c r="Y506" s="3"/>
      <c r="Z506" s="3"/>
      <c r="AA506" s="3"/>
      <c r="AB506" s="3"/>
      <c r="AC506" s="3"/>
      <c r="AD506" s="3"/>
      <c r="AE506" s="3"/>
      <c r="AF506" s="3"/>
      <c r="AG506" s="3"/>
      <c r="AH506" s="3"/>
      <c r="AI506" s="3"/>
      <c r="AJ506" s="3"/>
      <c r="AK506" s="3"/>
      <c r="AL506" s="3"/>
      <c r="AM506" s="3"/>
      <c r="AN506" s="3"/>
      <c r="AO506" s="3"/>
      <c r="AP506" s="3"/>
      <c r="AQ506" s="3"/>
      <c r="AR506" s="3"/>
      <c r="AS506" s="3"/>
      <c r="AT506" s="3"/>
      <c r="AU506" s="3"/>
    </row>
    <row r="507" spans="2:47" ht="14.25" customHeight="1" x14ac:dyDescent="0.3">
      <c r="B507" s="3"/>
      <c r="Q507" s="1"/>
      <c r="R507" s="1"/>
      <c r="S507" s="2"/>
      <c r="T507" s="2">
        <v>393</v>
      </c>
      <c r="U507" s="48" t="s">
        <v>91</v>
      </c>
      <c r="V507" s="2"/>
      <c r="W507" s="2"/>
      <c r="X507" s="2"/>
      <c r="Y507" s="3"/>
      <c r="Z507" s="3"/>
      <c r="AA507" s="3"/>
      <c r="AB507" s="3"/>
      <c r="AC507" s="3"/>
      <c r="AD507" s="3"/>
      <c r="AE507" s="3"/>
      <c r="AF507" s="3"/>
      <c r="AG507" s="3"/>
      <c r="AH507" s="3"/>
      <c r="AI507" s="3"/>
      <c r="AJ507" s="3"/>
      <c r="AK507" s="3"/>
      <c r="AL507" s="3"/>
      <c r="AM507" s="3"/>
      <c r="AN507" s="3"/>
      <c r="AO507" s="3"/>
      <c r="AP507" s="3"/>
      <c r="AQ507" s="3"/>
      <c r="AR507" s="3"/>
      <c r="AS507" s="3"/>
      <c r="AT507" s="3"/>
      <c r="AU507" s="3"/>
    </row>
    <row r="508" spans="2:47" ht="14.25" customHeight="1" x14ac:dyDescent="0.3">
      <c r="B508" s="3"/>
      <c r="Q508" s="1"/>
      <c r="R508" s="1"/>
      <c r="S508" s="2"/>
      <c r="T508" s="2">
        <v>394</v>
      </c>
      <c r="U508" s="48" t="s">
        <v>91</v>
      </c>
      <c r="V508" s="2"/>
      <c r="W508" s="2"/>
      <c r="X508" s="2"/>
      <c r="Y508" s="3"/>
      <c r="Z508" s="3"/>
      <c r="AA508" s="3"/>
      <c r="AB508" s="3"/>
      <c r="AC508" s="3"/>
      <c r="AD508" s="3"/>
      <c r="AE508" s="3"/>
      <c r="AF508" s="3"/>
      <c r="AG508" s="3"/>
      <c r="AH508" s="3"/>
      <c r="AI508" s="3"/>
      <c r="AJ508" s="3"/>
      <c r="AK508" s="3"/>
      <c r="AL508" s="3"/>
      <c r="AM508" s="3"/>
      <c r="AN508" s="3"/>
      <c r="AO508" s="3"/>
      <c r="AP508" s="3"/>
      <c r="AQ508" s="3"/>
      <c r="AR508" s="3"/>
      <c r="AS508" s="3"/>
      <c r="AT508" s="3"/>
      <c r="AU508" s="3"/>
    </row>
    <row r="509" spans="2:47" ht="14.25" customHeight="1" x14ac:dyDescent="0.3">
      <c r="B509" s="3"/>
      <c r="Q509" s="1"/>
      <c r="R509" s="1"/>
      <c r="S509" s="2"/>
      <c r="T509" s="2">
        <v>395</v>
      </c>
      <c r="U509" s="48" t="s">
        <v>91</v>
      </c>
      <c r="V509" s="2"/>
      <c r="W509" s="2"/>
      <c r="X509" s="2"/>
      <c r="Y509" s="3"/>
      <c r="Z509" s="3"/>
      <c r="AA509" s="3"/>
      <c r="AB509" s="3"/>
      <c r="AC509" s="3"/>
      <c r="AD509" s="3"/>
      <c r="AE509" s="3"/>
      <c r="AF509" s="3"/>
      <c r="AG509" s="3"/>
      <c r="AH509" s="3"/>
      <c r="AI509" s="3"/>
      <c r="AJ509" s="3"/>
      <c r="AK509" s="3"/>
      <c r="AL509" s="3"/>
      <c r="AM509" s="3"/>
      <c r="AN509" s="3"/>
      <c r="AO509" s="3"/>
      <c r="AP509" s="3"/>
      <c r="AQ509" s="3"/>
      <c r="AR509" s="3"/>
      <c r="AS509" s="3"/>
      <c r="AT509" s="3"/>
      <c r="AU509" s="3"/>
    </row>
    <row r="510" spans="2:47" ht="14.25" customHeight="1" x14ac:dyDescent="0.3">
      <c r="B510" s="3"/>
      <c r="Q510" s="1"/>
      <c r="R510" s="1"/>
      <c r="S510" s="2"/>
      <c r="T510" s="2">
        <v>396</v>
      </c>
      <c r="U510" s="48" t="s">
        <v>91</v>
      </c>
      <c r="V510" s="2"/>
      <c r="W510" s="2"/>
      <c r="X510" s="2"/>
      <c r="Y510" s="3"/>
      <c r="Z510" s="3"/>
      <c r="AA510" s="3"/>
      <c r="AB510" s="3"/>
      <c r="AC510" s="3"/>
      <c r="AD510" s="3"/>
      <c r="AE510" s="3"/>
      <c r="AF510" s="3"/>
      <c r="AG510" s="3"/>
      <c r="AH510" s="3"/>
      <c r="AI510" s="3"/>
      <c r="AJ510" s="3"/>
      <c r="AK510" s="3"/>
      <c r="AL510" s="3"/>
      <c r="AM510" s="3"/>
      <c r="AN510" s="3"/>
      <c r="AO510" s="3"/>
      <c r="AP510" s="3"/>
      <c r="AQ510" s="3"/>
      <c r="AR510" s="3"/>
      <c r="AS510" s="3"/>
      <c r="AT510" s="3"/>
      <c r="AU510" s="3"/>
    </row>
    <row r="511" spans="2:47" ht="14.25" customHeight="1" x14ac:dyDescent="0.3">
      <c r="B511" s="3"/>
      <c r="Q511" s="1"/>
      <c r="R511" s="1"/>
      <c r="S511" s="2"/>
      <c r="T511" s="2">
        <v>397</v>
      </c>
      <c r="U511" s="48" t="s">
        <v>91</v>
      </c>
      <c r="V511" s="2"/>
      <c r="W511" s="2"/>
      <c r="X511" s="2"/>
      <c r="Y511" s="3"/>
      <c r="Z511" s="3"/>
      <c r="AA511" s="3"/>
      <c r="AB511" s="3"/>
      <c r="AC511" s="3"/>
      <c r="AD511" s="3"/>
      <c r="AE511" s="3"/>
      <c r="AF511" s="3"/>
      <c r="AG511" s="3"/>
      <c r="AH511" s="3"/>
      <c r="AI511" s="3"/>
      <c r="AJ511" s="3"/>
      <c r="AK511" s="3"/>
      <c r="AL511" s="3"/>
      <c r="AM511" s="3"/>
      <c r="AN511" s="3"/>
      <c r="AO511" s="3"/>
      <c r="AP511" s="3"/>
      <c r="AQ511" s="3"/>
      <c r="AR511" s="3"/>
      <c r="AS511" s="3"/>
      <c r="AT511" s="3"/>
      <c r="AU511" s="3"/>
    </row>
    <row r="512" spans="2:47" ht="14.25" customHeight="1" x14ac:dyDescent="0.3">
      <c r="B512" s="3"/>
      <c r="Q512" s="1"/>
      <c r="R512" s="1"/>
      <c r="S512" s="2"/>
      <c r="T512" s="2">
        <v>398</v>
      </c>
      <c r="U512" s="48" t="s">
        <v>91</v>
      </c>
      <c r="V512" s="2"/>
      <c r="W512" s="2"/>
      <c r="X512" s="2"/>
      <c r="Y512" s="3"/>
      <c r="Z512" s="3"/>
      <c r="AA512" s="3"/>
      <c r="AB512" s="3"/>
      <c r="AC512" s="3"/>
      <c r="AD512" s="3"/>
      <c r="AE512" s="3"/>
      <c r="AF512" s="3"/>
      <c r="AG512" s="3"/>
      <c r="AH512" s="3"/>
      <c r="AI512" s="3"/>
      <c r="AJ512" s="3"/>
      <c r="AK512" s="3"/>
      <c r="AL512" s="3"/>
      <c r="AM512" s="3"/>
      <c r="AN512" s="3"/>
      <c r="AO512" s="3"/>
      <c r="AP512" s="3"/>
      <c r="AQ512" s="3"/>
      <c r="AR512" s="3"/>
      <c r="AS512" s="3"/>
      <c r="AT512" s="3"/>
      <c r="AU512" s="3"/>
    </row>
    <row r="513" spans="2:47" ht="14.25" customHeight="1" x14ac:dyDescent="0.3">
      <c r="B513" s="3"/>
      <c r="Q513" s="1"/>
      <c r="R513" s="1"/>
      <c r="S513" s="2"/>
      <c r="T513" s="2">
        <v>399</v>
      </c>
      <c r="U513" s="48" t="s">
        <v>91</v>
      </c>
      <c r="V513" s="2"/>
      <c r="W513" s="2"/>
      <c r="X513" s="2"/>
      <c r="Y513" s="3"/>
      <c r="Z513" s="3"/>
      <c r="AA513" s="3"/>
      <c r="AB513" s="3"/>
      <c r="AC513" s="3"/>
      <c r="AD513" s="3"/>
      <c r="AE513" s="3"/>
      <c r="AF513" s="3"/>
      <c r="AG513" s="3"/>
      <c r="AH513" s="3"/>
      <c r="AI513" s="3"/>
      <c r="AJ513" s="3"/>
      <c r="AK513" s="3"/>
      <c r="AL513" s="3"/>
      <c r="AM513" s="3"/>
      <c r="AN513" s="3"/>
      <c r="AO513" s="3"/>
      <c r="AP513" s="3"/>
      <c r="AQ513" s="3"/>
      <c r="AR513" s="3"/>
      <c r="AS513" s="3"/>
      <c r="AT513" s="3"/>
      <c r="AU513" s="3"/>
    </row>
    <row r="514" spans="2:47" ht="14.25" customHeight="1" x14ac:dyDescent="0.3">
      <c r="B514" s="3"/>
      <c r="Q514" s="1"/>
      <c r="R514" s="1"/>
      <c r="S514" s="2"/>
      <c r="T514" s="2">
        <v>400</v>
      </c>
      <c r="U514" s="48" t="s">
        <v>91</v>
      </c>
      <c r="V514" s="2"/>
      <c r="W514" s="2"/>
      <c r="X514" s="2"/>
      <c r="Y514" s="3"/>
      <c r="Z514" s="3"/>
      <c r="AA514" s="3"/>
      <c r="AB514" s="3"/>
      <c r="AC514" s="3"/>
      <c r="AD514" s="3"/>
      <c r="AE514" s="3"/>
      <c r="AF514" s="3"/>
      <c r="AG514" s="3"/>
      <c r="AH514" s="3"/>
      <c r="AI514" s="3"/>
      <c r="AJ514" s="3"/>
      <c r="AK514" s="3"/>
      <c r="AL514" s="3"/>
      <c r="AM514" s="3"/>
      <c r="AN514" s="3"/>
      <c r="AO514" s="3"/>
      <c r="AP514" s="3"/>
      <c r="AQ514" s="3"/>
      <c r="AR514" s="3"/>
      <c r="AS514" s="3"/>
      <c r="AT514" s="3"/>
      <c r="AU514" s="3"/>
    </row>
    <row r="515" spans="2:47" ht="14.25" customHeight="1" x14ac:dyDescent="0.3">
      <c r="B515" s="3"/>
      <c r="Q515" s="1"/>
      <c r="R515" s="1"/>
      <c r="S515" s="2"/>
      <c r="T515" s="2">
        <v>401</v>
      </c>
      <c r="U515" s="48" t="s">
        <v>91</v>
      </c>
      <c r="V515" s="2"/>
      <c r="W515" s="2"/>
      <c r="X515" s="2"/>
      <c r="Y515" s="3"/>
      <c r="Z515" s="3"/>
      <c r="AA515" s="3"/>
      <c r="AB515" s="3"/>
      <c r="AC515" s="3"/>
      <c r="AD515" s="3"/>
      <c r="AE515" s="3"/>
      <c r="AF515" s="3"/>
      <c r="AG515" s="3"/>
      <c r="AH515" s="3"/>
      <c r="AI515" s="3"/>
      <c r="AJ515" s="3"/>
      <c r="AK515" s="3"/>
      <c r="AL515" s="3"/>
      <c r="AM515" s="3"/>
      <c r="AN515" s="3"/>
      <c r="AO515" s="3"/>
      <c r="AP515" s="3"/>
      <c r="AQ515" s="3"/>
      <c r="AR515" s="3"/>
      <c r="AS515" s="3"/>
      <c r="AT515" s="3"/>
      <c r="AU515" s="3"/>
    </row>
    <row r="516" spans="2:47" ht="14.25" customHeight="1" x14ac:dyDescent="0.3">
      <c r="B516" s="3"/>
      <c r="Q516" s="1"/>
      <c r="R516" s="1"/>
      <c r="S516" s="2"/>
      <c r="T516" s="2">
        <v>402</v>
      </c>
      <c r="U516" s="48" t="s">
        <v>91</v>
      </c>
      <c r="V516" s="2"/>
      <c r="W516" s="2"/>
      <c r="X516" s="2"/>
      <c r="Y516" s="3"/>
      <c r="Z516" s="3"/>
      <c r="AA516" s="3"/>
      <c r="AB516" s="3"/>
      <c r="AC516" s="3"/>
      <c r="AD516" s="3"/>
      <c r="AE516" s="3"/>
      <c r="AF516" s="3"/>
      <c r="AG516" s="3"/>
      <c r="AH516" s="3"/>
      <c r="AI516" s="3"/>
      <c r="AJ516" s="3"/>
      <c r="AK516" s="3"/>
      <c r="AL516" s="3"/>
      <c r="AM516" s="3"/>
      <c r="AN516" s="3"/>
      <c r="AO516" s="3"/>
      <c r="AP516" s="3"/>
      <c r="AQ516" s="3"/>
      <c r="AR516" s="3"/>
      <c r="AS516" s="3"/>
      <c r="AT516" s="3"/>
      <c r="AU516" s="3"/>
    </row>
    <row r="517" spans="2:47" ht="14.25" customHeight="1" x14ac:dyDescent="0.3">
      <c r="B517" s="3"/>
      <c r="Q517" s="1"/>
      <c r="R517" s="1"/>
      <c r="S517" s="2"/>
      <c r="T517" s="2">
        <v>403</v>
      </c>
      <c r="U517" s="48" t="s">
        <v>91</v>
      </c>
      <c r="V517" s="2"/>
      <c r="W517" s="2"/>
      <c r="X517" s="2"/>
      <c r="Y517" s="3"/>
      <c r="Z517" s="3"/>
      <c r="AA517" s="3"/>
      <c r="AB517" s="3"/>
      <c r="AC517" s="3"/>
      <c r="AD517" s="3"/>
      <c r="AE517" s="3"/>
      <c r="AF517" s="3"/>
      <c r="AG517" s="3"/>
      <c r="AH517" s="3"/>
      <c r="AI517" s="3"/>
      <c r="AJ517" s="3"/>
      <c r="AK517" s="3"/>
      <c r="AL517" s="3"/>
      <c r="AM517" s="3"/>
      <c r="AN517" s="3"/>
      <c r="AO517" s="3"/>
      <c r="AP517" s="3"/>
      <c r="AQ517" s="3"/>
      <c r="AR517" s="3"/>
      <c r="AS517" s="3"/>
      <c r="AT517" s="3"/>
      <c r="AU517" s="3"/>
    </row>
    <row r="518" spans="2:47" ht="14.25" customHeight="1" x14ac:dyDescent="0.3">
      <c r="B518" s="3"/>
      <c r="Q518" s="1"/>
      <c r="R518" s="1"/>
      <c r="S518" s="2"/>
      <c r="T518" s="2">
        <v>404</v>
      </c>
      <c r="U518" s="48" t="s">
        <v>91</v>
      </c>
      <c r="V518" s="2"/>
      <c r="W518" s="2"/>
      <c r="X518" s="2"/>
      <c r="Y518" s="3"/>
      <c r="Z518" s="3"/>
      <c r="AA518" s="3"/>
      <c r="AB518" s="3"/>
      <c r="AC518" s="3"/>
      <c r="AD518" s="3"/>
      <c r="AE518" s="3"/>
      <c r="AF518" s="3"/>
      <c r="AG518" s="3"/>
      <c r="AH518" s="3"/>
      <c r="AI518" s="3"/>
      <c r="AJ518" s="3"/>
      <c r="AK518" s="3"/>
      <c r="AL518" s="3"/>
      <c r="AM518" s="3"/>
      <c r="AN518" s="3"/>
      <c r="AO518" s="3"/>
      <c r="AP518" s="3"/>
      <c r="AQ518" s="3"/>
      <c r="AR518" s="3"/>
      <c r="AS518" s="3"/>
      <c r="AT518" s="3"/>
      <c r="AU518" s="3"/>
    </row>
    <row r="519" spans="2:47" ht="14.25" customHeight="1" x14ac:dyDescent="0.3">
      <c r="B519" s="3"/>
      <c r="Q519" s="1"/>
      <c r="R519" s="1"/>
      <c r="S519" s="2"/>
      <c r="T519" s="2">
        <v>405</v>
      </c>
      <c r="U519" s="48" t="s">
        <v>91</v>
      </c>
      <c r="V519" s="2"/>
      <c r="W519" s="2"/>
      <c r="X519" s="2"/>
      <c r="Y519" s="3"/>
      <c r="Z519" s="3"/>
      <c r="AA519" s="3"/>
      <c r="AB519" s="3"/>
      <c r="AC519" s="3"/>
      <c r="AD519" s="3"/>
      <c r="AE519" s="3"/>
      <c r="AF519" s="3"/>
      <c r="AG519" s="3"/>
      <c r="AH519" s="3"/>
      <c r="AI519" s="3"/>
      <c r="AJ519" s="3"/>
      <c r="AK519" s="3"/>
      <c r="AL519" s="3"/>
      <c r="AM519" s="3"/>
      <c r="AN519" s="3"/>
      <c r="AO519" s="3"/>
      <c r="AP519" s="3"/>
      <c r="AQ519" s="3"/>
      <c r="AR519" s="3"/>
      <c r="AS519" s="3"/>
      <c r="AT519" s="3"/>
      <c r="AU519" s="3"/>
    </row>
    <row r="520" spans="2:47" ht="14.25" customHeight="1" x14ac:dyDescent="0.3">
      <c r="B520" s="3"/>
      <c r="Q520" s="1"/>
      <c r="R520" s="1"/>
      <c r="S520" s="2"/>
      <c r="T520" s="2">
        <v>406</v>
      </c>
      <c r="U520" s="48" t="s">
        <v>91</v>
      </c>
      <c r="V520" s="2"/>
      <c r="W520" s="2"/>
      <c r="X520" s="2"/>
      <c r="Y520" s="3"/>
      <c r="Z520" s="3"/>
      <c r="AA520" s="3"/>
      <c r="AB520" s="3"/>
      <c r="AC520" s="3"/>
      <c r="AD520" s="3"/>
      <c r="AE520" s="3"/>
      <c r="AF520" s="3"/>
      <c r="AG520" s="3"/>
      <c r="AH520" s="3"/>
      <c r="AI520" s="3"/>
      <c r="AJ520" s="3"/>
      <c r="AK520" s="3"/>
      <c r="AL520" s="3"/>
      <c r="AM520" s="3"/>
      <c r="AN520" s="3"/>
      <c r="AO520" s="3"/>
      <c r="AP520" s="3"/>
      <c r="AQ520" s="3"/>
      <c r="AR520" s="3"/>
      <c r="AS520" s="3"/>
      <c r="AT520" s="3"/>
      <c r="AU520" s="3"/>
    </row>
    <row r="521" spans="2:47" ht="14.25" customHeight="1" x14ac:dyDescent="0.3">
      <c r="B521" s="3"/>
      <c r="Q521" s="1"/>
      <c r="R521" s="1"/>
      <c r="S521" s="2"/>
      <c r="T521" s="2">
        <v>407</v>
      </c>
      <c r="U521" s="48" t="s">
        <v>91</v>
      </c>
      <c r="V521" s="2"/>
      <c r="W521" s="2"/>
      <c r="X521" s="2"/>
      <c r="Y521" s="3"/>
      <c r="Z521" s="3"/>
      <c r="AA521" s="3"/>
      <c r="AB521" s="3"/>
      <c r="AC521" s="3"/>
      <c r="AD521" s="3"/>
      <c r="AE521" s="3"/>
      <c r="AF521" s="3"/>
      <c r="AG521" s="3"/>
      <c r="AH521" s="3"/>
      <c r="AI521" s="3"/>
      <c r="AJ521" s="3"/>
      <c r="AK521" s="3"/>
      <c r="AL521" s="3"/>
      <c r="AM521" s="3"/>
      <c r="AN521" s="3"/>
      <c r="AO521" s="3"/>
      <c r="AP521" s="3"/>
      <c r="AQ521" s="3"/>
      <c r="AR521" s="3"/>
      <c r="AS521" s="3"/>
      <c r="AT521" s="3"/>
      <c r="AU521" s="3"/>
    </row>
    <row r="522" spans="2:47" ht="14.25" customHeight="1" x14ac:dyDescent="0.3">
      <c r="B522" s="3"/>
      <c r="Q522" s="1"/>
      <c r="R522" s="1"/>
      <c r="S522" s="2"/>
      <c r="T522" s="2">
        <v>408</v>
      </c>
      <c r="U522" s="48" t="s">
        <v>91</v>
      </c>
      <c r="V522" s="2"/>
      <c r="W522" s="2"/>
      <c r="X522" s="2"/>
      <c r="Y522" s="3"/>
      <c r="Z522" s="3"/>
      <c r="AA522" s="3"/>
      <c r="AB522" s="3"/>
      <c r="AC522" s="3"/>
      <c r="AD522" s="3"/>
      <c r="AE522" s="3"/>
      <c r="AF522" s="3"/>
      <c r="AG522" s="3"/>
      <c r="AH522" s="3"/>
      <c r="AI522" s="3"/>
      <c r="AJ522" s="3"/>
      <c r="AK522" s="3"/>
      <c r="AL522" s="3"/>
      <c r="AM522" s="3"/>
      <c r="AN522" s="3"/>
      <c r="AO522" s="3"/>
      <c r="AP522" s="3"/>
      <c r="AQ522" s="3"/>
      <c r="AR522" s="3"/>
      <c r="AS522" s="3"/>
      <c r="AT522" s="3"/>
      <c r="AU522" s="3"/>
    </row>
    <row r="523" spans="2:47" ht="14.25" customHeight="1" x14ac:dyDescent="0.3">
      <c r="B523" s="3"/>
      <c r="Q523" s="1"/>
      <c r="R523" s="1"/>
      <c r="S523" s="2"/>
      <c r="T523" s="2">
        <v>409</v>
      </c>
      <c r="U523" s="48" t="s">
        <v>91</v>
      </c>
      <c r="V523" s="2"/>
      <c r="W523" s="2"/>
      <c r="X523" s="2"/>
      <c r="Y523" s="3"/>
      <c r="Z523" s="3"/>
      <c r="AA523" s="3"/>
      <c r="AB523" s="3"/>
      <c r="AC523" s="3"/>
      <c r="AD523" s="3"/>
      <c r="AE523" s="3"/>
      <c r="AF523" s="3"/>
      <c r="AG523" s="3"/>
      <c r="AH523" s="3"/>
      <c r="AI523" s="3"/>
      <c r="AJ523" s="3"/>
      <c r="AK523" s="3"/>
      <c r="AL523" s="3"/>
      <c r="AM523" s="3"/>
      <c r="AN523" s="3"/>
      <c r="AO523" s="3"/>
      <c r="AP523" s="3"/>
      <c r="AQ523" s="3"/>
      <c r="AR523" s="3"/>
      <c r="AS523" s="3"/>
      <c r="AT523" s="3"/>
      <c r="AU523" s="3"/>
    </row>
    <row r="524" spans="2:47" ht="14.25" customHeight="1" x14ac:dyDescent="0.3">
      <c r="B524" s="3"/>
      <c r="Q524" s="1"/>
      <c r="R524" s="1"/>
      <c r="S524" s="2"/>
      <c r="T524" s="2">
        <v>410</v>
      </c>
      <c r="U524" s="48" t="s">
        <v>91</v>
      </c>
      <c r="V524" s="2"/>
      <c r="W524" s="2"/>
      <c r="X524" s="2"/>
      <c r="Y524" s="3"/>
      <c r="Z524" s="3"/>
      <c r="AA524" s="3"/>
      <c r="AB524" s="3"/>
      <c r="AC524" s="3"/>
      <c r="AD524" s="3"/>
      <c r="AE524" s="3"/>
      <c r="AF524" s="3"/>
      <c r="AG524" s="3"/>
      <c r="AH524" s="3"/>
      <c r="AI524" s="3"/>
      <c r="AJ524" s="3"/>
      <c r="AK524" s="3"/>
      <c r="AL524" s="3"/>
      <c r="AM524" s="3"/>
      <c r="AN524" s="3"/>
      <c r="AO524" s="3"/>
      <c r="AP524" s="3"/>
      <c r="AQ524" s="3"/>
      <c r="AR524" s="3"/>
      <c r="AS524" s="3"/>
      <c r="AT524" s="3"/>
      <c r="AU524" s="3"/>
    </row>
    <row r="525" spans="2:47" ht="14.25" customHeight="1" x14ac:dyDescent="0.3">
      <c r="B525" s="3"/>
      <c r="Q525" s="1"/>
      <c r="R525" s="1"/>
      <c r="S525" s="2"/>
      <c r="T525" s="2">
        <v>411</v>
      </c>
      <c r="U525" s="48" t="s">
        <v>91</v>
      </c>
      <c r="V525" s="2"/>
      <c r="W525" s="2"/>
      <c r="X525" s="2"/>
      <c r="Y525" s="3"/>
      <c r="Z525" s="3"/>
      <c r="AA525" s="3"/>
      <c r="AB525" s="3"/>
      <c r="AC525" s="3"/>
      <c r="AD525" s="3"/>
      <c r="AE525" s="3"/>
      <c r="AF525" s="3"/>
      <c r="AG525" s="3"/>
      <c r="AH525" s="3"/>
      <c r="AI525" s="3"/>
      <c r="AJ525" s="3"/>
      <c r="AK525" s="3"/>
      <c r="AL525" s="3"/>
      <c r="AM525" s="3"/>
      <c r="AN525" s="3"/>
      <c r="AO525" s="3"/>
      <c r="AP525" s="3"/>
      <c r="AQ525" s="3"/>
      <c r="AR525" s="3"/>
      <c r="AS525" s="3"/>
      <c r="AT525" s="3"/>
      <c r="AU525" s="3"/>
    </row>
    <row r="526" spans="2:47" ht="14.25" customHeight="1" x14ac:dyDescent="0.3">
      <c r="B526" s="3"/>
      <c r="Q526" s="1"/>
      <c r="R526" s="1"/>
      <c r="S526" s="2"/>
      <c r="T526" s="2">
        <v>412</v>
      </c>
      <c r="U526" s="48" t="s">
        <v>91</v>
      </c>
      <c r="V526" s="2"/>
      <c r="W526" s="2"/>
      <c r="X526" s="2"/>
      <c r="Y526" s="3"/>
      <c r="Z526" s="3"/>
      <c r="AA526" s="3"/>
      <c r="AB526" s="3"/>
      <c r="AC526" s="3"/>
      <c r="AD526" s="3"/>
      <c r="AE526" s="3"/>
      <c r="AF526" s="3"/>
      <c r="AG526" s="3"/>
      <c r="AH526" s="3"/>
      <c r="AI526" s="3"/>
      <c r="AJ526" s="3"/>
      <c r="AK526" s="3"/>
      <c r="AL526" s="3"/>
      <c r="AM526" s="3"/>
      <c r="AN526" s="3"/>
      <c r="AO526" s="3"/>
      <c r="AP526" s="3"/>
      <c r="AQ526" s="3"/>
      <c r="AR526" s="3"/>
      <c r="AS526" s="3"/>
      <c r="AT526" s="3"/>
      <c r="AU526" s="3"/>
    </row>
    <row r="527" spans="2:47" ht="14.25" customHeight="1" x14ac:dyDescent="0.3">
      <c r="B527" s="3"/>
      <c r="Q527" s="1"/>
      <c r="R527" s="1"/>
      <c r="S527" s="2"/>
      <c r="T527" s="2">
        <v>413</v>
      </c>
      <c r="U527" s="48" t="s">
        <v>91</v>
      </c>
      <c r="V527" s="2"/>
      <c r="W527" s="2"/>
      <c r="X527" s="2"/>
      <c r="Y527" s="3"/>
      <c r="Z527" s="3"/>
      <c r="AA527" s="3"/>
      <c r="AB527" s="3"/>
      <c r="AC527" s="3"/>
      <c r="AD527" s="3"/>
      <c r="AE527" s="3"/>
      <c r="AF527" s="3"/>
      <c r="AG527" s="3"/>
      <c r="AH527" s="3"/>
      <c r="AI527" s="3"/>
      <c r="AJ527" s="3"/>
      <c r="AK527" s="3"/>
      <c r="AL527" s="3"/>
      <c r="AM527" s="3"/>
      <c r="AN527" s="3"/>
      <c r="AO527" s="3"/>
      <c r="AP527" s="3"/>
      <c r="AQ527" s="3"/>
      <c r="AR527" s="3"/>
      <c r="AS527" s="3"/>
      <c r="AT527" s="3"/>
      <c r="AU527" s="3"/>
    </row>
    <row r="528" spans="2:47" ht="14.25" customHeight="1" x14ac:dyDescent="0.3">
      <c r="B528" s="3"/>
      <c r="Q528" s="1"/>
      <c r="R528" s="1"/>
      <c r="S528" s="2"/>
      <c r="T528" s="2">
        <v>414</v>
      </c>
      <c r="U528" s="48" t="s">
        <v>91</v>
      </c>
      <c r="V528" s="2"/>
      <c r="W528" s="2"/>
      <c r="X528" s="2"/>
      <c r="Y528" s="3"/>
      <c r="Z528" s="3"/>
      <c r="AA528" s="3"/>
      <c r="AB528" s="3"/>
      <c r="AC528" s="3"/>
      <c r="AD528" s="3"/>
      <c r="AE528" s="3"/>
      <c r="AF528" s="3"/>
      <c r="AG528" s="3"/>
      <c r="AH528" s="3"/>
      <c r="AI528" s="3"/>
      <c r="AJ528" s="3"/>
      <c r="AK528" s="3"/>
      <c r="AL528" s="3"/>
      <c r="AM528" s="3"/>
      <c r="AN528" s="3"/>
      <c r="AO528" s="3"/>
      <c r="AP528" s="3"/>
      <c r="AQ528" s="3"/>
      <c r="AR528" s="3"/>
      <c r="AS528" s="3"/>
      <c r="AT528" s="3"/>
      <c r="AU528" s="3"/>
    </row>
    <row r="529" spans="2:47" ht="14.25" customHeight="1" x14ac:dyDescent="0.3">
      <c r="B529" s="3"/>
      <c r="Q529" s="1"/>
      <c r="R529" s="1"/>
      <c r="S529" s="2"/>
      <c r="T529" s="2">
        <v>415</v>
      </c>
      <c r="U529" s="48" t="s">
        <v>91</v>
      </c>
      <c r="V529" s="2"/>
      <c r="W529" s="2"/>
      <c r="X529" s="2"/>
      <c r="Y529" s="3"/>
      <c r="Z529" s="3"/>
      <c r="AA529" s="3"/>
      <c r="AB529" s="3"/>
      <c r="AC529" s="3"/>
      <c r="AD529" s="3"/>
      <c r="AE529" s="3"/>
      <c r="AF529" s="3"/>
      <c r="AG529" s="3"/>
      <c r="AH529" s="3"/>
      <c r="AI529" s="3"/>
      <c r="AJ529" s="3"/>
      <c r="AK529" s="3"/>
      <c r="AL529" s="3"/>
      <c r="AM529" s="3"/>
      <c r="AN529" s="3"/>
      <c r="AO529" s="3"/>
      <c r="AP529" s="3"/>
      <c r="AQ529" s="3"/>
      <c r="AR529" s="3"/>
      <c r="AS529" s="3"/>
      <c r="AT529" s="3"/>
      <c r="AU529" s="3"/>
    </row>
    <row r="530" spans="2:47" ht="14.25" customHeight="1" x14ac:dyDescent="0.3">
      <c r="B530" s="3"/>
      <c r="Q530" s="1"/>
      <c r="R530" s="1"/>
      <c r="S530" s="2"/>
      <c r="T530" s="2">
        <v>416</v>
      </c>
      <c r="U530" s="48" t="s">
        <v>91</v>
      </c>
      <c r="V530" s="2"/>
      <c r="W530" s="2"/>
      <c r="X530" s="2"/>
      <c r="Y530" s="3"/>
      <c r="Z530" s="3"/>
      <c r="AA530" s="3"/>
      <c r="AB530" s="3"/>
      <c r="AC530" s="3"/>
      <c r="AD530" s="3"/>
      <c r="AE530" s="3"/>
      <c r="AF530" s="3"/>
      <c r="AG530" s="3"/>
      <c r="AH530" s="3"/>
      <c r="AI530" s="3"/>
      <c r="AJ530" s="3"/>
      <c r="AK530" s="3"/>
      <c r="AL530" s="3"/>
      <c r="AM530" s="3"/>
      <c r="AN530" s="3"/>
      <c r="AO530" s="3"/>
      <c r="AP530" s="3"/>
      <c r="AQ530" s="3"/>
      <c r="AR530" s="3"/>
      <c r="AS530" s="3"/>
      <c r="AT530" s="3"/>
      <c r="AU530" s="3"/>
    </row>
    <row r="531" spans="2:47" ht="14.25" customHeight="1" x14ac:dyDescent="0.3">
      <c r="B531" s="3"/>
      <c r="Q531" s="1"/>
      <c r="R531" s="1"/>
      <c r="S531" s="2"/>
      <c r="T531" s="2">
        <v>417</v>
      </c>
      <c r="U531" s="48" t="s">
        <v>91</v>
      </c>
      <c r="V531" s="2"/>
      <c r="W531" s="2"/>
      <c r="X531" s="2"/>
      <c r="Y531" s="3"/>
      <c r="Z531" s="3"/>
      <c r="AA531" s="3"/>
      <c r="AB531" s="3"/>
      <c r="AC531" s="3"/>
      <c r="AD531" s="3"/>
      <c r="AE531" s="3"/>
      <c r="AF531" s="3"/>
      <c r="AG531" s="3"/>
      <c r="AH531" s="3"/>
      <c r="AI531" s="3"/>
      <c r="AJ531" s="3"/>
      <c r="AK531" s="3"/>
      <c r="AL531" s="3"/>
      <c r="AM531" s="3"/>
      <c r="AN531" s="3"/>
      <c r="AO531" s="3"/>
      <c r="AP531" s="3"/>
      <c r="AQ531" s="3"/>
      <c r="AR531" s="3"/>
      <c r="AS531" s="3"/>
      <c r="AT531" s="3"/>
      <c r="AU531" s="3"/>
    </row>
    <row r="532" spans="2:47" ht="14.25" customHeight="1" x14ac:dyDescent="0.3">
      <c r="B532" s="3"/>
      <c r="Q532" s="1"/>
      <c r="R532" s="1"/>
      <c r="S532" s="2"/>
      <c r="T532" s="2">
        <v>418</v>
      </c>
      <c r="U532" s="48" t="s">
        <v>91</v>
      </c>
      <c r="V532" s="2"/>
      <c r="W532" s="2"/>
      <c r="X532" s="2"/>
      <c r="Y532" s="3"/>
      <c r="Z532" s="3"/>
      <c r="AA532" s="3"/>
      <c r="AB532" s="3"/>
      <c r="AC532" s="3"/>
      <c r="AD532" s="3"/>
      <c r="AE532" s="3"/>
      <c r="AF532" s="3"/>
      <c r="AG532" s="3"/>
      <c r="AH532" s="3"/>
      <c r="AI532" s="3"/>
      <c r="AJ532" s="3"/>
      <c r="AK532" s="3"/>
      <c r="AL532" s="3"/>
      <c r="AM532" s="3"/>
      <c r="AN532" s="3"/>
      <c r="AO532" s="3"/>
      <c r="AP532" s="3"/>
      <c r="AQ532" s="3"/>
      <c r="AR532" s="3"/>
      <c r="AS532" s="3"/>
      <c r="AT532" s="3"/>
      <c r="AU532" s="3"/>
    </row>
    <row r="533" spans="2:47" ht="14.25" customHeight="1" x14ac:dyDescent="0.3">
      <c r="B533" s="3"/>
      <c r="Q533" s="1"/>
      <c r="R533" s="1"/>
      <c r="S533" s="2"/>
      <c r="T533" s="2">
        <v>419</v>
      </c>
      <c r="U533" s="48" t="s">
        <v>91</v>
      </c>
      <c r="V533" s="2"/>
      <c r="W533" s="2"/>
      <c r="X533" s="2"/>
      <c r="Y533" s="3"/>
      <c r="Z533" s="3"/>
      <c r="AA533" s="3"/>
      <c r="AB533" s="3"/>
      <c r="AC533" s="3"/>
      <c r="AD533" s="3"/>
      <c r="AE533" s="3"/>
      <c r="AF533" s="3"/>
      <c r="AG533" s="3"/>
      <c r="AH533" s="3"/>
      <c r="AI533" s="3"/>
      <c r="AJ533" s="3"/>
      <c r="AK533" s="3"/>
      <c r="AL533" s="3"/>
      <c r="AM533" s="3"/>
      <c r="AN533" s="3"/>
      <c r="AO533" s="3"/>
      <c r="AP533" s="3"/>
      <c r="AQ533" s="3"/>
      <c r="AR533" s="3"/>
      <c r="AS533" s="3"/>
      <c r="AT533" s="3"/>
      <c r="AU533" s="3"/>
    </row>
    <row r="534" spans="2:47" ht="14.25" customHeight="1" x14ac:dyDescent="0.3">
      <c r="B534" s="3"/>
      <c r="Q534" s="1"/>
      <c r="R534" s="1"/>
      <c r="S534" s="2"/>
      <c r="T534" s="2">
        <v>420</v>
      </c>
      <c r="U534" s="48" t="s">
        <v>91</v>
      </c>
      <c r="V534" s="2"/>
      <c r="W534" s="2"/>
      <c r="X534" s="2"/>
      <c r="Y534" s="3"/>
      <c r="Z534" s="3"/>
      <c r="AA534" s="3"/>
      <c r="AB534" s="3"/>
      <c r="AC534" s="3"/>
      <c r="AD534" s="3"/>
      <c r="AE534" s="3"/>
      <c r="AF534" s="3"/>
      <c r="AG534" s="3"/>
      <c r="AH534" s="3"/>
      <c r="AI534" s="3"/>
      <c r="AJ534" s="3"/>
      <c r="AK534" s="3"/>
      <c r="AL534" s="3"/>
      <c r="AM534" s="3"/>
      <c r="AN534" s="3"/>
      <c r="AO534" s="3"/>
      <c r="AP534" s="3"/>
      <c r="AQ534" s="3"/>
      <c r="AR534" s="3"/>
      <c r="AS534" s="3"/>
      <c r="AT534" s="3"/>
      <c r="AU534" s="3"/>
    </row>
    <row r="535" spans="2:47" ht="14.25" customHeight="1" x14ac:dyDescent="0.3">
      <c r="B535" s="3"/>
      <c r="Q535" s="1"/>
      <c r="R535" s="1"/>
      <c r="S535" s="2"/>
      <c r="T535" s="2">
        <v>421</v>
      </c>
      <c r="U535" s="48" t="s">
        <v>91</v>
      </c>
      <c r="V535" s="2"/>
      <c r="W535" s="2"/>
      <c r="X535" s="2"/>
      <c r="Y535" s="3"/>
      <c r="Z535" s="3"/>
      <c r="AA535" s="3"/>
      <c r="AB535" s="3"/>
      <c r="AC535" s="3"/>
      <c r="AD535" s="3"/>
      <c r="AE535" s="3"/>
      <c r="AF535" s="3"/>
      <c r="AG535" s="3"/>
      <c r="AH535" s="3"/>
      <c r="AI535" s="3"/>
      <c r="AJ535" s="3"/>
      <c r="AK535" s="3"/>
      <c r="AL535" s="3"/>
      <c r="AM535" s="3"/>
      <c r="AN535" s="3"/>
      <c r="AO535" s="3"/>
      <c r="AP535" s="3"/>
      <c r="AQ535" s="3"/>
      <c r="AR535" s="3"/>
      <c r="AS535" s="3"/>
      <c r="AT535" s="3"/>
      <c r="AU535" s="3"/>
    </row>
    <row r="536" spans="2:47" ht="14.25" customHeight="1" x14ac:dyDescent="0.3">
      <c r="B536" s="3"/>
      <c r="Q536" s="1"/>
      <c r="R536" s="1"/>
      <c r="S536" s="2"/>
      <c r="T536" s="2">
        <v>422</v>
      </c>
      <c r="U536" s="48" t="s">
        <v>91</v>
      </c>
      <c r="V536" s="2"/>
      <c r="W536" s="2"/>
      <c r="X536" s="2"/>
      <c r="Y536" s="3"/>
      <c r="Z536" s="3"/>
      <c r="AA536" s="3"/>
      <c r="AB536" s="3"/>
      <c r="AC536" s="3"/>
      <c r="AD536" s="3"/>
      <c r="AE536" s="3"/>
      <c r="AF536" s="3"/>
      <c r="AG536" s="3"/>
      <c r="AH536" s="3"/>
      <c r="AI536" s="3"/>
      <c r="AJ536" s="3"/>
      <c r="AK536" s="3"/>
      <c r="AL536" s="3"/>
      <c r="AM536" s="3"/>
      <c r="AN536" s="3"/>
      <c r="AO536" s="3"/>
      <c r="AP536" s="3"/>
      <c r="AQ536" s="3"/>
      <c r="AR536" s="3"/>
      <c r="AS536" s="3"/>
      <c r="AT536" s="3"/>
      <c r="AU536" s="3"/>
    </row>
    <row r="537" spans="2:47" ht="14.25" customHeight="1" x14ac:dyDescent="0.3">
      <c r="B537" s="3"/>
      <c r="Q537" s="1"/>
      <c r="R537" s="1"/>
      <c r="S537" s="2"/>
      <c r="T537" s="2">
        <v>423</v>
      </c>
      <c r="U537" s="48" t="s">
        <v>91</v>
      </c>
      <c r="V537" s="2"/>
      <c r="W537" s="2"/>
      <c r="X537" s="2"/>
      <c r="Y537" s="3"/>
      <c r="Z537" s="3"/>
      <c r="AA537" s="3"/>
      <c r="AB537" s="3"/>
      <c r="AC537" s="3"/>
      <c r="AD537" s="3"/>
      <c r="AE537" s="3"/>
      <c r="AF537" s="3"/>
      <c r="AG537" s="3"/>
      <c r="AH537" s="3"/>
      <c r="AI537" s="3"/>
      <c r="AJ537" s="3"/>
      <c r="AK537" s="3"/>
      <c r="AL537" s="3"/>
      <c r="AM537" s="3"/>
      <c r="AN537" s="3"/>
      <c r="AO537" s="3"/>
      <c r="AP537" s="3"/>
      <c r="AQ537" s="3"/>
      <c r="AR537" s="3"/>
      <c r="AS537" s="3"/>
      <c r="AT537" s="3"/>
      <c r="AU537" s="3"/>
    </row>
    <row r="538" spans="2:47" ht="14.25" customHeight="1" x14ac:dyDescent="0.3">
      <c r="B538" s="3"/>
      <c r="Q538" s="1"/>
      <c r="R538" s="1"/>
      <c r="S538" s="2"/>
      <c r="T538" s="2">
        <v>424</v>
      </c>
      <c r="U538" s="48" t="s">
        <v>91</v>
      </c>
      <c r="V538" s="2"/>
      <c r="W538" s="2"/>
      <c r="X538" s="2"/>
      <c r="Y538" s="3"/>
      <c r="Z538" s="3"/>
      <c r="AA538" s="3"/>
      <c r="AB538" s="3"/>
      <c r="AC538" s="3"/>
      <c r="AD538" s="3"/>
      <c r="AE538" s="3"/>
      <c r="AF538" s="3"/>
      <c r="AG538" s="3"/>
      <c r="AH538" s="3"/>
      <c r="AI538" s="3"/>
      <c r="AJ538" s="3"/>
      <c r="AK538" s="3"/>
      <c r="AL538" s="3"/>
      <c r="AM538" s="3"/>
      <c r="AN538" s="3"/>
      <c r="AO538" s="3"/>
      <c r="AP538" s="3"/>
      <c r="AQ538" s="3"/>
      <c r="AR538" s="3"/>
      <c r="AS538" s="3"/>
      <c r="AT538" s="3"/>
      <c r="AU538" s="3"/>
    </row>
    <row r="539" spans="2:47" ht="14.25" customHeight="1" x14ac:dyDescent="0.3">
      <c r="B539" s="3"/>
      <c r="Q539" s="1"/>
      <c r="R539" s="1"/>
      <c r="S539" s="2"/>
      <c r="T539" s="2">
        <v>425</v>
      </c>
      <c r="U539" s="48" t="s">
        <v>91</v>
      </c>
      <c r="V539" s="2"/>
      <c r="W539" s="2"/>
      <c r="X539" s="2"/>
      <c r="Y539" s="3"/>
      <c r="Z539" s="3"/>
      <c r="AA539" s="3"/>
      <c r="AB539" s="3"/>
      <c r="AC539" s="3"/>
      <c r="AD539" s="3"/>
      <c r="AE539" s="3"/>
      <c r="AF539" s="3"/>
      <c r="AG539" s="3"/>
      <c r="AH539" s="3"/>
      <c r="AI539" s="3"/>
      <c r="AJ539" s="3"/>
      <c r="AK539" s="3"/>
      <c r="AL539" s="3"/>
      <c r="AM539" s="3"/>
      <c r="AN539" s="3"/>
      <c r="AO539" s="3"/>
      <c r="AP539" s="3"/>
      <c r="AQ539" s="3"/>
      <c r="AR539" s="3"/>
      <c r="AS539" s="3"/>
      <c r="AT539" s="3"/>
      <c r="AU539" s="3"/>
    </row>
    <row r="540" spans="2:47" ht="14.25" customHeight="1" x14ac:dyDescent="0.3">
      <c r="B540" s="3"/>
      <c r="Q540" s="1"/>
      <c r="R540" s="1"/>
      <c r="S540" s="2"/>
      <c r="T540" s="2">
        <v>426</v>
      </c>
      <c r="U540" s="48" t="s">
        <v>91</v>
      </c>
      <c r="V540" s="2"/>
      <c r="W540" s="2"/>
      <c r="X540" s="2"/>
      <c r="Y540" s="3"/>
      <c r="Z540" s="3"/>
      <c r="AA540" s="3"/>
      <c r="AB540" s="3"/>
      <c r="AC540" s="3"/>
      <c r="AD540" s="3"/>
      <c r="AE540" s="3"/>
      <c r="AF540" s="3"/>
      <c r="AG540" s="3"/>
      <c r="AH540" s="3"/>
      <c r="AI540" s="3"/>
      <c r="AJ540" s="3"/>
      <c r="AK540" s="3"/>
      <c r="AL540" s="3"/>
      <c r="AM540" s="3"/>
      <c r="AN540" s="3"/>
      <c r="AO540" s="3"/>
      <c r="AP540" s="3"/>
      <c r="AQ540" s="3"/>
      <c r="AR540" s="3"/>
      <c r="AS540" s="3"/>
      <c r="AT540" s="3"/>
      <c r="AU540" s="3"/>
    </row>
    <row r="541" spans="2:47" ht="14.25" customHeight="1" x14ac:dyDescent="0.3">
      <c r="B541" s="3"/>
      <c r="Q541" s="1"/>
      <c r="R541" s="1"/>
      <c r="S541" s="2"/>
      <c r="T541" s="2">
        <v>427</v>
      </c>
      <c r="U541" s="48" t="s">
        <v>91</v>
      </c>
      <c r="V541" s="2"/>
      <c r="W541" s="2"/>
      <c r="X541" s="2"/>
      <c r="Y541" s="3"/>
      <c r="Z541" s="3"/>
      <c r="AA541" s="3"/>
      <c r="AB541" s="3"/>
      <c r="AC541" s="3"/>
      <c r="AD541" s="3"/>
      <c r="AE541" s="3"/>
      <c r="AF541" s="3"/>
      <c r="AG541" s="3"/>
      <c r="AH541" s="3"/>
      <c r="AI541" s="3"/>
      <c r="AJ541" s="3"/>
      <c r="AK541" s="3"/>
      <c r="AL541" s="3"/>
      <c r="AM541" s="3"/>
      <c r="AN541" s="3"/>
      <c r="AO541" s="3"/>
      <c r="AP541" s="3"/>
      <c r="AQ541" s="3"/>
      <c r="AR541" s="3"/>
      <c r="AS541" s="3"/>
      <c r="AT541" s="3"/>
      <c r="AU541" s="3"/>
    </row>
    <row r="542" spans="2:47" ht="14.25" customHeight="1" x14ac:dyDescent="0.3">
      <c r="B542" s="3"/>
      <c r="Q542" s="1"/>
      <c r="R542" s="1"/>
      <c r="S542" s="2"/>
      <c r="T542" s="2">
        <v>428</v>
      </c>
      <c r="U542" s="48" t="s">
        <v>91</v>
      </c>
      <c r="V542" s="2"/>
      <c r="W542" s="2"/>
      <c r="X542" s="2"/>
      <c r="Y542" s="3"/>
      <c r="Z542" s="3"/>
      <c r="AA542" s="3"/>
      <c r="AB542" s="3"/>
      <c r="AC542" s="3"/>
      <c r="AD542" s="3"/>
      <c r="AE542" s="3"/>
      <c r="AF542" s="3"/>
      <c r="AG542" s="3"/>
      <c r="AH542" s="3"/>
      <c r="AI542" s="3"/>
      <c r="AJ542" s="3"/>
      <c r="AK542" s="3"/>
      <c r="AL542" s="3"/>
      <c r="AM542" s="3"/>
      <c r="AN542" s="3"/>
      <c r="AO542" s="3"/>
      <c r="AP542" s="3"/>
      <c r="AQ542" s="3"/>
      <c r="AR542" s="3"/>
      <c r="AS542" s="3"/>
      <c r="AT542" s="3"/>
      <c r="AU542" s="3"/>
    </row>
    <row r="543" spans="2:47" ht="14.25" customHeight="1" x14ac:dyDescent="0.3">
      <c r="B543" s="3"/>
      <c r="Q543" s="1"/>
      <c r="R543" s="1"/>
      <c r="S543" s="2"/>
      <c r="T543" s="2">
        <v>429</v>
      </c>
      <c r="U543" s="48" t="s">
        <v>91</v>
      </c>
      <c r="V543" s="2"/>
      <c r="W543" s="2"/>
      <c r="X543" s="2"/>
      <c r="Y543" s="3"/>
      <c r="Z543" s="3"/>
      <c r="AA543" s="3"/>
      <c r="AB543" s="3"/>
      <c r="AC543" s="3"/>
      <c r="AD543" s="3"/>
      <c r="AE543" s="3"/>
      <c r="AF543" s="3"/>
      <c r="AG543" s="3"/>
      <c r="AH543" s="3"/>
      <c r="AI543" s="3"/>
      <c r="AJ543" s="3"/>
      <c r="AK543" s="3"/>
      <c r="AL543" s="3"/>
      <c r="AM543" s="3"/>
      <c r="AN543" s="3"/>
      <c r="AO543" s="3"/>
      <c r="AP543" s="3"/>
      <c r="AQ543" s="3"/>
      <c r="AR543" s="3"/>
      <c r="AS543" s="3"/>
      <c r="AT543" s="3"/>
      <c r="AU543" s="3"/>
    </row>
    <row r="544" spans="2:47" ht="14.25" customHeight="1" x14ac:dyDescent="0.3">
      <c r="B544" s="3"/>
      <c r="Q544" s="1"/>
      <c r="R544" s="1"/>
      <c r="S544" s="2"/>
      <c r="T544" s="2">
        <v>430</v>
      </c>
      <c r="U544" s="48" t="s">
        <v>91</v>
      </c>
      <c r="V544" s="2"/>
      <c r="W544" s="2"/>
      <c r="X544" s="2"/>
      <c r="Y544" s="3"/>
      <c r="Z544" s="3"/>
      <c r="AA544" s="3"/>
      <c r="AB544" s="3"/>
      <c r="AC544" s="3"/>
      <c r="AD544" s="3"/>
      <c r="AE544" s="3"/>
      <c r="AF544" s="3"/>
      <c r="AG544" s="3"/>
      <c r="AH544" s="3"/>
      <c r="AI544" s="3"/>
      <c r="AJ544" s="3"/>
      <c r="AK544" s="3"/>
      <c r="AL544" s="3"/>
      <c r="AM544" s="3"/>
      <c r="AN544" s="3"/>
      <c r="AO544" s="3"/>
      <c r="AP544" s="3"/>
      <c r="AQ544" s="3"/>
      <c r="AR544" s="3"/>
      <c r="AS544" s="3"/>
      <c r="AT544" s="3"/>
      <c r="AU544" s="3"/>
    </row>
    <row r="545" spans="2:47" ht="14.25" customHeight="1" x14ac:dyDescent="0.3">
      <c r="B545" s="3"/>
      <c r="Q545" s="1"/>
      <c r="R545" s="1"/>
      <c r="S545" s="2"/>
      <c r="T545" s="2">
        <v>431</v>
      </c>
      <c r="U545" s="48" t="s">
        <v>91</v>
      </c>
      <c r="V545" s="2"/>
      <c r="W545" s="2"/>
      <c r="X545" s="2"/>
      <c r="Y545" s="3"/>
      <c r="Z545" s="3"/>
      <c r="AA545" s="3"/>
      <c r="AB545" s="3"/>
      <c r="AC545" s="3"/>
      <c r="AD545" s="3"/>
      <c r="AE545" s="3"/>
      <c r="AF545" s="3"/>
      <c r="AG545" s="3"/>
      <c r="AH545" s="3"/>
      <c r="AI545" s="3"/>
      <c r="AJ545" s="3"/>
      <c r="AK545" s="3"/>
      <c r="AL545" s="3"/>
      <c r="AM545" s="3"/>
      <c r="AN545" s="3"/>
      <c r="AO545" s="3"/>
      <c r="AP545" s="3"/>
      <c r="AQ545" s="3"/>
      <c r="AR545" s="3"/>
      <c r="AS545" s="3"/>
      <c r="AT545" s="3"/>
      <c r="AU545" s="3"/>
    </row>
    <row r="546" spans="2:47" ht="14.25" customHeight="1" x14ac:dyDescent="0.3">
      <c r="B546" s="3"/>
      <c r="Q546" s="1"/>
      <c r="R546" s="1"/>
      <c r="S546" s="2"/>
      <c r="T546" s="2">
        <v>432</v>
      </c>
      <c r="U546" s="48" t="s">
        <v>91</v>
      </c>
      <c r="V546" s="2"/>
      <c r="W546" s="2"/>
      <c r="X546" s="2"/>
      <c r="Y546" s="3"/>
      <c r="Z546" s="3"/>
      <c r="AA546" s="3"/>
      <c r="AB546" s="3"/>
      <c r="AC546" s="3"/>
      <c r="AD546" s="3"/>
      <c r="AE546" s="3"/>
      <c r="AF546" s="3"/>
      <c r="AG546" s="3"/>
      <c r="AH546" s="3"/>
      <c r="AI546" s="3"/>
      <c r="AJ546" s="3"/>
      <c r="AK546" s="3"/>
      <c r="AL546" s="3"/>
      <c r="AM546" s="3"/>
      <c r="AN546" s="3"/>
      <c r="AO546" s="3"/>
      <c r="AP546" s="3"/>
      <c r="AQ546" s="3"/>
      <c r="AR546" s="3"/>
      <c r="AS546" s="3"/>
      <c r="AT546" s="3"/>
      <c r="AU546" s="3"/>
    </row>
    <row r="547" spans="2:47" ht="14.25" customHeight="1" x14ac:dyDescent="0.3">
      <c r="B547" s="3"/>
      <c r="Q547" s="1"/>
      <c r="R547" s="1"/>
      <c r="S547" s="2"/>
      <c r="T547" s="2">
        <v>433</v>
      </c>
      <c r="U547" s="48" t="s">
        <v>91</v>
      </c>
      <c r="V547" s="2"/>
      <c r="W547" s="2"/>
      <c r="X547" s="2"/>
      <c r="Y547" s="3"/>
      <c r="Z547" s="3"/>
      <c r="AA547" s="3"/>
      <c r="AB547" s="3"/>
      <c r="AC547" s="3"/>
      <c r="AD547" s="3"/>
      <c r="AE547" s="3"/>
      <c r="AF547" s="3"/>
      <c r="AG547" s="3"/>
      <c r="AH547" s="3"/>
      <c r="AI547" s="3"/>
      <c r="AJ547" s="3"/>
      <c r="AK547" s="3"/>
      <c r="AL547" s="3"/>
      <c r="AM547" s="3"/>
      <c r="AN547" s="3"/>
      <c r="AO547" s="3"/>
      <c r="AP547" s="3"/>
      <c r="AQ547" s="3"/>
      <c r="AR547" s="3"/>
      <c r="AS547" s="3"/>
      <c r="AT547" s="3"/>
      <c r="AU547" s="3"/>
    </row>
    <row r="548" spans="2:47" ht="14.25" customHeight="1" x14ac:dyDescent="0.3">
      <c r="B548" s="3"/>
      <c r="Q548" s="1"/>
      <c r="R548" s="1"/>
      <c r="S548" s="2"/>
      <c r="T548" s="2">
        <v>434</v>
      </c>
      <c r="U548" s="48" t="s">
        <v>91</v>
      </c>
      <c r="V548" s="2"/>
      <c r="W548" s="2"/>
      <c r="X548" s="2"/>
      <c r="Y548" s="3"/>
      <c r="Z548" s="3"/>
      <c r="AA548" s="3"/>
      <c r="AB548" s="3"/>
      <c r="AC548" s="3"/>
      <c r="AD548" s="3"/>
      <c r="AE548" s="3"/>
      <c r="AF548" s="3"/>
      <c r="AG548" s="3"/>
      <c r="AH548" s="3"/>
      <c r="AI548" s="3"/>
      <c r="AJ548" s="3"/>
      <c r="AK548" s="3"/>
      <c r="AL548" s="3"/>
      <c r="AM548" s="3"/>
      <c r="AN548" s="3"/>
      <c r="AO548" s="3"/>
      <c r="AP548" s="3"/>
      <c r="AQ548" s="3"/>
      <c r="AR548" s="3"/>
      <c r="AS548" s="3"/>
      <c r="AT548" s="3"/>
      <c r="AU548" s="3"/>
    </row>
    <row r="549" spans="2:47" ht="14.25" customHeight="1" x14ac:dyDescent="0.3">
      <c r="B549" s="3"/>
      <c r="Q549" s="1"/>
      <c r="R549" s="1"/>
      <c r="S549" s="2"/>
      <c r="T549" s="2">
        <v>435</v>
      </c>
      <c r="U549" s="48" t="s">
        <v>91</v>
      </c>
      <c r="V549" s="2"/>
      <c r="W549" s="2"/>
      <c r="X549" s="2"/>
      <c r="Y549" s="3"/>
      <c r="Z549" s="3"/>
      <c r="AA549" s="3"/>
      <c r="AB549" s="3"/>
      <c r="AC549" s="3"/>
      <c r="AD549" s="3"/>
      <c r="AE549" s="3"/>
      <c r="AF549" s="3"/>
      <c r="AG549" s="3"/>
      <c r="AH549" s="3"/>
      <c r="AI549" s="3"/>
      <c r="AJ549" s="3"/>
      <c r="AK549" s="3"/>
      <c r="AL549" s="3"/>
      <c r="AM549" s="3"/>
      <c r="AN549" s="3"/>
      <c r="AO549" s="3"/>
      <c r="AP549" s="3"/>
      <c r="AQ549" s="3"/>
      <c r="AR549" s="3"/>
      <c r="AS549" s="3"/>
      <c r="AT549" s="3"/>
      <c r="AU549" s="3"/>
    </row>
    <row r="550" spans="2:47" ht="14.25" customHeight="1" x14ac:dyDescent="0.3">
      <c r="B550" s="3"/>
      <c r="Q550" s="1"/>
      <c r="R550" s="1"/>
      <c r="S550" s="2"/>
      <c r="T550" s="2">
        <v>436</v>
      </c>
      <c r="U550" s="48" t="s">
        <v>91</v>
      </c>
      <c r="V550" s="2"/>
      <c r="W550" s="2"/>
      <c r="X550" s="2"/>
      <c r="Y550" s="3"/>
      <c r="Z550" s="3"/>
      <c r="AA550" s="3"/>
      <c r="AB550" s="3"/>
      <c r="AC550" s="3"/>
      <c r="AD550" s="3"/>
      <c r="AE550" s="3"/>
      <c r="AF550" s="3"/>
      <c r="AG550" s="3"/>
      <c r="AH550" s="3"/>
      <c r="AI550" s="3"/>
      <c r="AJ550" s="3"/>
      <c r="AK550" s="3"/>
      <c r="AL550" s="3"/>
      <c r="AM550" s="3"/>
      <c r="AN550" s="3"/>
      <c r="AO550" s="3"/>
      <c r="AP550" s="3"/>
      <c r="AQ550" s="3"/>
      <c r="AR550" s="3"/>
      <c r="AS550" s="3"/>
      <c r="AT550" s="3"/>
      <c r="AU550" s="3"/>
    </row>
    <row r="551" spans="2:47" ht="14.25" customHeight="1" x14ac:dyDescent="0.3">
      <c r="B551" s="3"/>
      <c r="Q551" s="1"/>
      <c r="R551" s="1"/>
      <c r="S551" s="2"/>
      <c r="T551" s="2">
        <v>437</v>
      </c>
      <c r="U551" s="48" t="s">
        <v>91</v>
      </c>
      <c r="V551" s="2"/>
      <c r="W551" s="2"/>
      <c r="X551" s="2"/>
      <c r="Y551" s="3"/>
      <c r="Z551" s="3"/>
      <c r="AA551" s="3"/>
      <c r="AB551" s="3"/>
      <c r="AC551" s="3"/>
      <c r="AD551" s="3"/>
      <c r="AE551" s="3"/>
      <c r="AF551" s="3"/>
      <c r="AG551" s="3"/>
      <c r="AH551" s="3"/>
      <c r="AI551" s="3"/>
      <c r="AJ551" s="3"/>
      <c r="AK551" s="3"/>
      <c r="AL551" s="3"/>
      <c r="AM551" s="3"/>
      <c r="AN551" s="3"/>
      <c r="AO551" s="3"/>
      <c r="AP551" s="3"/>
      <c r="AQ551" s="3"/>
      <c r="AR551" s="3"/>
      <c r="AS551" s="3"/>
      <c r="AT551" s="3"/>
      <c r="AU551" s="3"/>
    </row>
    <row r="552" spans="2:47" ht="14.25" customHeight="1" x14ac:dyDescent="0.3">
      <c r="B552" s="3"/>
      <c r="Q552" s="1"/>
      <c r="R552" s="1"/>
      <c r="S552" s="2"/>
      <c r="T552" s="2">
        <v>438</v>
      </c>
      <c r="U552" s="48" t="s">
        <v>91</v>
      </c>
      <c r="V552" s="2"/>
      <c r="W552" s="2"/>
      <c r="X552" s="2"/>
      <c r="Y552" s="3"/>
      <c r="Z552" s="3"/>
      <c r="AA552" s="3"/>
      <c r="AB552" s="3"/>
      <c r="AC552" s="3"/>
      <c r="AD552" s="3"/>
      <c r="AE552" s="3"/>
      <c r="AF552" s="3"/>
      <c r="AG552" s="3"/>
      <c r="AH552" s="3"/>
      <c r="AI552" s="3"/>
      <c r="AJ552" s="3"/>
      <c r="AK552" s="3"/>
      <c r="AL552" s="3"/>
      <c r="AM552" s="3"/>
      <c r="AN552" s="3"/>
      <c r="AO552" s="3"/>
      <c r="AP552" s="3"/>
      <c r="AQ552" s="3"/>
      <c r="AR552" s="3"/>
      <c r="AS552" s="3"/>
      <c r="AT552" s="3"/>
      <c r="AU552" s="3"/>
    </row>
    <row r="553" spans="2:47" ht="14.25" customHeight="1" x14ac:dyDescent="0.3">
      <c r="B553" s="3"/>
      <c r="Q553" s="1"/>
      <c r="R553" s="1"/>
      <c r="S553" s="2"/>
      <c r="T553" s="2">
        <v>439</v>
      </c>
      <c r="U553" s="48" t="s">
        <v>91</v>
      </c>
      <c r="V553" s="2"/>
      <c r="W553" s="2"/>
      <c r="X553" s="2"/>
      <c r="Y553" s="3"/>
      <c r="Z553" s="3"/>
      <c r="AA553" s="3"/>
      <c r="AB553" s="3"/>
      <c r="AC553" s="3"/>
      <c r="AD553" s="3"/>
      <c r="AE553" s="3"/>
      <c r="AF553" s="3"/>
      <c r="AG553" s="3"/>
      <c r="AH553" s="3"/>
      <c r="AI553" s="3"/>
      <c r="AJ553" s="3"/>
      <c r="AK553" s="3"/>
      <c r="AL553" s="3"/>
      <c r="AM553" s="3"/>
      <c r="AN553" s="3"/>
      <c r="AO553" s="3"/>
      <c r="AP553" s="3"/>
      <c r="AQ553" s="3"/>
      <c r="AR553" s="3"/>
      <c r="AS553" s="3"/>
      <c r="AT553" s="3"/>
      <c r="AU553" s="3"/>
    </row>
    <row r="554" spans="2:47" ht="14.25" customHeight="1" x14ac:dyDescent="0.3">
      <c r="B554" s="3"/>
      <c r="Q554" s="1"/>
      <c r="R554" s="1"/>
      <c r="S554" s="2"/>
      <c r="T554" s="2">
        <v>440</v>
      </c>
      <c r="U554" s="48" t="s">
        <v>91</v>
      </c>
      <c r="V554" s="2"/>
      <c r="W554" s="2"/>
      <c r="X554" s="2"/>
      <c r="Y554" s="3"/>
      <c r="Z554" s="3"/>
      <c r="AA554" s="3"/>
      <c r="AB554" s="3"/>
      <c r="AC554" s="3"/>
      <c r="AD554" s="3"/>
      <c r="AE554" s="3"/>
      <c r="AF554" s="3"/>
      <c r="AG554" s="3"/>
      <c r="AH554" s="3"/>
      <c r="AI554" s="3"/>
      <c r="AJ554" s="3"/>
      <c r="AK554" s="3"/>
      <c r="AL554" s="3"/>
      <c r="AM554" s="3"/>
      <c r="AN554" s="3"/>
      <c r="AO554" s="3"/>
      <c r="AP554" s="3"/>
      <c r="AQ554" s="3"/>
      <c r="AR554" s="3"/>
      <c r="AS554" s="3"/>
      <c r="AT554" s="3"/>
      <c r="AU554" s="3"/>
    </row>
    <row r="555" spans="2:47" ht="14.25" customHeight="1" x14ac:dyDescent="0.3">
      <c r="B555" s="3"/>
      <c r="Q555" s="1"/>
      <c r="R555" s="1"/>
      <c r="S555" s="2"/>
      <c r="T555" s="2">
        <v>441</v>
      </c>
      <c r="U555" s="48" t="s">
        <v>91</v>
      </c>
      <c r="V555" s="2"/>
      <c r="W555" s="2"/>
      <c r="X555" s="2"/>
      <c r="Y555" s="3"/>
      <c r="Z555" s="3"/>
      <c r="AA555" s="3"/>
      <c r="AB555" s="3"/>
      <c r="AC555" s="3"/>
      <c r="AD555" s="3"/>
      <c r="AE555" s="3"/>
      <c r="AF555" s="3"/>
      <c r="AG555" s="3"/>
      <c r="AH555" s="3"/>
      <c r="AI555" s="3"/>
      <c r="AJ555" s="3"/>
      <c r="AK555" s="3"/>
      <c r="AL555" s="3"/>
      <c r="AM555" s="3"/>
      <c r="AN555" s="3"/>
      <c r="AO555" s="3"/>
      <c r="AP555" s="3"/>
      <c r="AQ555" s="3"/>
      <c r="AR555" s="3"/>
      <c r="AS555" s="3"/>
      <c r="AT555" s="3"/>
      <c r="AU555" s="3"/>
    </row>
    <row r="556" spans="2:47" ht="14.25" customHeight="1" x14ac:dyDescent="0.3">
      <c r="B556" s="3"/>
      <c r="Q556" s="1"/>
      <c r="R556" s="1"/>
      <c r="S556" s="2"/>
      <c r="T556" s="2">
        <v>442</v>
      </c>
      <c r="U556" s="48" t="s">
        <v>91</v>
      </c>
      <c r="V556" s="2"/>
      <c r="W556" s="2"/>
      <c r="X556" s="2"/>
      <c r="Y556" s="3"/>
      <c r="Z556" s="3"/>
      <c r="AA556" s="3"/>
      <c r="AB556" s="3"/>
      <c r="AC556" s="3"/>
      <c r="AD556" s="3"/>
      <c r="AE556" s="3"/>
      <c r="AF556" s="3"/>
      <c r="AG556" s="3"/>
      <c r="AH556" s="3"/>
      <c r="AI556" s="3"/>
      <c r="AJ556" s="3"/>
      <c r="AK556" s="3"/>
      <c r="AL556" s="3"/>
      <c r="AM556" s="3"/>
      <c r="AN556" s="3"/>
      <c r="AO556" s="3"/>
      <c r="AP556" s="3"/>
      <c r="AQ556" s="3"/>
      <c r="AR556" s="3"/>
      <c r="AS556" s="3"/>
      <c r="AT556" s="3"/>
      <c r="AU556" s="3"/>
    </row>
    <row r="557" spans="2:47" ht="14.25" customHeight="1" x14ac:dyDescent="0.3">
      <c r="B557" s="3"/>
      <c r="Q557" s="1"/>
      <c r="R557" s="1"/>
      <c r="S557" s="2"/>
      <c r="T557" s="2">
        <v>443</v>
      </c>
      <c r="U557" s="48" t="s">
        <v>91</v>
      </c>
      <c r="V557" s="2"/>
      <c r="W557" s="2"/>
      <c r="X557" s="2"/>
      <c r="Y557" s="3"/>
      <c r="Z557" s="3"/>
      <c r="AA557" s="3"/>
      <c r="AB557" s="3"/>
      <c r="AC557" s="3"/>
      <c r="AD557" s="3"/>
      <c r="AE557" s="3"/>
      <c r="AF557" s="3"/>
      <c r="AG557" s="3"/>
      <c r="AH557" s="3"/>
      <c r="AI557" s="3"/>
      <c r="AJ557" s="3"/>
      <c r="AK557" s="3"/>
      <c r="AL557" s="3"/>
      <c r="AM557" s="3"/>
      <c r="AN557" s="3"/>
      <c r="AO557" s="3"/>
      <c r="AP557" s="3"/>
      <c r="AQ557" s="3"/>
      <c r="AR557" s="3"/>
      <c r="AS557" s="3"/>
      <c r="AT557" s="3"/>
      <c r="AU557" s="3"/>
    </row>
    <row r="558" spans="2:47" ht="14.25" customHeight="1" x14ac:dyDescent="0.3">
      <c r="B558" s="3"/>
      <c r="Q558" s="1"/>
      <c r="R558" s="1"/>
      <c r="S558" s="2"/>
      <c r="T558" s="2">
        <v>444</v>
      </c>
      <c r="U558" s="48" t="s">
        <v>91</v>
      </c>
      <c r="V558" s="2"/>
      <c r="W558" s="2"/>
      <c r="X558" s="2"/>
      <c r="Y558" s="3"/>
      <c r="Z558" s="3"/>
      <c r="AA558" s="3"/>
      <c r="AB558" s="3"/>
      <c r="AC558" s="3"/>
      <c r="AD558" s="3"/>
      <c r="AE558" s="3"/>
      <c r="AF558" s="3"/>
      <c r="AG558" s="3"/>
      <c r="AH558" s="3"/>
      <c r="AI558" s="3"/>
      <c r="AJ558" s="3"/>
      <c r="AK558" s="3"/>
      <c r="AL558" s="3"/>
      <c r="AM558" s="3"/>
      <c r="AN558" s="3"/>
      <c r="AO558" s="3"/>
      <c r="AP558" s="3"/>
      <c r="AQ558" s="3"/>
      <c r="AR558" s="3"/>
      <c r="AS558" s="3"/>
      <c r="AT558" s="3"/>
      <c r="AU558" s="3"/>
    </row>
    <row r="559" spans="2:47" ht="14.25" customHeight="1" x14ac:dyDescent="0.3">
      <c r="B559" s="3"/>
      <c r="Q559" s="1"/>
      <c r="R559" s="1"/>
      <c r="S559" s="2"/>
      <c r="T559" s="2">
        <v>445</v>
      </c>
      <c r="U559" s="48" t="s">
        <v>91</v>
      </c>
      <c r="V559" s="2"/>
      <c r="W559" s="2"/>
      <c r="X559" s="2"/>
      <c r="Y559" s="3"/>
      <c r="Z559" s="3"/>
      <c r="AA559" s="3"/>
      <c r="AB559" s="3"/>
      <c r="AC559" s="3"/>
      <c r="AD559" s="3"/>
      <c r="AE559" s="3"/>
      <c r="AF559" s="3"/>
      <c r="AG559" s="3"/>
      <c r="AH559" s="3"/>
      <c r="AI559" s="3"/>
      <c r="AJ559" s="3"/>
      <c r="AK559" s="3"/>
      <c r="AL559" s="3"/>
      <c r="AM559" s="3"/>
      <c r="AN559" s="3"/>
      <c r="AO559" s="3"/>
      <c r="AP559" s="3"/>
      <c r="AQ559" s="3"/>
      <c r="AR559" s="3"/>
      <c r="AS559" s="3"/>
      <c r="AT559" s="3"/>
      <c r="AU559" s="3"/>
    </row>
    <row r="560" spans="2:47" ht="14.25" customHeight="1" x14ac:dyDescent="0.3">
      <c r="B560" s="3"/>
      <c r="Q560" s="1"/>
      <c r="R560" s="1"/>
      <c r="S560" s="2"/>
      <c r="T560" s="2">
        <v>446</v>
      </c>
      <c r="U560" s="48" t="s">
        <v>91</v>
      </c>
      <c r="V560" s="2"/>
      <c r="W560" s="2"/>
      <c r="X560" s="2"/>
      <c r="Y560" s="3"/>
      <c r="Z560" s="3"/>
      <c r="AA560" s="3"/>
      <c r="AB560" s="3"/>
      <c r="AC560" s="3"/>
      <c r="AD560" s="3"/>
      <c r="AE560" s="3"/>
      <c r="AF560" s="3"/>
      <c r="AG560" s="3"/>
      <c r="AH560" s="3"/>
      <c r="AI560" s="3"/>
      <c r="AJ560" s="3"/>
      <c r="AK560" s="3"/>
      <c r="AL560" s="3"/>
      <c r="AM560" s="3"/>
      <c r="AN560" s="3"/>
      <c r="AO560" s="3"/>
      <c r="AP560" s="3"/>
      <c r="AQ560" s="3"/>
      <c r="AR560" s="3"/>
      <c r="AS560" s="3"/>
      <c r="AT560" s="3"/>
      <c r="AU560" s="3"/>
    </row>
    <row r="561" spans="2:47" ht="14.25" customHeight="1" x14ac:dyDescent="0.3">
      <c r="B561" s="3"/>
      <c r="Q561" s="1"/>
      <c r="R561" s="1"/>
      <c r="S561" s="2"/>
      <c r="T561" s="2">
        <v>447</v>
      </c>
      <c r="U561" s="48" t="s">
        <v>91</v>
      </c>
      <c r="V561" s="2"/>
      <c r="W561" s="2"/>
      <c r="X561" s="2"/>
      <c r="Y561" s="3"/>
      <c r="Z561" s="3"/>
      <c r="AA561" s="3"/>
      <c r="AB561" s="3"/>
      <c r="AC561" s="3"/>
      <c r="AD561" s="3"/>
      <c r="AE561" s="3"/>
      <c r="AF561" s="3"/>
      <c r="AG561" s="3"/>
      <c r="AH561" s="3"/>
      <c r="AI561" s="3"/>
      <c r="AJ561" s="3"/>
      <c r="AK561" s="3"/>
      <c r="AL561" s="3"/>
      <c r="AM561" s="3"/>
      <c r="AN561" s="3"/>
      <c r="AO561" s="3"/>
      <c r="AP561" s="3"/>
      <c r="AQ561" s="3"/>
      <c r="AR561" s="3"/>
      <c r="AS561" s="3"/>
      <c r="AT561" s="3"/>
      <c r="AU561" s="3"/>
    </row>
    <row r="562" spans="2:47" ht="14.25" customHeight="1" x14ac:dyDescent="0.3">
      <c r="B562" s="3"/>
      <c r="Q562" s="1"/>
      <c r="R562" s="1"/>
      <c r="S562" s="2"/>
      <c r="T562" s="2">
        <v>448</v>
      </c>
      <c r="U562" s="48" t="s">
        <v>91</v>
      </c>
      <c r="V562" s="2"/>
      <c r="W562" s="2"/>
      <c r="X562" s="2"/>
      <c r="Y562" s="3"/>
      <c r="Z562" s="3"/>
      <c r="AA562" s="3"/>
      <c r="AB562" s="3"/>
      <c r="AC562" s="3"/>
      <c r="AD562" s="3"/>
      <c r="AE562" s="3"/>
      <c r="AF562" s="3"/>
      <c r="AG562" s="3"/>
      <c r="AH562" s="3"/>
      <c r="AI562" s="3"/>
      <c r="AJ562" s="3"/>
      <c r="AK562" s="3"/>
      <c r="AL562" s="3"/>
      <c r="AM562" s="3"/>
      <c r="AN562" s="3"/>
      <c r="AO562" s="3"/>
      <c r="AP562" s="3"/>
      <c r="AQ562" s="3"/>
      <c r="AR562" s="3"/>
      <c r="AS562" s="3"/>
      <c r="AT562" s="3"/>
      <c r="AU562" s="3"/>
    </row>
    <row r="563" spans="2:47" ht="14.25" customHeight="1" x14ac:dyDescent="0.3">
      <c r="B563" s="3"/>
      <c r="Q563" s="1"/>
      <c r="R563" s="1"/>
      <c r="S563" s="2"/>
      <c r="T563" s="2">
        <v>449</v>
      </c>
      <c r="U563" s="48" t="s">
        <v>91</v>
      </c>
      <c r="V563" s="2"/>
      <c r="W563" s="2"/>
      <c r="X563" s="2"/>
      <c r="Y563" s="3"/>
      <c r="Z563" s="3"/>
      <c r="AA563" s="3"/>
      <c r="AB563" s="3"/>
      <c r="AC563" s="3"/>
      <c r="AD563" s="3"/>
      <c r="AE563" s="3"/>
      <c r="AF563" s="3"/>
      <c r="AG563" s="3"/>
      <c r="AH563" s="3"/>
      <c r="AI563" s="3"/>
      <c r="AJ563" s="3"/>
      <c r="AK563" s="3"/>
      <c r="AL563" s="3"/>
      <c r="AM563" s="3"/>
      <c r="AN563" s="3"/>
      <c r="AO563" s="3"/>
      <c r="AP563" s="3"/>
      <c r="AQ563" s="3"/>
      <c r="AR563" s="3"/>
      <c r="AS563" s="3"/>
      <c r="AT563" s="3"/>
      <c r="AU563" s="3"/>
    </row>
    <row r="564" spans="2:47" ht="14.25" customHeight="1" x14ac:dyDescent="0.3">
      <c r="B564" s="3"/>
      <c r="Q564" s="1"/>
      <c r="R564" s="1"/>
      <c r="S564" s="2"/>
      <c r="T564" s="2">
        <v>450</v>
      </c>
      <c r="U564" s="48" t="s">
        <v>91</v>
      </c>
      <c r="V564" s="2"/>
      <c r="W564" s="2"/>
      <c r="X564" s="2"/>
      <c r="Y564" s="3"/>
      <c r="Z564" s="3"/>
      <c r="AA564" s="3"/>
      <c r="AB564" s="3"/>
      <c r="AC564" s="3"/>
      <c r="AD564" s="3"/>
      <c r="AE564" s="3"/>
      <c r="AF564" s="3"/>
      <c r="AG564" s="3"/>
      <c r="AH564" s="3"/>
      <c r="AI564" s="3"/>
      <c r="AJ564" s="3"/>
      <c r="AK564" s="3"/>
      <c r="AL564" s="3"/>
      <c r="AM564" s="3"/>
      <c r="AN564" s="3"/>
      <c r="AO564" s="3"/>
      <c r="AP564" s="3"/>
      <c r="AQ564" s="3"/>
      <c r="AR564" s="3"/>
      <c r="AS564" s="3"/>
      <c r="AT564" s="3"/>
      <c r="AU564" s="3"/>
    </row>
    <row r="565" spans="2:47" ht="14.25" customHeight="1" x14ac:dyDescent="0.3">
      <c r="B565" s="3"/>
      <c r="Q565" s="1"/>
      <c r="R565" s="1"/>
      <c r="S565" s="2"/>
      <c r="T565" s="2">
        <v>451</v>
      </c>
      <c r="U565" s="48" t="s">
        <v>91</v>
      </c>
      <c r="V565" s="2"/>
      <c r="W565" s="2"/>
      <c r="X565" s="2"/>
      <c r="Y565" s="3"/>
      <c r="Z565" s="3"/>
      <c r="AA565" s="3"/>
      <c r="AB565" s="3"/>
      <c r="AC565" s="3"/>
      <c r="AD565" s="3"/>
      <c r="AE565" s="3"/>
      <c r="AF565" s="3"/>
      <c r="AG565" s="3"/>
      <c r="AH565" s="3"/>
      <c r="AI565" s="3"/>
      <c r="AJ565" s="3"/>
      <c r="AK565" s="3"/>
      <c r="AL565" s="3"/>
      <c r="AM565" s="3"/>
      <c r="AN565" s="3"/>
      <c r="AO565" s="3"/>
      <c r="AP565" s="3"/>
      <c r="AQ565" s="3"/>
      <c r="AR565" s="3"/>
      <c r="AS565" s="3"/>
      <c r="AT565" s="3"/>
      <c r="AU565" s="3"/>
    </row>
    <row r="566" spans="2:47" ht="14.25" customHeight="1" x14ac:dyDescent="0.3">
      <c r="B566" s="3"/>
      <c r="Q566" s="1"/>
      <c r="R566" s="1"/>
      <c r="S566" s="2"/>
      <c r="T566" s="2">
        <v>452</v>
      </c>
      <c r="U566" s="48" t="s">
        <v>91</v>
      </c>
      <c r="V566" s="2"/>
      <c r="W566" s="2"/>
      <c r="X566" s="2"/>
      <c r="Y566" s="3"/>
      <c r="Z566" s="3"/>
      <c r="AA566" s="3"/>
      <c r="AB566" s="3"/>
      <c r="AC566" s="3"/>
      <c r="AD566" s="3"/>
      <c r="AE566" s="3"/>
      <c r="AF566" s="3"/>
      <c r="AG566" s="3"/>
      <c r="AH566" s="3"/>
      <c r="AI566" s="3"/>
      <c r="AJ566" s="3"/>
      <c r="AK566" s="3"/>
      <c r="AL566" s="3"/>
      <c r="AM566" s="3"/>
      <c r="AN566" s="3"/>
      <c r="AO566" s="3"/>
      <c r="AP566" s="3"/>
      <c r="AQ566" s="3"/>
      <c r="AR566" s="3"/>
      <c r="AS566" s="3"/>
      <c r="AT566" s="3"/>
      <c r="AU566" s="3"/>
    </row>
    <row r="567" spans="2:47" ht="14.25" customHeight="1" x14ac:dyDescent="0.3">
      <c r="B567" s="3"/>
      <c r="Q567" s="1"/>
      <c r="R567" s="1"/>
      <c r="S567" s="2"/>
      <c r="T567" s="2">
        <v>453</v>
      </c>
      <c r="U567" s="48" t="s">
        <v>91</v>
      </c>
      <c r="V567" s="2"/>
      <c r="W567" s="2"/>
      <c r="X567" s="2"/>
      <c r="Y567" s="3"/>
      <c r="Z567" s="3"/>
      <c r="AA567" s="3"/>
      <c r="AB567" s="3"/>
      <c r="AC567" s="3"/>
      <c r="AD567" s="3"/>
      <c r="AE567" s="3"/>
      <c r="AF567" s="3"/>
      <c r="AG567" s="3"/>
      <c r="AH567" s="3"/>
      <c r="AI567" s="3"/>
      <c r="AJ567" s="3"/>
      <c r="AK567" s="3"/>
      <c r="AL567" s="3"/>
      <c r="AM567" s="3"/>
      <c r="AN567" s="3"/>
      <c r="AO567" s="3"/>
      <c r="AP567" s="3"/>
      <c r="AQ567" s="3"/>
      <c r="AR567" s="3"/>
      <c r="AS567" s="3"/>
      <c r="AT567" s="3"/>
      <c r="AU567" s="3"/>
    </row>
    <row r="568" spans="2:47" ht="14.25" customHeight="1" x14ac:dyDescent="0.3">
      <c r="B568" s="3"/>
      <c r="Q568" s="1"/>
      <c r="R568" s="1"/>
      <c r="S568" s="2"/>
      <c r="T568" s="2">
        <v>454</v>
      </c>
      <c r="U568" s="48" t="s">
        <v>91</v>
      </c>
      <c r="V568" s="2"/>
      <c r="W568" s="2"/>
      <c r="X568" s="2"/>
      <c r="Y568" s="3"/>
      <c r="Z568" s="3"/>
      <c r="AA568" s="3"/>
      <c r="AB568" s="3"/>
      <c r="AC568" s="3"/>
      <c r="AD568" s="3"/>
      <c r="AE568" s="3"/>
      <c r="AF568" s="3"/>
      <c r="AG568" s="3"/>
      <c r="AH568" s="3"/>
      <c r="AI568" s="3"/>
      <c r="AJ568" s="3"/>
      <c r="AK568" s="3"/>
      <c r="AL568" s="3"/>
      <c r="AM568" s="3"/>
      <c r="AN568" s="3"/>
      <c r="AO568" s="3"/>
      <c r="AP568" s="3"/>
      <c r="AQ568" s="3"/>
      <c r="AR568" s="3"/>
      <c r="AS568" s="3"/>
      <c r="AT568" s="3"/>
      <c r="AU568" s="3"/>
    </row>
    <row r="569" spans="2:47" ht="14.25" customHeight="1" x14ac:dyDescent="0.3">
      <c r="B569" s="3"/>
      <c r="Q569" s="1"/>
      <c r="R569" s="1"/>
      <c r="S569" s="2"/>
      <c r="T569" s="2">
        <v>455</v>
      </c>
      <c r="U569" s="48" t="s">
        <v>91</v>
      </c>
      <c r="V569" s="2"/>
      <c r="W569" s="2"/>
      <c r="X569" s="2"/>
      <c r="Y569" s="3"/>
      <c r="Z569" s="3"/>
      <c r="AA569" s="3"/>
      <c r="AB569" s="3"/>
      <c r="AC569" s="3"/>
      <c r="AD569" s="3"/>
      <c r="AE569" s="3"/>
      <c r="AF569" s="3"/>
      <c r="AG569" s="3"/>
      <c r="AH569" s="3"/>
      <c r="AI569" s="3"/>
      <c r="AJ569" s="3"/>
      <c r="AK569" s="3"/>
      <c r="AL569" s="3"/>
      <c r="AM569" s="3"/>
      <c r="AN569" s="3"/>
      <c r="AO569" s="3"/>
      <c r="AP569" s="3"/>
      <c r="AQ569" s="3"/>
      <c r="AR569" s="3"/>
      <c r="AS569" s="3"/>
      <c r="AT569" s="3"/>
      <c r="AU569" s="3"/>
    </row>
    <row r="570" spans="2:47" ht="14.25" customHeight="1" x14ac:dyDescent="0.3">
      <c r="B570" s="3"/>
      <c r="Q570" s="1"/>
      <c r="R570" s="1"/>
      <c r="S570" s="2"/>
      <c r="T570" s="2">
        <v>456</v>
      </c>
      <c r="U570" s="48" t="s">
        <v>91</v>
      </c>
      <c r="V570" s="2"/>
      <c r="W570" s="2"/>
      <c r="X570" s="2"/>
      <c r="Y570" s="3"/>
      <c r="Z570" s="3"/>
      <c r="AA570" s="3"/>
      <c r="AB570" s="3"/>
      <c r="AC570" s="3"/>
      <c r="AD570" s="3"/>
      <c r="AE570" s="3"/>
      <c r="AF570" s="3"/>
      <c r="AG570" s="3"/>
      <c r="AH570" s="3"/>
      <c r="AI570" s="3"/>
      <c r="AJ570" s="3"/>
      <c r="AK570" s="3"/>
      <c r="AL570" s="3"/>
      <c r="AM570" s="3"/>
      <c r="AN570" s="3"/>
      <c r="AO570" s="3"/>
      <c r="AP570" s="3"/>
      <c r="AQ570" s="3"/>
      <c r="AR570" s="3"/>
      <c r="AS570" s="3"/>
      <c r="AT570" s="3"/>
      <c r="AU570" s="3"/>
    </row>
    <row r="571" spans="2:47" ht="14.25" customHeight="1" x14ac:dyDescent="0.3">
      <c r="B571" s="3"/>
      <c r="Q571" s="1"/>
      <c r="R571" s="1"/>
      <c r="S571" s="2"/>
      <c r="T571" s="2">
        <v>457</v>
      </c>
      <c r="U571" s="48" t="s">
        <v>91</v>
      </c>
      <c r="V571" s="2"/>
      <c r="W571" s="2"/>
      <c r="X571" s="2"/>
      <c r="Y571" s="3"/>
      <c r="Z571" s="3"/>
      <c r="AA571" s="3"/>
      <c r="AB571" s="3"/>
      <c r="AC571" s="3"/>
      <c r="AD571" s="3"/>
      <c r="AE571" s="3"/>
      <c r="AF571" s="3"/>
      <c r="AG571" s="3"/>
      <c r="AH571" s="3"/>
      <c r="AI571" s="3"/>
      <c r="AJ571" s="3"/>
      <c r="AK571" s="3"/>
      <c r="AL571" s="3"/>
      <c r="AM571" s="3"/>
      <c r="AN571" s="3"/>
      <c r="AO571" s="3"/>
      <c r="AP571" s="3"/>
      <c r="AQ571" s="3"/>
      <c r="AR571" s="3"/>
      <c r="AS571" s="3"/>
      <c r="AT571" s="3"/>
      <c r="AU571" s="3"/>
    </row>
    <row r="572" spans="2:47" ht="14.25" customHeight="1" x14ac:dyDescent="0.3">
      <c r="B572" s="3"/>
      <c r="Q572" s="1"/>
      <c r="R572" s="1"/>
      <c r="S572" s="2"/>
      <c r="T572" s="2">
        <v>458</v>
      </c>
      <c r="U572" s="48" t="s">
        <v>91</v>
      </c>
      <c r="V572" s="2"/>
      <c r="W572" s="2"/>
      <c r="X572" s="2"/>
      <c r="Y572" s="3"/>
      <c r="Z572" s="3"/>
      <c r="AA572" s="3"/>
      <c r="AB572" s="3"/>
      <c r="AC572" s="3"/>
      <c r="AD572" s="3"/>
      <c r="AE572" s="3"/>
      <c r="AF572" s="3"/>
      <c r="AG572" s="3"/>
      <c r="AH572" s="3"/>
      <c r="AI572" s="3"/>
      <c r="AJ572" s="3"/>
      <c r="AK572" s="3"/>
      <c r="AL572" s="3"/>
      <c r="AM572" s="3"/>
      <c r="AN572" s="3"/>
      <c r="AO572" s="3"/>
      <c r="AP572" s="3"/>
      <c r="AQ572" s="3"/>
      <c r="AR572" s="3"/>
      <c r="AS572" s="3"/>
      <c r="AT572" s="3"/>
      <c r="AU572" s="3"/>
    </row>
    <row r="573" spans="2:47" ht="14.25" customHeight="1" x14ac:dyDescent="0.3">
      <c r="B573" s="3"/>
      <c r="Q573" s="1"/>
      <c r="R573" s="1"/>
      <c r="S573" s="2"/>
      <c r="T573" s="2">
        <v>459</v>
      </c>
      <c r="U573" s="48" t="s">
        <v>91</v>
      </c>
      <c r="V573" s="2"/>
      <c r="W573" s="2"/>
      <c r="X573" s="2"/>
      <c r="Y573" s="3"/>
      <c r="Z573" s="3"/>
      <c r="AA573" s="3"/>
      <c r="AB573" s="3"/>
      <c r="AC573" s="3"/>
      <c r="AD573" s="3"/>
      <c r="AE573" s="3"/>
      <c r="AF573" s="3"/>
      <c r="AG573" s="3"/>
      <c r="AH573" s="3"/>
      <c r="AI573" s="3"/>
      <c r="AJ573" s="3"/>
      <c r="AK573" s="3"/>
      <c r="AL573" s="3"/>
      <c r="AM573" s="3"/>
      <c r="AN573" s="3"/>
      <c r="AO573" s="3"/>
      <c r="AP573" s="3"/>
      <c r="AQ573" s="3"/>
      <c r="AR573" s="3"/>
      <c r="AS573" s="3"/>
      <c r="AT573" s="3"/>
      <c r="AU573" s="3"/>
    </row>
    <row r="574" spans="2:47" ht="14.25" customHeight="1" x14ac:dyDescent="0.3">
      <c r="B574" s="3"/>
      <c r="Q574" s="1"/>
      <c r="R574" s="1"/>
      <c r="S574" s="2"/>
      <c r="T574" s="2">
        <v>460</v>
      </c>
      <c r="U574" s="48" t="s">
        <v>91</v>
      </c>
      <c r="V574" s="2"/>
      <c r="W574" s="2"/>
      <c r="X574" s="2"/>
      <c r="Y574" s="3"/>
      <c r="Z574" s="3"/>
      <c r="AA574" s="3"/>
      <c r="AB574" s="3"/>
      <c r="AC574" s="3"/>
      <c r="AD574" s="3"/>
      <c r="AE574" s="3"/>
      <c r="AF574" s="3"/>
      <c r="AG574" s="3"/>
      <c r="AH574" s="3"/>
      <c r="AI574" s="3"/>
      <c r="AJ574" s="3"/>
      <c r="AK574" s="3"/>
      <c r="AL574" s="3"/>
      <c r="AM574" s="3"/>
      <c r="AN574" s="3"/>
      <c r="AO574" s="3"/>
      <c r="AP574" s="3"/>
      <c r="AQ574" s="3"/>
      <c r="AR574" s="3"/>
      <c r="AS574" s="3"/>
      <c r="AT574" s="3"/>
      <c r="AU574" s="3"/>
    </row>
    <row r="575" spans="2:47" ht="14.25" customHeight="1" x14ac:dyDescent="0.3">
      <c r="B575" s="3"/>
      <c r="Q575" s="1"/>
      <c r="R575" s="1"/>
      <c r="S575" s="2"/>
      <c r="T575" s="2">
        <v>461</v>
      </c>
      <c r="U575" s="48" t="s">
        <v>91</v>
      </c>
      <c r="V575" s="2"/>
      <c r="W575" s="2"/>
      <c r="X575" s="2"/>
      <c r="Y575" s="3"/>
      <c r="Z575" s="3"/>
      <c r="AA575" s="3"/>
      <c r="AB575" s="3"/>
      <c r="AC575" s="3"/>
      <c r="AD575" s="3"/>
      <c r="AE575" s="3"/>
      <c r="AF575" s="3"/>
      <c r="AG575" s="3"/>
      <c r="AH575" s="3"/>
      <c r="AI575" s="3"/>
      <c r="AJ575" s="3"/>
      <c r="AK575" s="3"/>
      <c r="AL575" s="3"/>
      <c r="AM575" s="3"/>
      <c r="AN575" s="3"/>
      <c r="AO575" s="3"/>
      <c r="AP575" s="3"/>
      <c r="AQ575" s="3"/>
      <c r="AR575" s="3"/>
      <c r="AS575" s="3"/>
      <c r="AT575" s="3"/>
      <c r="AU575" s="3"/>
    </row>
    <row r="576" spans="2:47" ht="14.25" customHeight="1" x14ac:dyDescent="0.3">
      <c r="B576" s="3"/>
      <c r="Q576" s="1"/>
      <c r="R576" s="1"/>
      <c r="S576" s="2"/>
      <c r="T576" s="2">
        <v>462</v>
      </c>
      <c r="U576" s="48" t="s">
        <v>91</v>
      </c>
      <c r="V576" s="2"/>
      <c r="W576" s="2"/>
      <c r="X576" s="2"/>
      <c r="Y576" s="3"/>
      <c r="Z576" s="3"/>
      <c r="AA576" s="3"/>
      <c r="AB576" s="3"/>
      <c r="AC576" s="3"/>
      <c r="AD576" s="3"/>
      <c r="AE576" s="3"/>
      <c r="AF576" s="3"/>
      <c r="AG576" s="3"/>
      <c r="AH576" s="3"/>
      <c r="AI576" s="3"/>
      <c r="AJ576" s="3"/>
      <c r="AK576" s="3"/>
      <c r="AL576" s="3"/>
      <c r="AM576" s="3"/>
      <c r="AN576" s="3"/>
      <c r="AO576" s="3"/>
      <c r="AP576" s="3"/>
      <c r="AQ576" s="3"/>
      <c r="AR576" s="3"/>
      <c r="AS576" s="3"/>
      <c r="AT576" s="3"/>
      <c r="AU576" s="3"/>
    </row>
    <row r="577" spans="2:47" ht="14.25" customHeight="1" x14ac:dyDescent="0.3">
      <c r="B577" s="3"/>
      <c r="Q577" s="1"/>
      <c r="R577" s="1"/>
      <c r="S577" s="2"/>
      <c r="T577" s="2">
        <v>463</v>
      </c>
      <c r="U577" s="48" t="s">
        <v>91</v>
      </c>
      <c r="V577" s="2"/>
      <c r="W577" s="2"/>
      <c r="X577" s="2"/>
      <c r="Y577" s="3"/>
      <c r="Z577" s="3"/>
      <c r="AA577" s="3"/>
      <c r="AB577" s="3"/>
      <c r="AC577" s="3"/>
      <c r="AD577" s="3"/>
      <c r="AE577" s="3"/>
      <c r="AF577" s="3"/>
      <c r="AG577" s="3"/>
      <c r="AH577" s="3"/>
      <c r="AI577" s="3"/>
      <c r="AJ577" s="3"/>
      <c r="AK577" s="3"/>
      <c r="AL577" s="3"/>
      <c r="AM577" s="3"/>
      <c r="AN577" s="3"/>
      <c r="AO577" s="3"/>
      <c r="AP577" s="3"/>
      <c r="AQ577" s="3"/>
      <c r="AR577" s="3"/>
      <c r="AS577" s="3"/>
      <c r="AT577" s="3"/>
      <c r="AU577" s="3"/>
    </row>
    <row r="578" spans="2:47" ht="14.25" customHeight="1" x14ac:dyDescent="0.3">
      <c r="B578" s="3"/>
      <c r="Q578" s="1"/>
      <c r="R578" s="1"/>
      <c r="S578" s="2"/>
      <c r="T578" s="2">
        <v>464</v>
      </c>
      <c r="U578" s="48" t="s">
        <v>91</v>
      </c>
      <c r="V578" s="2"/>
      <c r="W578" s="2"/>
      <c r="X578" s="2"/>
      <c r="Y578" s="3"/>
      <c r="Z578" s="3"/>
      <c r="AA578" s="3"/>
      <c r="AB578" s="3"/>
      <c r="AC578" s="3"/>
      <c r="AD578" s="3"/>
      <c r="AE578" s="3"/>
      <c r="AF578" s="3"/>
      <c r="AG578" s="3"/>
      <c r="AH578" s="3"/>
      <c r="AI578" s="3"/>
      <c r="AJ578" s="3"/>
      <c r="AK578" s="3"/>
      <c r="AL578" s="3"/>
      <c r="AM578" s="3"/>
      <c r="AN578" s="3"/>
      <c r="AO578" s="3"/>
      <c r="AP578" s="3"/>
      <c r="AQ578" s="3"/>
      <c r="AR578" s="3"/>
      <c r="AS578" s="3"/>
      <c r="AT578" s="3"/>
      <c r="AU578" s="3"/>
    </row>
    <row r="579" spans="2:47" ht="14.25" customHeight="1" x14ac:dyDescent="0.3">
      <c r="B579" s="3"/>
      <c r="Q579" s="1"/>
      <c r="R579" s="1"/>
      <c r="S579" s="2"/>
      <c r="T579" s="2">
        <v>465</v>
      </c>
      <c r="U579" s="48" t="s">
        <v>91</v>
      </c>
      <c r="V579" s="2"/>
      <c r="W579" s="2"/>
      <c r="X579" s="2"/>
      <c r="Y579" s="3"/>
      <c r="Z579" s="3"/>
      <c r="AA579" s="3"/>
      <c r="AB579" s="3"/>
      <c r="AC579" s="3"/>
      <c r="AD579" s="3"/>
      <c r="AE579" s="3"/>
      <c r="AF579" s="3"/>
      <c r="AG579" s="3"/>
      <c r="AH579" s="3"/>
      <c r="AI579" s="3"/>
      <c r="AJ579" s="3"/>
      <c r="AK579" s="3"/>
      <c r="AL579" s="3"/>
      <c r="AM579" s="3"/>
      <c r="AN579" s="3"/>
      <c r="AO579" s="3"/>
      <c r="AP579" s="3"/>
      <c r="AQ579" s="3"/>
      <c r="AR579" s="3"/>
      <c r="AS579" s="3"/>
      <c r="AT579" s="3"/>
      <c r="AU579" s="3"/>
    </row>
    <row r="580" spans="2:47" ht="14.25" customHeight="1" x14ac:dyDescent="0.3">
      <c r="B580" s="3"/>
      <c r="Q580" s="1"/>
      <c r="R580" s="1"/>
      <c r="S580" s="2"/>
      <c r="T580" s="2">
        <v>466</v>
      </c>
      <c r="U580" s="48" t="s">
        <v>91</v>
      </c>
      <c r="V580" s="2"/>
      <c r="W580" s="2"/>
      <c r="X580" s="2"/>
      <c r="Y580" s="3"/>
      <c r="Z580" s="3"/>
      <c r="AA580" s="3"/>
      <c r="AB580" s="3"/>
      <c r="AC580" s="3"/>
      <c r="AD580" s="3"/>
      <c r="AE580" s="3"/>
      <c r="AF580" s="3"/>
      <c r="AG580" s="3"/>
      <c r="AH580" s="3"/>
      <c r="AI580" s="3"/>
      <c r="AJ580" s="3"/>
      <c r="AK580" s="3"/>
      <c r="AL580" s="3"/>
      <c r="AM580" s="3"/>
      <c r="AN580" s="3"/>
      <c r="AO580" s="3"/>
      <c r="AP580" s="3"/>
      <c r="AQ580" s="3"/>
      <c r="AR580" s="3"/>
      <c r="AS580" s="3"/>
      <c r="AT580" s="3"/>
      <c r="AU580" s="3"/>
    </row>
    <row r="581" spans="2:47" ht="14.25" customHeight="1" x14ac:dyDescent="0.3">
      <c r="B581" s="3"/>
      <c r="Q581" s="1"/>
      <c r="R581" s="1"/>
      <c r="S581" s="2"/>
      <c r="T581" s="2">
        <v>467</v>
      </c>
      <c r="U581" s="48" t="s">
        <v>91</v>
      </c>
      <c r="V581" s="2"/>
      <c r="W581" s="2"/>
      <c r="X581" s="2"/>
      <c r="Y581" s="3"/>
      <c r="Z581" s="3"/>
      <c r="AA581" s="3"/>
      <c r="AB581" s="3"/>
      <c r="AC581" s="3"/>
      <c r="AD581" s="3"/>
      <c r="AE581" s="3"/>
      <c r="AF581" s="3"/>
      <c r="AG581" s="3"/>
      <c r="AH581" s="3"/>
      <c r="AI581" s="3"/>
      <c r="AJ581" s="3"/>
      <c r="AK581" s="3"/>
      <c r="AL581" s="3"/>
      <c r="AM581" s="3"/>
      <c r="AN581" s="3"/>
      <c r="AO581" s="3"/>
      <c r="AP581" s="3"/>
      <c r="AQ581" s="3"/>
      <c r="AR581" s="3"/>
      <c r="AS581" s="3"/>
      <c r="AT581" s="3"/>
      <c r="AU581" s="3"/>
    </row>
    <row r="582" spans="2:47" ht="14.25" customHeight="1" x14ac:dyDescent="0.3">
      <c r="B582" s="3"/>
      <c r="Q582" s="1"/>
      <c r="R582" s="1"/>
      <c r="S582" s="2"/>
      <c r="T582" s="2">
        <v>468</v>
      </c>
      <c r="U582" s="48" t="s">
        <v>91</v>
      </c>
      <c r="V582" s="2"/>
      <c r="W582" s="2"/>
      <c r="X582" s="2"/>
      <c r="Y582" s="3"/>
      <c r="Z582" s="3"/>
      <c r="AA582" s="3"/>
      <c r="AB582" s="3"/>
      <c r="AC582" s="3"/>
      <c r="AD582" s="3"/>
      <c r="AE582" s="3"/>
      <c r="AF582" s="3"/>
      <c r="AG582" s="3"/>
      <c r="AH582" s="3"/>
      <c r="AI582" s="3"/>
      <c r="AJ582" s="3"/>
      <c r="AK582" s="3"/>
      <c r="AL582" s="3"/>
      <c r="AM582" s="3"/>
      <c r="AN582" s="3"/>
      <c r="AO582" s="3"/>
      <c r="AP582" s="3"/>
      <c r="AQ582" s="3"/>
      <c r="AR582" s="3"/>
      <c r="AS582" s="3"/>
      <c r="AT582" s="3"/>
      <c r="AU582" s="3"/>
    </row>
    <row r="583" spans="2:47" ht="14.25" customHeight="1" x14ac:dyDescent="0.3">
      <c r="B583" s="3"/>
      <c r="Q583" s="1"/>
      <c r="R583" s="1"/>
      <c r="S583" s="2"/>
      <c r="T583" s="2">
        <v>469</v>
      </c>
      <c r="U583" s="48" t="s">
        <v>91</v>
      </c>
      <c r="V583" s="2"/>
      <c r="W583" s="2"/>
      <c r="X583" s="2"/>
      <c r="Y583" s="3"/>
      <c r="Z583" s="3"/>
      <c r="AA583" s="3"/>
      <c r="AB583" s="3"/>
      <c r="AC583" s="3"/>
      <c r="AD583" s="3"/>
      <c r="AE583" s="3"/>
      <c r="AF583" s="3"/>
      <c r="AG583" s="3"/>
      <c r="AH583" s="3"/>
      <c r="AI583" s="3"/>
      <c r="AJ583" s="3"/>
      <c r="AK583" s="3"/>
      <c r="AL583" s="3"/>
      <c r="AM583" s="3"/>
      <c r="AN583" s="3"/>
      <c r="AO583" s="3"/>
      <c r="AP583" s="3"/>
      <c r="AQ583" s="3"/>
      <c r="AR583" s="3"/>
      <c r="AS583" s="3"/>
      <c r="AT583" s="3"/>
      <c r="AU583" s="3"/>
    </row>
    <row r="584" spans="2:47" ht="14.25" customHeight="1" x14ac:dyDescent="0.3">
      <c r="B584" s="3"/>
      <c r="Q584" s="1"/>
      <c r="R584" s="1"/>
      <c r="S584" s="2"/>
      <c r="T584" s="2">
        <v>470</v>
      </c>
      <c r="U584" s="48" t="s">
        <v>91</v>
      </c>
      <c r="V584" s="2"/>
      <c r="W584" s="2"/>
      <c r="X584" s="2"/>
      <c r="Y584" s="3"/>
      <c r="Z584" s="3"/>
      <c r="AA584" s="3"/>
      <c r="AB584" s="3"/>
      <c r="AC584" s="3"/>
      <c r="AD584" s="3"/>
      <c r="AE584" s="3"/>
      <c r="AF584" s="3"/>
      <c r="AG584" s="3"/>
      <c r="AH584" s="3"/>
      <c r="AI584" s="3"/>
      <c r="AJ584" s="3"/>
      <c r="AK584" s="3"/>
      <c r="AL584" s="3"/>
      <c r="AM584" s="3"/>
      <c r="AN584" s="3"/>
      <c r="AO584" s="3"/>
      <c r="AP584" s="3"/>
      <c r="AQ584" s="3"/>
      <c r="AR584" s="3"/>
      <c r="AS584" s="3"/>
      <c r="AT584" s="3"/>
      <c r="AU584" s="3"/>
    </row>
    <row r="585" spans="2:47" ht="14.25" customHeight="1" x14ac:dyDescent="0.3">
      <c r="B585" s="3"/>
      <c r="Q585" s="1"/>
      <c r="R585" s="1"/>
      <c r="S585" s="2"/>
      <c r="T585" s="2">
        <v>471</v>
      </c>
      <c r="U585" s="48" t="s">
        <v>91</v>
      </c>
      <c r="V585" s="2"/>
      <c r="W585" s="2"/>
      <c r="X585" s="2"/>
      <c r="Y585" s="3"/>
      <c r="Z585" s="3"/>
      <c r="AA585" s="3"/>
      <c r="AB585" s="3"/>
      <c r="AC585" s="3"/>
      <c r="AD585" s="3"/>
      <c r="AE585" s="3"/>
      <c r="AF585" s="3"/>
      <c r="AG585" s="3"/>
      <c r="AH585" s="3"/>
      <c r="AI585" s="3"/>
      <c r="AJ585" s="3"/>
      <c r="AK585" s="3"/>
      <c r="AL585" s="3"/>
      <c r="AM585" s="3"/>
      <c r="AN585" s="3"/>
      <c r="AO585" s="3"/>
      <c r="AP585" s="3"/>
      <c r="AQ585" s="3"/>
      <c r="AR585" s="3"/>
      <c r="AS585" s="3"/>
      <c r="AT585" s="3"/>
      <c r="AU585" s="3"/>
    </row>
    <row r="586" spans="2:47" ht="14.25" customHeight="1" x14ac:dyDescent="0.3">
      <c r="B586" s="3"/>
      <c r="Q586" s="1"/>
      <c r="R586" s="1"/>
      <c r="S586" s="2"/>
      <c r="T586" s="2">
        <v>472</v>
      </c>
      <c r="U586" s="48" t="s">
        <v>91</v>
      </c>
      <c r="V586" s="2"/>
      <c r="W586" s="2"/>
      <c r="X586" s="2"/>
      <c r="Y586" s="3"/>
      <c r="Z586" s="3"/>
      <c r="AA586" s="3"/>
      <c r="AB586" s="3"/>
      <c r="AC586" s="3"/>
      <c r="AD586" s="3"/>
      <c r="AE586" s="3"/>
      <c r="AF586" s="3"/>
      <c r="AG586" s="3"/>
      <c r="AH586" s="3"/>
      <c r="AI586" s="3"/>
      <c r="AJ586" s="3"/>
      <c r="AK586" s="3"/>
      <c r="AL586" s="3"/>
      <c r="AM586" s="3"/>
      <c r="AN586" s="3"/>
      <c r="AO586" s="3"/>
      <c r="AP586" s="3"/>
      <c r="AQ586" s="3"/>
      <c r="AR586" s="3"/>
      <c r="AS586" s="3"/>
      <c r="AT586" s="3"/>
      <c r="AU586" s="3"/>
    </row>
    <row r="587" spans="2:47" ht="14.25" customHeight="1" x14ac:dyDescent="0.3">
      <c r="B587" s="3"/>
      <c r="Q587" s="1"/>
      <c r="R587" s="1"/>
      <c r="S587" s="2"/>
      <c r="T587" s="2">
        <v>473</v>
      </c>
      <c r="U587" s="48" t="s">
        <v>91</v>
      </c>
      <c r="V587" s="2"/>
      <c r="W587" s="2"/>
      <c r="X587" s="2"/>
      <c r="Y587" s="3"/>
      <c r="Z587" s="3"/>
      <c r="AA587" s="3"/>
      <c r="AB587" s="3"/>
      <c r="AC587" s="3"/>
      <c r="AD587" s="3"/>
      <c r="AE587" s="3"/>
      <c r="AF587" s="3"/>
      <c r="AG587" s="3"/>
      <c r="AH587" s="3"/>
      <c r="AI587" s="3"/>
      <c r="AJ587" s="3"/>
      <c r="AK587" s="3"/>
      <c r="AL587" s="3"/>
      <c r="AM587" s="3"/>
      <c r="AN587" s="3"/>
      <c r="AO587" s="3"/>
      <c r="AP587" s="3"/>
      <c r="AQ587" s="3"/>
      <c r="AR587" s="3"/>
      <c r="AS587" s="3"/>
      <c r="AT587" s="3"/>
      <c r="AU587" s="3"/>
    </row>
    <row r="588" spans="2:47" ht="14.25" customHeight="1" x14ac:dyDescent="0.3">
      <c r="B588" s="3"/>
      <c r="Q588" s="1"/>
      <c r="R588" s="1"/>
      <c r="S588" s="2"/>
      <c r="T588" s="2">
        <v>474</v>
      </c>
      <c r="U588" s="48" t="s">
        <v>91</v>
      </c>
      <c r="V588" s="2"/>
      <c r="W588" s="2"/>
      <c r="X588" s="2"/>
      <c r="Y588" s="3"/>
      <c r="Z588" s="3"/>
      <c r="AA588" s="3"/>
      <c r="AB588" s="3"/>
      <c r="AC588" s="3"/>
      <c r="AD588" s="3"/>
      <c r="AE588" s="3"/>
      <c r="AF588" s="3"/>
      <c r="AG588" s="3"/>
      <c r="AH588" s="3"/>
      <c r="AI588" s="3"/>
      <c r="AJ588" s="3"/>
      <c r="AK588" s="3"/>
      <c r="AL588" s="3"/>
      <c r="AM588" s="3"/>
      <c r="AN588" s="3"/>
      <c r="AO588" s="3"/>
      <c r="AP588" s="3"/>
      <c r="AQ588" s="3"/>
      <c r="AR588" s="3"/>
      <c r="AS588" s="3"/>
      <c r="AT588" s="3"/>
      <c r="AU588" s="3"/>
    </row>
    <row r="589" spans="2:47" ht="14.25" customHeight="1" x14ac:dyDescent="0.3">
      <c r="B589" s="3"/>
      <c r="Q589" s="1"/>
      <c r="R589" s="1"/>
      <c r="S589" s="2"/>
      <c r="T589" s="2">
        <v>475</v>
      </c>
      <c r="U589" s="48" t="s">
        <v>91</v>
      </c>
      <c r="V589" s="2"/>
      <c r="W589" s="2"/>
      <c r="X589" s="2"/>
      <c r="Y589" s="3"/>
      <c r="Z589" s="3"/>
      <c r="AA589" s="3"/>
      <c r="AB589" s="3"/>
      <c r="AC589" s="3"/>
      <c r="AD589" s="3"/>
      <c r="AE589" s="3"/>
      <c r="AF589" s="3"/>
      <c r="AG589" s="3"/>
      <c r="AH589" s="3"/>
      <c r="AI589" s="3"/>
      <c r="AJ589" s="3"/>
      <c r="AK589" s="3"/>
      <c r="AL589" s="3"/>
      <c r="AM589" s="3"/>
      <c r="AN589" s="3"/>
      <c r="AO589" s="3"/>
      <c r="AP589" s="3"/>
      <c r="AQ589" s="3"/>
      <c r="AR589" s="3"/>
      <c r="AS589" s="3"/>
      <c r="AT589" s="3"/>
      <c r="AU589" s="3"/>
    </row>
    <row r="590" spans="2:47" ht="14.25" customHeight="1" x14ac:dyDescent="0.3">
      <c r="B590" s="3"/>
      <c r="Q590" s="1"/>
      <c r="R590" s="1"/>
      <c r="S590" s="2"/>
      <c r="T590" s="2">
        <v>476</v>
      </c>
      <c r="U590" s="48" t="s">
        <v>91</v>
      </c>
      <c r="V590" s="2"/>
      <c r="W590" s="2"/>
      <c r="X590" s="2"/>
      <c r="Y590" s="3"/>
      <c r="Z590" s="3"/>
      <c r="AA590" s="3"/>
      <c r="AB590" s="3"/>
      <c r="AC590" s="3"/>
      <c r="AD590" s="3"/>
      <c r="AE590" s="3"/>
      <c r="AF590" s="3"/>
      <c r="AG590" s="3"/>
      <c r="AH590" s="3"/>
      <c r="AI590" s="3"/>
      <c r="AJ590" s="3"/>
      <c r="AK590" s="3"/>
      <c r="AL590" s="3"/>
      <c r="AM590" s="3"/>
      <c r="AN590" s="3"/>
      <c r="AO590" s="3"/>
      <c r="AP590" s="3"/>
      <c r="AQ590" s="3"/>
      <c r="AR590" s="3"/>
      <c r="AS590" s="3"/>
      <c r="AT590" s="3"/>
      <c r="AU590" s="3"/>
    </row>
    <row r="591" spans="2:47" ht="14.25" customHeight="1" x14ac:dyDescent="0.3">
      <c r="B591" s="3"/>
      <c r="Q591" s="1"/>
      <c r="R591" s="1"/>
      <c r="S591" s="2"/>
      <c r="T591" s="2">
        <v>477</v>
      </c>
      <c r="U591" s="48" t="s">
        <v>91</v>
      </c>
      <c r="V591" s="2"/>
      <c r="W591" s="2"/>
      <c r="X591" s="2"/>
      <c r="Y591" s="3"/>
      <c r="Z591" s="3"/>
      <c r="AA591" s="3"/>
      <c r="AB591" s="3"/>
      <c r="AC591" s="3"/>
      <c r="AD591" s="3"/>
      <c r="AE591" s="3"/>
      <c r="AF591" s="3"/>
      <c r="AG591" s="3"/>
      <c r="AH591" s="3"/>
      <c r="AI591" s="3"/>
      <c r="AJ591" s="3"/>
      <c r="AK591" s="3"/>
      <c r="AL591" s="3"/>
      <c r="AM591" s="3"/>
      <c r="AN591" s="3"/>
      <c r="AO591" s="3"/>
      <c r="AP591" s="3"/>
      <c r="AQ591" s="3"/>
      <c r="AR591" s="3"/>
      <c r="AS591" s="3"/>
      <c r="AT591" s="3"/>
      <c r="AU591" s="3"/>
    </row>
    <row r="592" spans="2:47" ht="14.25" customHeight="1" x14ac:dyDescent="0.3">
      <c r="B592" s="3"/>
      <c r="Q592" s="1"/>
      <c r="R592" s="1"/>
      <c r="S592" s="2"/>
      <c r="T592" s="2">
        <v>478</v>
      </c>
      <c r="U592" s="48" t="s">
        <v>91</v>
      </c>
      <c r="V592" s="2"/>
      <c r="W592" s="2"/>
      <c r="X592" s="2"/>
      <c r="Y592" s="3"/>
      <c r="Z592" s="3"/>
      <c r="AA592" s="3"/>
      <c r="AB592" s="3"/>
      <c r="AC592" s="3"/>
      <c r="AD592" s="3"/>
      <c r="AE592" s="3"/>
      <c r="AF592" s="3"/>
      <c r="AG592" s="3"/>
      <c r="AH592" s="3"/>
      <c r="AI592" s="3"/>
      <c r="AJ592" s="3"/>
      <c r="AK592" s="3"/>
      <c r="AL592" s="3"/>
      <c r="AM592" s="3"/>
      <c r="AN592" s="3"/>
      <c r="AO592" s="3"/>
      <c r="AP592" s="3"/>
      <c r="AQ592" s="3"/>
      <c r="AR592" s="3"/>
      <c r="AS592" s="3"/>
      <c r="AT592" s="3"/>
      <c r="AU592" s="3"/>
    </row>
    <row r="593" spans="2:47" ht="14.25" customHeight="1" x14ac:dyDescent="0.3">
      <c r="B593" s="3"/>
      <c r="Q593" s="1"/>
      <c r="R593" s="1"/>
      <c r="S593" s="2"/>
      <c r="T593" s="2">
        <v>479</v>
      </c>
      <c r="U593" s="48" t="s">
        <v>91</v>
      </c>
      <c r="V593" s="2"/>
      <c r="W593" s="2"/>
      <c r="X593" s="2"/>
      <c r="Y593" s="3"/>
      <c r="Z593" s="3"/>
      <c r="AA593" s="3"/>
      <c r="AB593" s="3"/>
      <c r="AC593" s="3"/>
      <c r="AD593" s="3"/>
      <c r="AE593" s="3"/>
      <c r="AF593" s="3"/>
      <c r="AG593" s="3"/>
      <c r="AH593" s="3"/>
      <c r="AI593" s="3"/>
      <c r="AJ593" s="3"/>
      <c r="AK593" s="3"/>
      <c r="AL593" s="3"/>
      <c r="AM593" s="3"/>
      <c r="AN593" s="3"/>
      <c r="AO593" s="3"/>
      <c r="AP593" s="3"/>
      <c r="AQ593" s="3"/>
      <c r="AR593" s="3"/>
      <c r="AS593" s="3"/>
      <c r="AT593" s="3"/>
      <c r="AU593" s="3"/>
    </row>
    <row r="594" spans="2:47" ht="14.25" customHeight="1" x14ac:dyDescent="0.3">
      <c r="B594" s="3"/>
      <c r="Q594" s="1"/>
      <c r="R594" s="1"/>
      <c r="S594" s="2"/>
      <c r="T594" s="2">
        <v>480</v>
      </c>
      <c r="U594" s="48" t="s">
        <v>91</v>
      </c>
      <c r="V594" s="2"/>
      <c r="W594" s="2"/>
      <c r="X594" s="2"/>
      <c r="Y594" s="3"/>
      <c r="Z594" s="3"/>
      <c r="AA594" s="3"/>
      <c r="AB594" s="3"/>
      <c r="AC594" s="3"/>
      <c r="AD594" s="3"/>
      <c r="AE594" s="3"/>
      <c r="AF594" s="3"/>
      <c r="AG594" s="3"/>
      <c r="AH594" s="3"/>
      <c r="AI594" s="3"/>
      <c r="AJ594" s="3"/>
      <c r="AK594" s="3"/>
      <c r="AL594" s="3"/>
      <c r="AM594" s="3"/>
      <c r="AN594" s="3"/>
      <c r="AO594" s="3"/>
      <c r="AP594" s="3"/>
      <c r="AQ594" s="3"/>
      <c r="AR594" s="3"/>
      <c r="AS594" s="3"/>
      <c r="AT594" s="3"/>
      <c r="AU594" s="3"/>
    </row>
    <row r="595" spans="2:47" ht="14.25" customHeight="1" x14ac:dyDescent="0.3">
      <c r="B595" s="3"/>
      <c r="Q595" s="1"/>
      <c r="R595" s="1"/>
      <c r="S595" s="2"/>
      <c r="T595" s="2">
        <v>481</v>
      </c>
      <c r="U595" s="48" t="s">
        <v>91</v>
      </c>
      <c r="V595" s="2"/>
      <c r="W595" s="2"/>
      <c r="X595" s="2"/>
      <c r="Y595" s="3"/>
      <c r="Z595" s="3"/>
      <c r="AA595" s="3"/>
      <c r="AB595" s="3"/>
      <c r="AC595" s="3"/>
      <c r="AD595" s="3"/>
      <c r="AE595" s="3"/>
      <c r="AF595" s="3"/>
      <c r="AG595" s="3"/>
      <c r="AH595" s="3"/>
      <c r="AI595" s="3"/>
      <c r="AJ595" s="3"/>
      <c r="AK595" s="3"/>
      <c r="AL595" s="3"/>
      <c r="AM595" s="3"/>
      <c r="AN595" s="3"/>
      <c r="AO595" s="3"/>
      <c r="AP595" s="3"/>
      <c r="AQ595" s="3"/>
      <c r="AR595" s="3"/>
      <c r="AS595" s="3"/>
      <c r="AT595" s="3"/>
      <c r="AU595" s="3"/>
    </row>
    <row r="596" spans="2:47" ht="14.25" customHeight="1" x14ac:dyDescent="0.3">
      <c r="B596" s="3"/>
      <c r="Q596" s="1"/>
      <c r="R596" s="1"/>
      <c r="S596" s="2"/>
      <c r="T596" s="2">
        <v>482</v>
      </c>
      <c r="U596" s="48" t="s">
        <v>91</v>
      </c>
      <c r="V596" s="2"/>
      <c r="W596" s="2"/>
      <c r="X596" s="2"/>
      <c r="Y596" s="3"/>
      <c r="Z596" s="3"/>
      <c r="AA596" s="3"/>
      <c r="AB596" s="3"/>
      <c r="AC596" s="3"/>
      <c r="AD596" s="3"/>
      <c r="AE596" s="3"/>
      <c r="AF596" s="3"/>
      <c r="AG596" s="3"/>
      <c r="AH596" s="3"/>
      <c r="AI596" s="3"/>
      <c r="AJ596" s="3"/>
      <c r="AK596" s="3"/>
      <c r="AL596" s="3"/>
      <c r="AM596" s="3"/>
      <c r="AN596" s="3"/>
      <c r="AO596" s="3"/>
      <c r="AP596" s="3"/>
      <c r="AQ596" s="3"/>
      <c r="AR596" s="3"/>
      <c r="AS596" s="3"/>
      <c r="AT596" s="3"/>
      <c r="AU596" s="3"/>
    </row>
    <row r="597" spans="2:47" ht="14.25" customHeight="1" x14ac:dyDescent="0.3">
      <c r="B597" s="3"/>
      <c r="Q597" s="1"/>
      <c r="R597" s="1"/>
      <c r="S597" s="2"/>
      <c r="T597" s="2">
        <v>483</v>
      </c>
      <c r="U597" s="48" t="s">
        <v>91</v>
      </c>
      <c r="V597" s="2"/>
      <c r="W597" s="2"/>
      <c r="X597" s="2"/>
      <c r="Y597" s="3"/>
      <c r="Z597" s="3"/>
      <c r="AA597" s="3"/>
      <c r="AB597" s="3"/>
      <c r="AC597" s="3"/>
      <c r="AD597" s="3"/>
      <c r="AE597" s="3"/>
      <c r="AF597" s="3"/>
      <c r="AG597" s="3"/>
      <c r="AH597" s="3"/>
      <c r="AI597" s="3"/>
      <c r="AJ597" s="3"/>
      <c r="AK597" s="3"/>
      <c r="AL597" s="3"/>
      <c r="AM597" s="3"/>
      <c r="AN597" s="3"/>
      <c r="AO597" s="3"/>
      <c r="AP597" s="3"/>
      <c r="AQ597" s="3"/>
      <c r="AR597" s="3"/>
      <c r="AS597" s="3"/>
      <c r="AT597" s="3"/>
      <c r="AU597" s="3"/>
    </row>
    <row r="598" spans="2:47" ht="14.25" customHeight="1" x14ac:dyDescent="0.3">
      <c r="B598" s="3"/>
      <c r="Q598" s="1"/>
      <c r="R598" s="1"/>
      <c r="S598" s="2"/>
      <c r="T598" s="2">
        <v>484</v>
      </c>
      <c r="U598" s="48" t="s">
        <v>91</v>
      </c>
      <c r="V598" s="2"/>
      <c r="W598" s="2"/>
      <c r="X598" s="2"/>
      <c r="Y598" s="3"/>
      <c r="Z598" s="3"/>
      <c r="AA598" s="3"/>
      <c r="AB598" s="3"/>
      <c r="AC598" s="3"/>
      <c r="AD598" s="3"/>
      <c r="AE598" s="3"/>
      <c r="AF598" s="3"/>
      <c r="AG598" s="3"/>
      <c r="AH598" s="3"/>
      <c r="AI598" s="3"/>
      <c r="AJ598" s="3"/>
      <c r="AK598" s="3"/>
      <c r="AL598" s="3"/>
      <c r="AM598" s="3"/>
      <c r="AN598" s="3"/>
      <c r="AO598" s="3"/>
      <c r="AP598" s="3"/>
      <c r="AQ598" s="3"/>
      <c r="AR598" s="3"/>
      <c r="AS598" s="3"/>
      <c r="AT598" s="3"/>
      <c r="AU598" s="3"/>
    </row>
    <row r="599" spans="2:47" ht="14.25" customHeight="1" x14ac:dyDescent="0.3">
      <c r="B599" s="3"/>
      <c r="Q599" s="1"/>
      <c r="R599" s="1"/>
      <c r="S599" s="2"/>
      <c r="T599" s="2">
        <v>485</v>
      </c>
      <c r="U599" s="48" t="s">
        <v>91</v>
      </c>
      <c r="V599" s="2"/>
      <c r="W599" s="2"/>
      <c r="X599" s="2"/>
      <c r="Y599" s="3"/>
      <c r="Z599" s="3"/>
      <c r="AA599" s="3"/>
      <c r="AB599" s="3"/>
      <c r="AC599" s="3"/>
      <c r="AD599" s="3"/>
      <c r="AE599" s="3"/>
      <c r="AF599" s="3"/>
      <c r="AG599" s="3"/>
      <c r="AH599" s="3"/>
      <c r="AI599" s="3"/>
      <c r="AJ599" s="3"/>
      <c r="AK599" s="3"/>
      <c r="AL599" s="3"/>
      <c r="AM599" s="3"/>
      <c r="AN599" s="3"/>
      <c r="AO599" s="3"/>
      <c r="AP599" s="3"/>
      <c r="AQ599" s="3"/>
      <c r="AR599" s="3"/>
      <c r="AS599" s="3"/>
      <c r="AT599" s="3"/>
      <c r="AU599" s="3"/>
    </row>
    <row r="600" spans="2:47" ht="14.25" customHeight="1" x14ac:dyDescent="0.3">
      <c r="B600" s="3"/>
      <c r="Q600" s="1"/>
      <c r="R600" s="1"/>
      <c r="S600" s="2"/>
      <c r="T600" s="2">
        <v>486</v>
      </c>
      <c r="U600" s="48" t="s">
        <v>91</v>
      </c>
      <c r="V600" s="2"/>
      <c r="W600" s="2"/>
      <c r="X600" s="2"/>
      <c r="Y600" s="3"/>
      <c r="Z600" s="3"/>
      <c r="AA600" s="3"/>
      <c r="AB600" s="3"/>
      <c r="AC600" s="3"/>
      <c r="AD600" s="3"/>
      <c r="AE600" s="3"/>
      <c r="AF600" s="3"/>
      <c r="AG600" s="3"/>
      <c r="AH600" s="3"/>
      <c r="AI600" s="3"/>
      <c r="AJ600" s="3"/>
      <c r="AK600" s="3"/>
      <c r="AL600" s="3"/>
      <c r="AM600" s="3"/>
      <c r="AN600" s="3"/>
      <c r="AO600" s="3"/>
      <c r="AP600" s="3"/>
      <c r="AQ600" s="3"/>
      <c r="AR600" s="3"/>
      <c r="AS600" s="3"/>
      <c r="AT600" s="3"/>
      <c r="AU600" s="3"/>
    </row>
    <row r="601" spans="2:47" ht="14.25" customHeight="1" x14ac:dyDescent="0.3">
      <c r="B601" s="3"/>
      <c r="Q601" s="1"/>
      <c r="R601" s="1"/>
      <c r="S601" s="2"/>
      <c r="T601" s="2">
        <v>487</v>
      </c>
      <c r="U601" s="48" t="s">
        <v>91</v>
      </c>
      <c r="V601" s="2"/>
      <c r="W601" s="2"/>
      <c r="X601" s="2"/>
      <c r="Y601" s="3"/>
      <c r="Z601" s="3"/>
      <c r="AA601" s="3"/>
      <c r="AB601" s="3"/>
      <c r="AC601" s="3"/>
      <c r="AD601" s="3"/>
      <c r="AE601" s="3"/>
      <c r="AF601" s="3"/>
      <c r="AG601" s="3"/>
      <c r="AH601" s="3"/>
      <c r="AI601" s="3"/>
      <c r="AJ601" s="3"/>
      <c r="AK601" s="3"/>
      <c r="AL601" s="3"/>
      <c r="AM601" s="3"/>
      <c r="AN601" s="3"/>
      <c r="AO601" s="3"/>
      <c r="AP601" s="3"/>
      <c r="AQ601" s="3"/>
      <c r="AR601" s="3"/>
      <c r="AS601" s="3"/>
      <c r="AT601" s="3"/>
      <c r="AU601" s="3"/>
    </row>
    <row r="602" spans="2:47" ht="14.25" customHeight="1" x14ac:dyDescent="0.3">
      <c r="B602" s="3"/>
      <c r="Q602" s="1"/>
      <c r="R602" s="1"/>
      <c r="S602" s="2"/>
      <c r="T602" s="2">
        <v>488</v>
      </c>
      <c r="U602" s="48" t="s">
        <v>91</v>
      </c>
      <c r="V602" s="2"/>
      <c r="W602" s="2"/>
      <c r="X602" s="2"/>
      <c r="Y602" s="3"/>
      <c r="Z602" s="3"/>
      <c r="AA602" s="3"/>
      <c r="AB602" s="3"/>
      <c r="AC602" s="3"/>
      <c r="AD602" s="3"/>
      <c r="AE602" s="3"/>
      <c r="AF602" s="3"/>
      <c r="AG602" s="3"/>
      <c r="AH602" s="3"/>
      <c r="AI602" s="3"/>
      <c r="AJ602" s="3"/>
      <c r="AK602" s="3"/>
      <c r="AL602" s="3"/>
      <c r="AM602" s="3"/>
      <c r="AN602" s="3"/>
      <c r="AO602" s="3"/>
      <c r="AP602" s="3"/>
      <c r="AQ602" s="3"/>
      <c r="AR602" s="3"/>
      <c r="AS602" s="3"/>
      <c r="AT602" s="3"/>
      <c r="AU602" s="3"/>
    </row>
    <row r="603" spans="2:47" ht="14.25" customHeight="1" x14ac:dyDescent="0.3">
      <c r="B603" s="3"/>
      <c r="Q603" s="1"/>
      <c r="R603" s="1"/>
      <c r="S603" s="2"/>
      <c r="T603" s="2">
        <v>489</v>
      </c>
      <c r="U603" s="48" t="s">
        <v>91</v>
      </c>
      <c r="V603" s="2"/>
      <c r="W603" s="2"/>
      <c r="X603" s="2"/>
      <c r="Y603" s="3"/>
      <c r="Z603" s="3"/>
      <c r="AA603" s="3"/>
      <c r="AB603" s="3"/>
      <c r="AC603" s="3"/>
      <c r="AD603" s="3"/>
      <c r="AE603" s="3"/>
      <c r="AF603" s="3"/>
      <c r="AG603" s="3"/>
      <c r="AH603" s="3"/>
      <c r="AI603" s="3"/>
      <c r="AJ603" s="3"/>
      <c r="AK603" s="3"/>
      <c r="AL603" s="3"/>
      <c r="AM603" s="3"/>
      <c r="AN603" s="3"/>
      <c r="AO603" s="3"/>
      <c r="AP603" s="3"/>
      <c r="AQ603" s="3"/>
      <c r="AR603" s="3"/>
      <c r="AS603" s="3"/>
      <c r="AT603" s="3"/>
      <c r="AU603" s="3"/>
    </row>
    <row r="604" spans="2:47" ht="14.25" customHeight="1" x14ac:dyDescent="0.3">
      <c r="B604" s="3"/>
      <c r="Q604" s="1"/>
      <c r="R604" s="1"/>
      <c r="S604" s="2"/>
      <c r="T604" s="2">
        <v>490</v>
      </c>
      <c r="U604" s="48" t="s">
        <v>91</v>
      </c>
      <c r="V604" s="2"/>
      <c r="W604" s="2"/>
      <c r="X604" s="2"/>
      <c r="Y604" s="3"/>
      <c r="Z604" s="3"/>
      <c r="AA604" s="3"/>
      <c r="AB604" s="3"/>
      <c r="AC604" s="3"/>
      <c r="AD604" s="3"/>
      <c r="AE604" s="3"/>
      <c r="AF604" s="3"/>
      <c r="AG604" s="3"/>
      <c r="AH604" s="3"/>
      <c r="AI604" s="3"/>
      <c r="AJ604" s="3"/>
      <c r="AK604" s="3"/>
      <c r="AL604" s="3"/>
      <c r="AM604" s="3"/>
      <c r="AN604" s="3"/>
      <c r="AO604" s="3"/>
      <c r="AP604" s="3"/>
      <c r="AQ604" s="3"/>
      <c r="AR604" s="3"/>
      <c r="AS604" s="3"/>
      <c r="AT604" s="3"/>
      <c r="AU604" s="3"/>
    </row>
    <row r="605" spans="2:47" ht="14.25" customHeight="1" x14ac:dyDescent="0.3">
      <c r="B605" s="3"/>
      <c r="Q605" s="1"/>
      <c r="R605" s="1"/>
      <c r="S605" s="2"/>
      <c r="T605" s="2">
        <v>491</v>
      </c>
      <c r="U605" s="48" t="s">
        <v>91</v>
      </c>
      <c r="V605" s="2"/>
      <c r="W605" s="2"/>
      <c r="X605" s="2"/>
      <c r="Y605" s="3"/>
      <c r="Z605" s="3"/>
      <c r="AA605" s="3"/>
      <c r="AB605" s="3"/>
      <c r="AC605" s="3"/>
      <c r="AD605" s="3"/>
      <c r="AE605" s="3"/>
      <c r="AF605" s="3"/>
      <c r="AG605" s="3"/>
      <c r="AH605" s="3"/>
      <c r="AI605" s="3"/>
      <c r="AJ605" s="3"/>
      <c r="AK605" s="3"/>
      <c r="AL605" s="3"/>
      <c r="AM605" s="3"/>
      <c r="AN605" s="3"/>
      <c r="AO605" s="3"/>
      <c r="AP605" s="3"/>
      <c r="AQ605" s="3"/>
      <c r="AR605" s="3"/>
      <c r="AS605" s="3"/>
      <c r="AT605" s="3"/>
      <c r="AU605" s="3"/>
    </row>
    <row r="606" spans="2:47" ht="14.25" customHeight="1" x14ac:dyDescent="0.3">
      <c r="B606" s="3"/>
      <c r="Q606" s="1"/>
      <c r="R606" s="1"/>
      <c r="S606" s="2"/>
      <c r="T606" s="2">
        <v>492</v>
      </c>
      <c r="U606" s="48" t="s">
        <v>91</v>
      </c>
      <c r="V606" s="2"/>
      <c r="W606" s="2"/>
      <c r="X606" s="2"/>
      <c r="Y606" s="3"/>
      <c r="Z606" s="3"/>
      <c r="AA606" s="3"/>
      <c r="AB606" s="3"/>
      <c r="AC606" s="3"/>
      <c r="AD606" s="3"/>
      <c r="AE606" s="3"/>
      <c r="AF606" s="3"/>
      <c r="AG606" s="3"/>
      <c r="AH606" s="3"/>
      <c r="AI606" s="3"/>
      <c r="AJ606" s="3"/>
      <c r="AK606" s="3"/>
      <c r="AL606" s="3"/>
      <c r="AM606" s="3"/>
      <c r="AN606" s="3"/>
      <c r="AO606" s="3"/>
      <c r="AP606" s="3"/>
      <c r="AQ606" s="3"/>
      <c r="AR606" s="3"/>
      <c r="AS606" s="3"/>
      <c r="AT606" s="3"/>
      <c r="AU606" s="3"/>
    </row>
    <row r="607" spans="2:47" ht="14.25" customHeight="1" x14ac:dyDescent="0.3">
      <c r="B607" s="3"/>
      <c r="Q607" s="1"/>
      <c r="R607" s="1"/>
      <c r="S607" s="2"/>
      <c r="T607" s="2">
        <v>493</v>
      </c>
      <c r="U607" s="48" t="s">
        <v>91</v>
      </c>
      <c r="V607" s="2"/>
      <c r="W607" s="2"/>
      <c r="X607" s="2"/>
      <c r="Y607" s="3"/>
      <c r="Z607" s="3"/>
      <c r="AA607" s="3"/>
      <c r="AB607" s="3"/>
      <c r="AC607" s="3"/>
      <c r="AD607" s="3"/>
      <c r="AE607" s="3"/>
      <c r="AF607" s="3"/>
      <c r="AG607" s="3"/>
      <c r="AH607" s="3"/>
      <c r="AI607" s="3"/>
      <c r="AJ607" s="3"/>
      <c r="AK607" s="3"/>
      <c r="AL607" s="3"/>
      <c r="AM607" s="3"/>
      <c r="AN607" s="3"/>
      <c r="AO607" s="3"/>
      <c r="AP607" s="3"/>
      <c r="AQ607" s="3"/>
      <c r="AR607" s="3"/>
      <c r="AS607" s="3"/>
      <c r="AT607" s="3"/>
      <c r="AU607" s="3"/>
    </row>
    <row r="608" spans="2:47" ht="14.25" customHeight="1" x14ac:dyDescent="0.3">
      <c r="B608" s="3"/>
      <c r="Q608" s="1"/>
      <c r="R608" s="1"/>
      <c r="S608" s="2"/>
      <c r="T608" s="2">
        <v>494</v>
      </c>
      <c r="U608" s="48" t="s">
        <v>91</v>
      </c>
      <c r="V608" s="2"/>
      <c r="W608" s="2"/>
      <c r="X608" s="2"/>
      <c r="Y608" s="3"/>
      <c r="Z608" s="3"/>
      <c r="AA608" s="3"/>
      <c r="AB608" s="3"/>
      <c r="AC608" s="3"/>
      <c r="AD608" s="3"/>
      <c r="AE608" s="3"/>
      <c r="AF608" s="3"/>
      <c r="AG608" s="3"/>
      <c r="AH608" s="3"/>
      <c r="AI608" s="3"/>
      <c r="AJ608" s="3"/>
      <c r="AK608" s="3"/>
      <c r="AL608" s="3"/>
      <c r="AM608" s="3"/>
      <c r="AN608" s="3"/>
      <c r="AO608" s="3"/>
      <c r="AP608" s="3"/>
      <c r="AQ608" s="3"/>
      <c r="AR608" s="3"/>
      <c r="AS608" s="3"/>
      <c r="AT608" s="3"/>
      <c r="AU608" s="3"/>
    </row>
    <row r="609" spans="2:47" ht="14.25" customHeight="1" x14ac:dyDescent="0.3">
      <c r="B609" s="3"/>
      <c r="Q609" s="1"/>
      <c r="R609" s="1"/>
      <c r="S609" s="2"/>
      <c r="T609" s="2">
        <v>495</v>
      </c>
      <c r="U609" s="48" t="s">
        <v>91</v>
      </c>
      <c r="V609" s="2"/>
      <c r="W609" s="2"/>
      <c r="X609" s="2"/>
      <c r="Y609" s="3"/>
      <c r="Z609" s="3"/>
      <c r="AA609" s="3"/>
      <c r="AB609" s="3"/>
      <c r="AC609" s="3"/>
      <c r="AD609" s="3"/>
      <c r="AE609" s="3"/>
      <c r="AF609" s="3"/>
      <c r="AG609" s="3"/>
      <c r="AH609" s="3"/>
      <c r="AI609" s="3"/>
      <c r="AJ609" s="3"/>
      <c r="AK609" s="3"/>
      <c r="AL609" s="3"/>
      <c r="AM609" s="3"/>
      <c r="AN609" s="3"/>
      <c r="AO609" s="3"/>
      <c r="AP609" s="3"/>
      <c r="AQ609" s="3"/>
      <c r="AR609" s="3"/>
      <c r="AS609" s="3"/>
      <c r="AT609" s="3"/>
      <c r="AU609" s="3"/>
    </row>
    <row r="610" spans="2:47" ht="14.25" customHeight="1" x14ac:dyDescent="0.3">
      <c r="B610" s="3"/>
      <c r="Q610" s="1"/>
      <c r="R610" s="1"/>
      <c r="S610" s="2"/>
      <c r="T610" s="2">
        <v>496</v>
      </c>
      <c r="U610" s="48" t="s">
        <v>91</v>
      </c>
      <c r="V610" s="2"/>
      <c r="W610" s="2"/>
      <c r="X610" s="2"/>
      <c r="Y610" s="3"/>
      <c r="Z610" s="3"/>
      <c r="AA610" s="3"/>
      <c r="AB610" s="3"/>
      <c r="AC610" s="3"/>
      <c r="AD610" s="3"/>
      <c r="AE610" s="3"/>
      <c r="AF610" s="3"/>
      <c r="AG610" s="3"/>
      <c r="AH610" s="3"/>
      <c r="AI610" s="3"/>
      <c r="AJ610" s="3"/>
      <c r="AK610" s="3"/>
      <c r="AL610" s="3"/>
      <c r="AM610" s="3"/>
      <c r="AN610" s="3"/>
      <c r="AO610" s="3"/>
      <c r="AP610" s="3"/>
      <c r="AQ610" s="3"/>
      <c r="AR610" s="3"/>
      <c r="AS610" s="3"/>
      <c r="AT610" s="3"/>
      <c r="AU610" s="3"/>
    </row>
    <row r="611" spans="2:47" ht="14.25" customHeight="1" x14ac:dyDescent="0.3">
      <c r="B611" s="3"/>
      <c r="Q611" s="1"/>
      <c r="R611" s="1"/>
      <c r="S611" s="2"/>
      <c r="T611" s="2">
        <v>497</v>
      </c>
      <c r="U611" s="48" t="s">
        <v>91</v>
      </c>
      <c r="V611" s="2"/>
      <c r="W611" s="2"/>
      <c r="X611" s="2"/>
      <c r="Y611" s="3"/>
      <c r="Z611" s="3"/>
      <c r="AA611" s="3"/>
      <c r="AB611" s="3"/>
      <c r="AC611" s="3"/>
      <c r="AD611" s="3"/>
      <c r="AE611" s="3"/>
      <c r="AF611" s="3"/>
      <c r="AG611" s="3"/>
      <c r="AH611" s="3"/>
      <c r="AI611" s="3"/>
      <c r="AJ611" s="3"/>
      <c r="AK611" s="3"/>
      <c r="AL611" s="3"/>
      <c r="AM611" s="3"/>
      <c r="AN611" s="3"/>
      <c r="AO611" s="3"/>
      <c r="AP611" s="3"/>
      <c r="AQ611" s="3"/>
      <c r="AR611" s="3"/>
      <c r="AS611" s="3"/>
      <c r="AT611" s="3"/>
      <c r="AU611" s="3"/>
    </row>
    <row r="612" spans="2:47" ht="14.25" customHeight="1" x14ac:dyDescent="0.3">
      <c r="B612" s="3"/>
      <c r="Q612" s="1"/>
      <c r="R612" s="1"/>
      <c r="S612" s="2"/>
      <c r="T612" s="2">
        <v>498</v>
      </c>
      <c r="U612" s="48" t="s">
        <v>91</v>
      </c>
      <c r="V612" s="2"/>
      <c r="W612" s="2"/>
      <c r="X612" s="2"/>
      <c r="Y612" s="3"/>
      <c r="Z612" s="3"/>
      <c r="AA612" s="3"/>
      <c r="AB612" s="3"/>
      <c r="AC612" s="3"/>
      <c r="AD612" s="3"/>
      <c r="AE612" s="3"/>
      <c r="AF612" s="3"/>
      <c r="AG612" s="3"/>
      <c r="AH612" s="3"/>
      <c r="AI612" s="3"/>
      <c r="AJ612" s="3"/>
      <c r="AK612" s="3"/>
      <c r="AL612" s="3"/>
      <c r="AM612" s="3"/>
      <c r="AN612" s="3"/>
      <c r="AO612" s="3"/>
      <c r="AP612" s="3"/>
      <c r="AQ612" s="3"/>
      <c r="AR612" s="3"/>
      <c r="AS612" s="3"/>
      <c r="AT612" s="3"/>
      <c r="AU612" s="3"/>
    </row>
    <row r="613" spans="2:47" ht="14.25" customHeight="1" x14ac:dyDescent="0.3">
      <c r="B613" s="3"/>
      <c r="Q613" s="1"/>
      <c r="R613" s="1"/>
      <c r="S613" s="2"/>
      <c r="T613" s="2">
        <v>499</v>
      </c>
      <c r="U613" s="48" t="s">
        <v>91</v>
      </c>
      <c r="V613" s="2"/>
      <c r="W613" s="2"/>
      <c r="X613" s="2"/>
      <c r="Y613" s="3"/>
      <c r="Z613" s="3"/>
      <c r="AA613" s="3"/>
      <c r="AB613" s="3"/>
      <c r="AC613" s="3"/>
      <c r="AD613" s="3"/>
      <c r="AE613" s="3"/>
      <c r="AF613" s="3"/>
      <c r="AG613" s="3"/>
      <c r="AH613" s="3"/>
      <c r="AI613" s="3"/>
      <c r="AJ613" s="3"/>
      <c r="AK613" s="3"/>
      <c r="AL613" s="3"/>
      <c r="AM613" s="3"/>
      <c r="AN613" s="3"/>
      <c r="AO613" s="3"/>
      <c r="AP613" s="3"/>
      <c r="AQ613" s="3"/>
      <c r="AR613" s="3"/>
      <c r="AS613" s="3"/>
      <c r="AT613" s="3"/>
      <c r="AU613" s="3"/>
    </row>
    <row r="614" spans="2:47" ht="14.25" customHeight="1" x14ac:dyDescent="0.3">
      <c r="B614" s="3"/>
      <c r="Q614" s="1"/>
      <c r="R614" s="1"/>
      <c r="S614" s="2"/>
      <c r="T614" s="2">
        <v>500</v>
      </c>
      <c r="U614" s="48" t="s">
        <v>91</v>
      </c>
      <c r="V614" s="2"/>
      <c r="W614" s="2"/>
      <c r="X614" s="2"/>
      <c r="Y614" s="3"/>
      <c r="Z614" s="3"/>
      <c r="AA614" s="3"/>
      <c r="AB614" s="3"/>
      <c r="AC614" s="3"/>
      <c r="AD614" s="3"/>
      <c r="AE614" s="3"/>
      <c r="AF614" s="3"/>
      <c r="AG614" s="3"/>
      <c r="AH614" s="3"/>
      <c r="AI614" s="3"/>
      <c r="AJ614" s="3"/>
      <c r="AK614" s="3"/>
      <c r="AL614" s="3"/>
      <c r="AM614" s="3"/>
      <c r="AN614" s="3"/>
      <c r="AO614" s="3"/>
      <c r="AP614" s="3"/>
      <c r="AQ614" s="3"/>
      <c r="AR614" s="3"/>
      <c r="AS614" s="3"/>
      <c r="AT614" s="3"/>
      <c r="AU614" s="3"/>
    </row>
    <row r="615" spans="2:47" ht="14.25" customHeight="1" x14ac:dyDescent="0.3">
      <c r="B615" s="3"/>
      <c r="Q615" s="1"/>
      <c r="R615" s="1"/>
      <c r="S615" s="2"/>
      <c r="T615" s="2">
        <v>501</v>
      </c>
      <c r="U615" s="48" t="s">
        <v>91</v>
      </c>
      <c r="V615" s="2"/>
      <c r="W615" s="2"/>
      <c r="X615" s="2"/>
      <c r="Y615" s="3"/>
      <c r="Z615" s="3"/>
      <c r="AA615" s="3"/>
      <c r="AB615" s="3"/>
      <c r="AC615" s="3"/>
      <c r="AD615" s="3"/>
      <c r="AE615" s="3"/>
      <c r="AF615" s="3"/>
      <c r="AG615" s="3"/>
      <c r="AH615" s="3"/>
      <c r="AI615" s="3"/>
      <c r="AJ615" s="3"/>
      <c r="AK615" s="3"/>
      <c r="AL615" s="3"/>
      <c r="AM615" s="3"/>
      <c r="AN615" s="3"/>
      <c r="AO615" s="3"/>
      <c r="AP615" s="3"/>
      <c r="AQ615" s="3"/>
      <c r="AR615" s="3"/>
      <c r="AS615" s="3"/>
      <c r="AT615" s="3"/>
      <c r="AU615" s="3"/>
    </row>
    <row r="616" spans="2:47" ht="14.25" customHeight="1" x14ac:dyDescent="0.3">
      <c r="B616" s="3"/>
      <c r="Q616" s="1"/>
      <c r="R616" s="1"/>
      <c r="S616" s="2"/>
      <c r="T616" s="2">
        <v>502</v>
      </c>
      <c r="U616" s="48" t="s">
        <v>91</v>
      </c>
      <c r="V616" s="2"/>
      <c r="W616" s="2"/>
      <c r="X616" s="2"/>
      <c r="Y616" s="3"/>
      <c r="Z616" s="3"/>
      <c r="AA616" s="3"/>
      <c r="AB616" s="3"/>
      <c r="AC616" s="3"/>
      <c r="AD616" s="3"/>
      <c r="AE616" s="3"/>
      <c r="AF616" s="3"/>
      <c r="AG616" s="3"/>
      <c r="AH616" s="3"/>
      <c r="AI616" s="3"/>
      <c r="AJ616" s="3"/>
      <c r="AK616" s="3"/>
      <c r="AL616" s="3"/>
      <c r="AM616" s="3"/>
      <c r="AN616" s="3"/>
      <c r="AO616" s="3"/>
      <c r="AP616" s="3"/>
      <c r="AQ616" s="3"/>
      <c r="AR616" s="3"/>
      <c r="AS616" s="3"/>
      <c r="AT616" s="3"/>
      <c r="AU616" s="3"/>
    </row>
    <row r="617" spans="2:47" ht="14.25" customHeight="1" x14ac:dyDescent="0.3">
      <c r="B617" s="3"/>
      <c r="Q617" s="1"/>
      <c r="R617" s="1"/>
      <c r="S617" s="2"/>
      <c r="T617" s="2">
        <v>503</v>
      </c>
      <c r="U617" s="48" t="s">
        <v>91</v>
      </c>
      <c r="V617" s="2"/>
      <c r="W617" s="2"/>
      <c r="X617" s="2"/>
      <c r="Y617" s="3"/>
      <c r="Z617" s="3"/>
      <c r="AA617" s="3"/>
      <c r="AB617" s="3"/>
      <c r="AC617" s="3"/>
      <c r="AD617" s="3"/>
      <c r="AE617" s="3"/>
      <c r="AF617" s="3"/>
      <c r="AG617" s="3"/>
      <c r="AH617" s="3"/>
      <c r="AI617" s="3"/>
      <c r="AJ617" s="3"/>
      <c r="AK617" s="3"/>
      <c r="AL617" s="3"/>
      <c r="AM617" s="3"/>
      <c r="AN617" s="3"/>
      <c r="AO617" s="3"/>
      <c r="AP617" s="3"/>
      <c r="AQ617" s="3"/>
      <c r="AR617" s="3"/>
      <c r="AS617" s="3"/>
      <c r="AT617" s="3"/>
      <c r="AU617" s="3"/>
    </row>
    <row r="618" spans="2:47" ht="14.25" customHeight="1" x14ac:dyDescent="0.3">
      <c r="B618" s="3"/>
      <c r="Q618" s="1"/>
      <c r="R618" s="1"/>
      <c r="S618" s="2"/>
      <c r="T618" s="2">
        <v>504</v>
      </c>
      <c r="U618" s="48" t="s">
        <v>91</v>
      </c>
      <c r="V618" s="2"/>
      <c r="W618" s="2"/>
      <c r="X618" s="2"/>
      <c r="Y618" s="3"/>
      <c r="Z618" s="3"/>
      <c r="AA618" s="3"/>
      <c r="AB618" s="3"/>
      <c r="AC618" s="3"/>
      <c r="AD618" s="3"/>
      <c r="AE618" s="3"/>
      <c r="AF618" s="3"/>
      <c r="AG618" s="3"/>
      <c r="AH618" s="3"/>
      <c r="AI618" s="3"/>
      <c r="AJ618" s="3"/>
      <c r="AK618" s="3"/>
      <c r="AL618" s="3"/>
      <c r="AM618" s="3"/>
      <c r="AN618" s="3"/>
      <c r="AO618" s="3"/>
      <c r="AP618" s="3"/>
      <c r="AQ618" s="3"/>
      <c r="AR618" s="3"/>
      <c r="AS618" s="3"/>
      <c r="AT618" s="3"/>
      <c r="AU618" s="3"/>
    </row>
    <row r="619" spans="2:47" ht="14.25" customHeight="1" x14ac:dyDescent="0.3">
      <c r="B619" s="3"/>
      <c r="Q619" s="1"/>
      <c r="R619" s="1"/>
      <c r="S619" s="2"/>
      <c r="T619" s="2">
        <v>505</v>
      </c>
      <c r="U619" s="48" t="s">
        <v>91</v>
      </c>
      <c r="V619" s="2"/>
      <c r="W619" s="2"/>
      <c r="X619" s="2"/>
      <c r="Y619" s="3"/>
      <c r="Z619" s="3"/>
      <c r="AA619" s="3"/>
      <c r="AB619" s="3"/>
      <c r="AC619" s="3"/>
      <c r="AD619" s="3"/>
      <c r="AE619" s="3"/>
      <c r="AF619" s="3"/>
      <c r="AG619" s="3"/>
      <c r="AH619" s="3"/>
      <c r="AI619" s="3"/>
      <c r="AJ619" s="3"/>
      <c r="AK619" s="3"/>
      <c r="AL619" s="3"/>
      <c r="AM619" s="3"/>
      <c r="AN619" s="3"/>
      <c r="AO619" s="3"/>
      <c r="AP619" s="3"/>
      <c r="AQ619" s="3"/>
      <c r="AR619" s="3"/>
      <c r="AS619" s="3"/>
      <c r="AT619" s="3"/>
      <c r="AU619" s="3"/>
    </row>
    <row r="620" spans="2:47" ht="14.25" customHeight="1" x14ac:dyDescent="0.3">
      <c r="B620" s="3"/>
      <c r="Q620" s="1"/>
      <c r="R620" s="1"/>
      <c r="S620" s="2"/>
      <c r="T620" s="2">
        <v>506</v>
      </c>
      <c r="U620" s="48" t="s">
        <v>91</v>
      </c>
      <c r="V620" s="2"/>
      <c r="W620" s="2"/>
      <c r="X620" s="2"/>
      <c r="Y620" s="3"/>
      <c r="Z620" s="3"/>
      <c r="AA620" s="3"/>
      <c r="AB620" s="3"/>
      <c r="AC620" s="3"/>
      <c r="AD620" s="3"/>
      <c r="AE620" s="3"/>
      <c r="AF620" s="3"/>
      <c r="AG620" s="3"/>
      <c r="AH620" s="3"/>
      <c r="AI620" s="3"/>
      <c r="AJ620" s="3"/>
      <c r="AK620" s="3"/>
      <c r="AL620" s="3"/>
      <c r="AM620" s="3"/>
      <c r="AN620" s="3"/>
      <c r="AO620" s="3"/>
      <c r="AP620" s="3"/>
      <c r="AQ620" s="3"/>
      <c r="AR620" s="3"/>
      <c r="AS620" s="3"/>
      <c r="AT620" s="3"/>
      <c r="AU620" s="3"/>
    </row>
    <row r="621" spans="2:47" ht="14.25" customHeight="1" x14ac:dyDescent="0.3">
      <c r="B621" s="3"/>
      <c r="Q621" s="1"/>
      <c r="R621" s="1"/>
      <c r="S621" s="2"/>
      <c r="T621" s="2">
        <v>507</v>
      </c>
      <c r="U621" s="48" t="s">
        <v>91</v>
      </c>
      <c r="V621" s="2"/>
      <c r="W621" s="2"/>
      <c r="X621" s="2"/>
      <c r="Y621" s="3"/>
      <c r="Z621" s="3"/>
      <c r="AA621" s="3"/>
      <c r="AB621" s="3"/>
      <c r="AC621" s="3"/>
      <c r="AD621" s="3"/>
      <c r="AE621" s="3"/>
      <c r="AF621" s="3"/>
      <c r="AG621" s="3"/>
      <c r="AH621" s="3"/>
      <c r="AI621" s="3"/>
      <c r="AJ621" s="3"/>
      <c r="AK621" s="3"/>
      <c r="AL621" s="3"/>
      <c r="AM621" s="3"/>
      <c r="AN621" s="3"/>
      <c r="AO621" s="3"/>
      <c r="AP621" s="3"/>
      <c r="AQ621" s="3"/>
      <c r="AR621" s="3"/>
      <c r="AS621" s="3"/>
      <c r="AT621" s="3"/>
      <c r="AU621" s="3"/>
    </row>
    <row r="622" spans="2:47" ht="14.25" customHeight="1" x14ac:dyDescent="0.3">
      <c r="B622" s="3"/>
      <c r="Q622" s="1"/>
      <c r="R622" s="1"/>
      <c r="S622" s="2"/>
      <c r="T622" s="2">
        <v>508</v>
      </c>
      <c r="U622" s="48" t="s">
        <v>91</v>
      </c>
      <c r="V622" s="2"/>
      <c r="W622" s="2"/>
      <c r="X622" s="2"/>
      <c r="Y622" s="3"/>
      <c r="Z622" s="3"/>
      <c r="AA622" s="3"/>
      <c r="AB622" s="3"/>
      <c r="AC622" s="3"/>
      <c r="AD622" s="3"/>
      <c r="AE622" s="3"/>
      <c r="AF622" s="3"/>
      <c r="AG622" s="3"/>
      <c r="AH622" s="3"/>
      <c r="AI622" s="3"/>
      <c r="AJ622" s="3"/>
      <c r="AK622" s="3"/>
      <c r="AL622" s="3"/>
      <c r="AM622" s="3"/>
      <c r="AN622" s="3"/>
      <c r="AO622" s="3"/>
      <c r="AP622" s="3"/>
      <c r="AQ622" s="3"/>
      <c r="AR622" s="3"/>
      <c r="AS622" s="3"/>
      <c r="AT622" s="3"/>
      <c r="AU622" s="3"/>
    </row>
    <row r="623" spans="2:47" ht="14.25" customHeight="1" x14ac:dyDescent="0.3">
      <c r="B623" s="3"/>
      <c r="Q623" s="1"/>
      <c r="R623" s="1"/>
      <c r="S623" s="2"/>
      <c r="T623" s="2">
        <v>509</v>
      </c>
      <c r="U623" s="48" t="s">
        <v>91</v>
      </c>
      <c r="V623" s="2"/>
      <c r="W623" s="2"/>
      <c r="X623" s="2"/>
      <c r="Y623" s="3"/>
      <c r="Z623" s="3"/>
      <c r="AA623" s="3"/>
      <c r="AB623" s="3"/>
      <c r="AC623" s="3"/>
      <c r="AD623" s="3"/>
      <c r="AE623" s="3"/>
      <c r="AF623" s="3"/>
      <c r="AG623" s="3"/>
      <c r="AH623" s="3"/>
      <c r="AI623" s="3"/>
      <c r="AJ623" s="3"/>
      <c r="AK623" s="3"/>
      <c r="AL623" s="3"/>
      <c r="AM623" s="3"/>
      <c r="AN623" s="3"/>
      <c r="AO623" s="3"/>
      <c r="AP623" s="3"/>
      <c r="AQ623" s="3"/>
      <c r="AR623" s="3"/>
      <c r="AS623" s="3"/>
      <c r="AT623" s="3"/>
      <c r="AU623" s="3"/>
    </row>
    <row r="624" spans="2:47" ht="14.25" customHeight="1" x14ac:dyDescent="0.3">
      <c r="B624" s="3"/>
      <c r="Q624" s="1"/>
      <c r="R624" s="1"/>
      <c r="S624" s="2"/>
      <c r="T624" s="2">
        <v>510</v>
      </c>
      <c r="U624" s="48" t="s">
        <v>91</v>
      </c>
      <c r="V624" s="2"/>
      <c r="W624" s="2"/>
      <c r="X624" s="2"/>
      <c r="Y624" s="3"/>
      <c r="Z624" s="3"/>
      <c r="AA624" s="3"/>
      <c r="AB624" s="3"/>
      <c r="AC624" s="3"/>
      <c r="AD624" s="3"/>
      <c r="AE624" s="3"/>
      <c r="AF624" s="3"/>
      <c r="AG624" s="3"/>
      <c r="AH624" s="3"/>
      <c r="AI624" s="3"/>
      <c r="AJ624" s="3"/>
      <c r="AK624" s="3"/>
      <c r="AL624" s="3"/>
      <c r="AM624" s="3"/>
      <c r="AN624" s="3"/>
      <c r="AO624" s="3"/>
      <c r="AP624" s="3"/>
      <c r="AQ624" s="3"/>
      <c r="AR624" s="3"/>
      <c r="AS624" s="3"/>
      <c r="AT624" s="3"/>
      <c r="AU624" s="3"/>
    </row>
    <row r="625" spans="2:47" ht="14.25" customHeight="1" x14ac:dyDescent="0.3">
      <c r="B625" s="3"/>
      <c r="Q625" s="1"/>
      <c r="R625" s="1"/>
      <c r="S625" s="2"/>
      <c r="T625" s="2">
        <v>511</v>
      </c>
      <c r="U625" s="48" t="s">
        <v>91</v>
      </c>
      <c r="V625" s="2"/>
      <c r="W625" s="2"/>
      <c r="X625" s="2"/>
      <c r="Y625" s="3"/>
      <c r="Z625" s="3"/>
      <c r="AA625" s="3"/>
      <c r="AB625" s="3"/>
      <c r="AC625" s="3"/>
      <c r="AD625" s="3"/>
      <c r="AE625" s="3"/>
      <c r="AF625" s="3"/>
      <c r="AG625" s="3"/>
      <c r="AH625" s="3"/>
      <c r="AI625" s="3"/>
      <c r="AJ625" s="3"/>
      <c r="AK625" s="3"/>
      <c r="AL625" s="3"/>
      <c r="AM625" s="3"/>
      <c r="AN625" s="3"/>
      <c r="AO625" s="3"/>
      <c r="AP625" s="3"/>
      <c r="AQ625" s="3"/>
      <c r="AR625" s="3"/>
      <c r="AS625" s="3"/>
      <c r="AT625" s="3"/>
      <c r="AU625" s="3"/>
    </row>
    <row r="626" spans="2:47" ht="14.25" customHeight="1" x14ac:dyDescent="0.3">
      <c r="B626" s="3"/>
      <c r="Q626" s="1"/>
      <c r="R626" s="1"/>
      <c r="S626" s="2"/>
      <c r="T626" s="2">
        <v>512</v>
      </c>
      <c r="U626" s="48" t="s">
        <v>91</v>
      </c>
      <c r="V626" s="2"/>
      <c r="W626" s="2"/>
      <c r="X626" s="2"/>
      <c r="Y626" s="3"/>
      <c r="Z626" s="3"/>
      <c r="AA626" s="3"/>
      <c r="AB626" s="3"/>
      <c r="AC626" s="3"/>
      <c r="AD626" s="3"/>
      <c r="AE626" s="3"/>
      <c r="AF626" s="3"/>
      <c r="AG626" s="3"/>
      <c r="AH626" s="3"/>
      <c r="AI626" s="3"/>
      <c r="AJ626" s="3"/>
      <c r="AK626" s="3"/>
      <c r="AL626" s="3"/>
      <c r="AM626" s="3"/>
      <c r="AN626" s="3"/>
      <c r="AO626" s="3"/>
      <c r="AP626" s="3"/>
      <c r="AQ626" s="3"/>
      <c r="AR626" s="3"/>
      <c r="AS626" s="3"/>
      <c r="AT626" s="3"/>
      <c r="AU626" s="3"/>
    </row>
    <row r="627" spans="2:47" ht="14.25" customHeight="1" x14ac:dyDescent="0.3">
      <c r="B627" s="3"/>
      <c r="Q627" s="1"/>
      <c r="R627" s="1"/>
      <c r="S627" s="2"/>
      <c r="T627" s="2">
        <v>513</v>
      </c>
      <c r="U627" s="48" t="s">
        <v>91</v>
      </c>
      <c r="V627" s="2"/>
      <c r="W627" s="2"/>
      <c r="X627" s="2"/>
      <c r="Y627" s="3"/>
      <c r="Z627" s="3"/>
      <c r="AA627" s="3"/>
      <c r="AB627" s="3"/>
      <c r="AC627" s="3"/>
      <c r="AD627" s="3"/>
      <c r="AE627" s="3"/>
      <c r="AF627" s="3"/>
      <c r="AG627" s="3"/>
      <c r="AH627" s="3"/>
      <c r="AI627" s="3"/>
      <c r="AJ627" s="3"/>
      <c r="AK627" s="3"/>
      <c r="AL627" s="3"/>
      <c r="AM627" s="3"/>
      <c r="AN627" s="3"/>
      <c r="AO627" s="3"/>
      <c r="AP627" s="3"/>
      <c r="AQ627" s="3"/>
      <c r="AR627" s="3"/>
      <c r="AS627" s="3"/>
      <c r="AT627" s="3"/>
      <c r="AU627" s="3"/>
    </row>
    <row r="628" spans="2:47" ht="14.25" customHeight="1" x14ac:dyDescent="0.3">
      <c r="B628" s="3"/>
      <c r="Q628" s="1"/>
      <c r="R628" s="1"/>
      <c r="S628" s="2"/>
      <c r="T628" s="2">
        <v>514</v>
      </c>
      <c r="U628" s="48" t="s">
        <v>91</v>
      </c>
      <c r="V628" s="2"/>
      <c r="W628" s="2"/>
      <c r="X628" s="2"/>
      <c r="Y628" s="3"/>
      <c r="Z628" s="3"/>
      <c r="AA628" s="3"/>
      <c r="AB628" s="3"/>
      <c r="AC628" s="3"/>
      <c r="AD628" s="3"/>
      <c r="AE628" s="3"/>
      <c r="AF628" s="3"/>
      <c r="AG628" s="3"/>
      <c r="AH628" s="3"/>
      <c r="AI628" s="3"/>
      <c r="AJ628" s="3"/>
      <c r="AK628" s="3"/>
      <c r="AL628" s="3"/>
      <c r="AM628" s="3"/>
      <c r="AN628" s="3"/>
      <c r="AO628" s="3"/>
      <c r="AP628" s="3"/>
      <c r="AQ628" s="3"/>
      <c r="AR628" s="3"/>
      <c r="AS628" s="3"/>
      <c r="AT628" s="3"/>
      <c r="AU628" s="3"/>
    </row>
    <row r="629" spans="2:47" ht="14.25" customHeight="1" x14ac:dyDescent="0.3">
      <c r="B629" s="3"/>
      <c r="Q629" s="1"/>
      <c r="R629" s="1"/>
      <c r="S629" s="2"/>
      <c r="T629" s="2">
        <v>515</v>
      </c>
      <c r="U629" s="48" t="s">
        <v>91</v>
      </c>
      <c r="V629" s="2"/>
      <c r="W629" s="2"/>
      <c r="X629" s="2"/>
      <c r="Y629" s="3"/>
      <c r="Z629" s="3"/>
      <c r="AA629" s="3"/>
      <c r="AB629" s="3"/>
      <c r="AC629" s="3"/>
      <c r="AD629" s="3"/>
      <c r="AE629" s="3"/>
      <c r="AF629" s="3"/>
      <c r="AG629" s="3"/>
      <c r="AH629" s="3"/>
      <c r="AI629" s="3"/>
      <c r="AJ629" s="3"/>
      <c r="AK629" s="3"/>
      <c r="AL629" s="3"/>
      <c r="AM629" s="3"/>
      <c r="AN629" s="3"/>
      <c r="AO629" s="3"/>
      <c r="AP629" s="3"/>
      <c r="AQ629" s="3"/>
      <c r="AR629" s="3"/>
      <c r="AS629" s="3"/>
      <c r="AT629" s="3"/>
      <c r="AU629" s="3"/>
    </row>
    <row r="630" spans="2:47" ht="14.25" customHeight="1" x14ac:dyDescent="0.3">
      <c r="B630" s="3"/>
      <c r="Q630" s="1"/>
      <c r="R630" s="1"/>
      <c r="S630" s="2"/>
      <c r="T630" s="2">
        <v>516</v>
      </c>
      <c r="U630" s="48" t="s">
        <v>91</v>
      </c>
      <c r="V630" s="2"/>
      <c r="W630" s="2"/>
      <c r="X630" s="2"/>
      <c r="Y630" s="3"/>
      <c r="Z630" s="3"/>
      <c r="AA630" s="3"/>
      <c r="AB630" s="3"/>
      <c r="AC630" s="3"/>
      <c r="AD630" s="3"/>
      <c r="AE630" s="3"/>
      <c r="AF630" s="3"/>
      <c r="AG630" s="3"/>
      <c r="AH630" s="3"/>
      <c r="AI630" s="3"/>
      <c r="AJ630" s="3"/>
      <c r="AK630" s="3"/>
      <c r="AL630" s="3"/>
      <c r="AM630" s="3"/>
      <c r="AN630" s="3"/>
      <c r="AO630" s="3"/>
      <c r="AP630" s="3"/>
      <c r="AQ630" s="3"/>
      <c r="AR630" s="3"/>
      <c r="AS630" s="3"/>
      <c r="AT630" s="3"/>
      <c r="AU630" s="3"/>
    </row>
    <row r="631" spans="2:47" ht="14.25" customHeight="1" x14ac:dyDescent="0.3">
      <c r="B631" s="3"/>
      <c r="Q631" s="1"/>
      <c r="R631" s="1"/>
      <c r="S631" s="2"/>
      <c r="T631" s="2">
        <v>517</v>
      </c>
      <c r="U631" s="48" t="s">
        <v>91</v>
      </c>
      <c r="V631" s="2"/>
      <c r="W631" s="2"/>
      <c r="X631" s="2"/>
      <c r="Y631" s="3"/>
      <c r="Z631" s="3"/>
      <c r="AA631" s="3"/>
      <c r="AB631" s="3"/>
      <c r="AC631" s="3"/>
      <c r="AD631" s="3"/>
      <c r="AE631" s="3"/>
      <c r="AF631" s="3"/>
      <c r="AG631" s="3"/>
      <c r="AH631" s="3"/>
      <c r="AI631" s="3"/>
      <c r="AJ631" s="3"/>
      <c r="AK631" s="3"/>
      <c r="AL631" s="3"/>
      <c r="AM631" s="3"/>
      <c r="AN631" s="3"/>
      <c r="AO631" s="3"/>
      <c r="AP631" s="3"/>
      <c r="AQ631" s="3"/>
      <c r="AR631" s="3"/>
      <c r="AS631" s="3"/>
      <c r="AT631" s="3"/>
      <c r="AU631" s="3"/>
    </row>
    <row r="632" spans="2:47" ht="14.25" customHeight="1" x14ac:dyDescent="0.3">
      <c r="B632" s="3"/>
      <c r="Q632" s="1"/>
      <c r="R632" s="1"/>
      <c r="S632" s="2"/>
      <c r="T632" s="2">
        <v>518</v>
      </c>
      <c r="U632" s="48" t="s">
        <v>91</v>
      </c>
      <c r="V632" s="2"/>
      <c r="W632" s="2"/>
      <c r="X632" s="2"/>
      <c r="Y632" s="3"/>
      <c r="Z632" s="3"/>
      <c r="AA632" s="3"/>
      <c r="AB632" s="3"/>
      <c r="AC632" s="3"/>
      <c r="AD632" s="3"/>
      <c r="AE632" s="3"/>
      <c r="AF632" s="3"/>
      <c r="AG632" s="3"/>
      <c r="AH632" s="3"/>
      <c r="AI632" s="3"/>
      <c r="AJ632" s="3"/>
      <c r="AK632" s="3"/>
      <c r="AL632" s="3"/>
      <c r="AM632" s="3"/>
      <c r="AN632" s="3"/>
      <c r="AO632" s="3"/>
      <c r="AP632" s="3"/>
      <c r="AQ632" s="3"/>
      <c r="AR632" s="3"/>
      <c r="AS632" s="3"/>
      <c r="AT632" s="3"/>
      <c r="AU632" s="3"/>
    </row>
    <row r="633" spans="2:47" ht="14.25" customHeight="1" x14ac:dyDescent="0.3">
      <c r="B633" s="3"/>
      <c r="Q633" s="1"/>
      <c r="R633" s="1"/>
      <c r="S633" s="2"/>
      <c r="T633" s="2">
        <v>519</v>
      </c>
      <c r="U633" s="48" t="s">
        <v>91</v>
      </c>
      <c r="V633" s="2"/>
      <c r="W633" s="2"/>
      <c r="X633" s="2"/>
      <c r="Y633" s="3"/>
      <c r="Z633" s="3"/>
      <c r="AA633" s="3"/>
      <c r="AB633" s="3"/>
      <c r="AC633" s="3"/>
      <c r="AD633" s="3"/>
      <c r="AE633" s="3"/>
      <c r="AF633" s="3"/>
      <c r="AG633" s="3"/>
      <c r="AH633" s="3"/>
      <c r="AI633" s="3"/>
      <c r="AJ633" s="3"/>
      <c r="AK633" s="3"/>
      <c r="AL633" s="3"/>
      <c r="AM633" s="3"/>
      <c r="AN633" s="3"/>
      <c r="AO633" s="3"/>
      <c r="AP633" s="3"/>
      <c r="AQ633" s="3"/>
      <c r="AR633" s="3"/>
      <c r="AS633" s="3"/>
      <c r="AT633" s="3"/>
      <c r="AU633" s="3"/>
    </row>
    <row r="634" spans="2:47" ht="14.25" customHeight="1" x14ac:dyDescent="0.3">
      <c r="B634" s="3"/>
      <c r="Q634" s="1"/>
      <c r="R634" s="1"/>
      <c r="S634" s="2"/>
      <c r="T634" s="2">
        <v>520</v>
      </c>
      <c r="U634" s="48" t="s">
        <v>91</v>
      </c>
      <c r="V634" s="2"/>
      <c r="W634" s="2"/>
      <c r="X634" s="2"/>
      <c r="Y634" s="3"/>
      <c r="Z634" s="3"/>
      <c r="AA634" s="3"/>
      <c r="AB634" s="3"/>
      <c r="AC634" s="3"/>
      <c r="AD634" s="3"/>
      <c r="AE634" s="3"/>
      <c r="AF634" s="3"/>
      <c r="AG634" s="3"/>
      <c r="AH634" s="3"/>
      <c r="AI634" s="3"/>
      <c r="AJ634" s="3"/>
      <c r="AK634" s="3"/>
      <c r="AL634" s="3"/>
      <c r="AM634" s="3"/>
      <c r="AN634" s="3"/>
      <c r="AO634" s="3"/>
      <c r="AP634" s="3"/>
      <c r="AQ634" s="3"/>
      <c r="AR634" s="3"/>
      <c r="AS634" s="3"/>
      <c r="AT634" s="3"/>
      <c r="AU634" s="3"/>
    </row>
    <row r="635" spans="2:47" ht="14.25" customHeight="1" x14ac:dyDescent="0.3">
      <c r="B635" s="3"/>
      <c r="Q635" s="1"/>
      <c r="R635" s="1"/>
      <c r="S635" s="2"/>
      <c r="T635" s="2">
        <v>521</v>
      </c>
      <c r="U635" s="48" t="s">
        <v>91</v>
      </c>
      <c r="V635" s="2"/>
      <c r="W635" s="2"/>
      <c r="X635" s="2"/>
      <c r="Y635" s="3"/>
      <c r="Z635" s="3"/>
      <c r="AA635" s="3"/>
      <c r="AB635" s="3"/>
      <c r="AC635" s="3"/>
      <c r="AD635" s="3"/>
      <c r="AE635" s="3"/>
      <c r="AF635" s="3"/>
      <c r="AG635" s="3"/>
      <c r="AH635" s="3"/>
      <c r="AI635" s="3"/>
      <c r="AJ635" s="3"/>
      <c r="AK635" s="3"/>
      <c r="AL635" s="3"/>
      <c r="AM635" s="3"/>
      <c r="AN635" s="3"/>
      <c r="AO635" s="3"/>
      <c r="AP635" s="3"/>
      <c r="AQ635" s="3"/>
      <c r="AR635" s="3"/>
      <c r="AS635" s="3"/>
      <c r="AT635" s="3"/>
      <c r="AU635" s="3"/>
    </row>
    <row r="636" spans="2:47" ht="14.25" customHeight="1" x14ac:dyDescent="0.3">
      <c r="B636" s="3"/>
      <c r="Q636" s="1"/>
      <c r="R636" s="1"/>
      <c r="S636" s="2"/>
      <c r="T636" s="2">
        <v>522</v>
      </c>
      <c r="U636" s="48" t="s">
        <v>91</v>
      </c>
      <c r="V636" s="2"/>
      <c r="W636" s="2"/>
      <c r="X636" s="2"/>
      <c r="Y636" s="3"/>
      <c r="Z636" s="3"/>
      <c r="AA636" s="3"/>
      <c r="AB636" s="3"/>
      <c r="AC636" s="3"/>
      <c r="AD636" s="3"/>
      <c r="AE636" s="3"/>
      <c r="AF636" s="3"/>
      <c r="AG636" s="3"/>
      <c r="AH636" s="3"/>
      <c r="AI636" s="3"/>
      <c r="AJ636" s="3"/>
      <c r="AK636" s="3"/>
      <c r="AL636" s="3"/>
      <c r="AM636" s="3"/>
      <c r="AN636" s="3"/>
      <c r="AO636" s="3"/>
      <c r="AP636" s="3"/>
      <c r="AQ636" s="3"/>
      <c r="AR636" s="3"/>
      <c r="AS636" s="3"/>
      <c r="AT636" s="3"/>
      <c r="AU636" s="3"/>
    </row>
    <row r="637" spans="2:47" ht="14.25" customHeight="1" x14ac:dyDescent="0.3">
      <c r="B637" s="3"/>
      <c r="Q637" s="1"/>
      <c r="R637" s="1"/>
      <c r="S637" s="2"/>
      <c r="T637" s="2">
        <v>523</v>
      </c>
      <c r="U637" s="48" t="s">
        <v>91</v>
      </c>
      <c r="V637" s="2"/>
      <c r="W637" s="2"/>
      <c r="X637" s="2"/>
      <c r="Y637" s="3"/>
      <c r="Z637" s="3"/>
      <c r="AA637" s="3"/>
      <c r="AB637" s="3"/>
      <c r="AC637" s="3"/>
      <c r="AD637" s="3"/>
      <c r="AE637" s="3"/>
      <c r="AF637" s="3"/>
      <c r="AG637" s="3"/>
      <c r="AH637" s="3"/>
      <c r="AI637" s="3"/>
      <c r="AJ637" s="3"/>
      <c r="AK637" s="3"/>
      <c r="AL637" s="3"/>
      <c r="AM637" s="3"/>
      <c r="AN637" s="3"/>
      <c r="AO637" s="3"/>
      <c r="AP637" s="3"/>
      <c r="AQ637" s="3"/>
      <c r="AR637" s="3"/>
      <c r="AS637" s="3"/>
      <c r="AT637" s="3"/>
      <c r="AU637" s="3"/>
    </row>
    <row r="638" spans="2:47" ht="14.25" customHeight="1" x14ac:dyDescent="0.3">
      <c r="B638" s="3"/>
      <c r="Q638" s="1"/>
      <c r="R638" s="1"/>
      <c r="S638" s="2"/>
      <c r="T638" s="2">
        <v>524</v>
      </c>
      <c r="U638" s="48" t="s">
        <v>91</v>
      </c>
      <c r="V638" s="2"/>
      <c r="W638" s="2"/>
      <c r="X638" s="2"/>
      <c r="Y638" s="3"/>
      <c r="Z638" s="3"/>
      <c r="AA638" s="3"/>
      <c r="AB638" s="3"/>
      <c r="AC638" s="3"/>
      <c r="AD638" s="3"/>
      <c r="AE638" s="3"/>
      <c r="AF638" s="3"/>
      <c r="AG638" s="3"/>
      <c r="AH638" s="3"/>
      <c r="AI638" s="3"/>
      <c r="AJ638" s="3"/>
      <c r="AK638" s="3"/>
      <c r="AL638" s="3"/>
      <c r="AM638" s="3"/>
      <c r="AN638" s="3"/>
      <c r="AO638" s="3"/>
      <c r="AP638" s="3"/>
      <c r="AQ638" s="3"/>
      <c r="AR638" s="3"/>
      <c r="AS638" s="3"/>
      <c r="AT638" s="3"/>
      <c r="AU638" s="3"/>
    </row>
    <row r="639" spans="2:47" ht="14.25" customHeight="1" x14ac:dyDescent="0.3">
      <c r="B639" s="3"/>
      <c r="Q639" s="1"/>
      <c r="R639" s="1"/>
      <c r="S639" s="2"/>
      <c r="T639" s="2">
        <v>525</v>
      </c>
      <c r="U639" s="48" t="s">
        <v>91</v>
      </c>
      <c r="V639" s="2"/>
      <c r="W639" s="2"/>
      <c r="X639" s="2"/>
      <c r="Y639" s="3"/>
      <c r="Z639" s="3"/>
      <c r="AA639" s="3"/>
      <c r="AB639" s="3"/>
      <c r="AC639" s="3"/>
      <c r="AD639" s="3"/>
      <c r="AE639" s="3"/>
      <c r="AF639" s="3"/>
      <c r="AG639" s="3"/>
      <c r="AH639" s="3"/>
      <c r="AI639" s="3"/>
      <c r="AJ639" s="3"/>
      <c r="AK639" s="3"/>
      <c r="AL639" s="3"/>
      <c r="AM639" s="3"/>
      <c r="AN639" s="3"/>
      <c r="AO639" s="3"/>
      <c r="AP639" s="3"/>
      <c r="AQ639" s="3"/>
      <c r="AR639" s="3"/>
      <c r="AS639" s="3"/>
      <c r="AT639" s="3"/>
      <c r="AU639" s="3"/>
    </row>
    <row r="640" spans="2:47" ht="14.25" customHeight="1" x14ac:dyDescent="0.3">
      <c r="B640" s="3"/>
      <c r="Q640" s="1"/>
      <c r="R640" s="1"/>
      <c r="S640" s="2"/>
      <c r="T640" s="2">
        <v>526</v>
      </c>
      <c r="U640" s="48" t="s">
        <v>91</v>
      </c>
      <c r="V640" s="2"/>
      <c r="W640" s="2"/>
      <c r="X640" s="2"/>
      <c r="Y640" s="3"/>
      <c r="Z640" s="3"/>
      <c r="AA640" s="3"/>
      <c r="AB640" s="3"/>
      <c r="AC640" s="3"/>
      <c r="AD640" s="3"/>
      <c r="AE640" s="3"/>
      <c r="AF640" s="3"/>
      <c r="AG640" s="3"/>
      <c r="AH640" s="3"/>
      <c r="AI640" s="3"/>
      <c r="AJ640" s="3"/>
      <c r="AK640" s="3"/>
      <c r="AL640" s="3"/>
      <c r="AM640" s="3"/>
      <c r="AN640" s="3"/>
      <c r="AO640" s="3"/>
      <c r="AP640" s="3"/>
      <c r="AQ640" s="3"/>
      <c r="AR640" s="3"/>
      <c r="AS640" s="3"/>
      <c r="AT640" s="3"/>
      <c r="AU640" s="3"/>
    </row>
    <row r="641" spans="2:47" ht="14.25" customHeight="1" x14ac:dyDescent="0.3">
      <c r="B641" s="3"/>
      <c r="Q641" s="1"/>
      <c r="R641" s="1"/>
      <c r="S641" s="2"/>
      <c r="T641" s="2">
        <v>527</v>
      </c>
      <c r="U641" s="48" t="s">
        <v>91</v>
      </c>
      <c r="V641" s="2"/>
      <c r="W641" s="2"/>
      <c r="X641" s="2"/>
      <c r="Y641" s="3"/>
      <c r="Z641" s="3"/>
      <c r="AA641" s="3"/>
      <c r="AB641" s="3"/>
      <c r="AC641" s="3"/>
      <c r="AD641" s="3"/>
      <c r="AE641" s="3"/>
      <c r="AF641" s="3"/>
      <c r="AG641" s="3"/>
      <c r="AH641" s="3"/>
      <c r="AI641" s="3"/>
      <c r="AJ641" s="3"/>
      <c r="AK641" s="3"/>
      <c r="AL641" s="3"/>
      <c r="AM641" s="3"/>
      <c r="AN641" s="3"/>
      <c r="AO641" s="3"/>
      <c r="AP641" s="3"/>
      <c r="AQ641" s="3"/>
      <c r="AR641" s="3"/>
      <c r="AS641" s="3"/>
      <c r="AT641" s="3"/>
      <c r="AU641" s="3"/>
    </row>
    <row r="642" spans="2:47" ht="14.25" customHeight="1" x14ac:dyDescent="0.3">
      <c r="B642" s="3"/>
      <c r="Q642" s="1"/>
      <c r="R642" s="1"/>
      <c r="S642" s="2"/>
      <c r="T642" s="2">
        <v>528</v>
      </c>
      <c r="U642" s="48" t="s">
        <v>91</v>
      </c>
      <c r="V642" s="2"/>
      <c r="W642" s="2"/>
      <c r="X642" s="2"/>
      <c r="Y642" s="3"/>
      <c r="Z642" s="3"/>
      <c r="AA642" s="3"/>
      <c r="AB642" s="3"/>
      <c r="AC642" s="3"/>
      <c r="AD642" s="3"/>
      <c r="AE642" s="3"/>
      <c r="AF642" s="3"/>
      <c r="AG642" s="3"/>
      <c r="AH642" s="3"/>
      <c r="AI642" s="3"/>
      <c r="AJ642" s="3"/>
      <c r="AK642" s="3"/>
      <c r="AL642" s="3"/>
      <c r="AM642" s="3"/>
      <c r="AN642" s="3"/>
      <c r="AO642" s="3"/>
      <c r="AP642" s="3"/>
      <c r="AQ642" s="3"/>
      <c r="AR642" s="3"/>
      <c r="AS642" s="3"/>
      <c r="AT642" s="3"/>
      <c r="AU642" s="3"/>
    </row>
    <row r="643" spans="2:47" ht="14.25" customHeight="1" x14ac:dyDescent="0.3">
      <c r="B643" s="3"/>
      <c r="Q643" s="1"/>
      <c r="R643" s="1"/>
      <c r="S643" s="2"/>
      <c r="T643" s="2">
        <v>529</v>
      </c>
      <c r="U643" s="48" t="s">
        <v>91</v>
      </c>
      <c r="V643" s="2"/>
      <c r="W643" s="2"/>
      <c r="X643" s="2"/>
      <c r="Y643" s="3"/>
      <c r="Z643" s="3"/>
      <c r="AA643" s="3"/>
      <c r="AB643" s="3"/>
      <c r="AC643" s="3"/>
      <c r="AD643" s="3"/>
      <c r="AE643" s="3"/>
      <c r="AF643" s="3"/>
      <c r="AG643" s="3"/>
      <c r="AH643" s="3"/>
      <c r="AI643" s="3"/>
      <c r="AJ643" s="3"/>
      <c r="AK643" s="3"/>
      <c r="AL643" s="3"/>
      <c r="AM643" s="3"/>
      <c r="AN643" s="3"/>
      <c r="AO643" s="3"/>
      <c r="AP643" s="3"/>
      <c r="AQ643" s="3"/>
      <c r="AR643" s="3"/>
      <c r="AS643" s="3"/>
      <c r="AT643" s="3"/>
      <c r="AU643" s="3"/>
    </row>
    <row r="644" spans="2:47" ht="14.25" customHeight="1" x14ac:dyDescent="0.3">
      <c r="B644" s="3"/>
      <c r="Q644" s="1"/>
      <c r="R644" s="1"/>
      <c r="S644" s="2"/>
      <c r="T644" s="2">
        <v>530</v>
      </c>
      <c r="U644" s="48" t="s">
        <v>91</v>
      </c>
      <c r="V644" s="2"/>
      <c r="W644" s="2"/>
      <c r="X644" s="2"/>
      <c r="Y644" s="3"/>
      <c r="Z644" s="3"/>
      <c r="AA644" s="3"/>
      <c r="AB644" s="3"/>
      <c r="AC644" s="3"/>
      <c r="AD644" s="3"/>
      <c r="AE644" s="3"/>
      <c r="AF644" s="3"/>
      <c r="AG644" s="3"/>
      <c r="AH644" s="3"/>
      <c r="AI644" s="3"/>
      <c r="AJ644" s="3"/>
      <c r="AK644" s="3"/>
      <c r="AL644" s="3"/>
      <c r="AM644" s="3"/>
      <c r="AN644" s="3"/>
      <c r="AO644" s="3"/>
      <c r="AP644" s="3"/>
      <c r="AQ644" s="3"/>
      <c r="AR644" s="3"/>
      <c r="AS644" s="3"/>
      <c r="AT644" s="3"/>
      <c r="AU644" s="3"/>
    </row>
    <row r="645" spans="2:47" ht="14.25" customHeight="1" x14ac:dyDescent="0.3">
      <c r="B645" s="3"/>
      <c r="Q645" s="1"/>
      <c r="R645" s="1"/>
      <c r="S645" s="2"/>
      <c r="T645" s="2">
        <v>531</v>
      </c>
      <c r="U645" s="48" t="s">
        <v>91</v>
      </c>
      <c r="V645" s="2"/>
      <c r="W645" s="2"/>
      <c r="X645" s="2"/>
      <c r="Y645" s="3"/>
      <c r="Z645" s="3"/>
      <c r="AA645" s="3"/>
      <c r="AB645" s="3"/>
      <c r="AC645" s="3"/>
      <c r="AD645" s="3"/>
      <c r="AE645" s="3"/>
      <c r="AF645" s="3"/>
      <c r="AG645" s="3"/>
      <c r="AH645" s="3"/>
      <c r="AI645" s="3"/>
      <c r="AJ645" s="3"/>
      <c r="AK645" s="3"/>
      <c r="AL645" s="3"/>
      <c r="AM645" s="3"/>
      <c r="AN645" s="3"/>
      <c r="AO645" s="3"/>
      <c r="AP645" s="3"/>
      <c r="AQ645" s="3"/>
      <c r="AR645" s="3"/>
      <c r="AS645" s="3"/>
      <c r="AT645" s="3"/>
      <c r="AU645" s="3"/>
    </row>
    <row r="646" spans="2:47" ht="14.25" customHeight="1" x14ac:dyDescent="0.3">
      <c r="B646" s="3"/>
      <c r="Q646" s="1"/>
      <c r="R646" s="1"/>
      <c r="S646" s="2"/>
      <c r="T646" s="2">
        <v>532</v>
      </c>
      <c r="U646" s="48" t="s">
        <v>91</v>
      </c>
      <c r="V646" s="2"/>
      <c r="W646" s="2"/>
      <c r="X646" s="2"/>
      <c r="Y646" s="3"/>
      <c r="Z646" s="3"/>
      <c r="AA646" s="3"/>
      <c r="AB646" s="3"/>
      <c r="AC646" s="3"/>
      <c r="AD646" s="3"/>
      <c r="AE646" s="3"/>
      <c r="AF646" s="3"/>
      <c r="AG646" s="3"/>
      <c r="AH646" s="3"/>
      <c r="AI646" s="3"/>
      <c r="AJ646" s="3"/>
      <c r="AK646" s="3"/>
      <c r="AL646" s="3"/>
      <c r="AM646" s="3"/>
      <c r="AN646" s="3"/>
      <c r="AO646" s="3"/>
      <c r="AP646" s="3"/>
      <c r="AQ646" s="3"/>
      <c r="AR646" s="3"/>
      <c r="AS646" s="3"/>
      <c r="AT646" s="3"/>
      <c r="AU646" s="3"/>
    </row>
    <row r="647" spans="2:47" ht="14.25" customHeight="1" x14ac:dyDescent="0.3">
      <c r="B647" s="3"/>
      <c r="Q647" s="1"/>
      <c r="R647" s="1"/>
      <c r="S647" s="2"/>
      <c r="T647" s="2">
        <v>533</v>
      </c>
      <c r="U647" s="48" t="s">
        <v>91</v>
      </c>
      <c r="V647" s="2"/>
      <c r="W647" s="2"/>
      <c r="X647" s="2"/>
      <c r="Y647" s="3"/>
      <c r="Z647" s="3"/>
      <c r="AA647" s="3"/>
      <c r="AB647" s="3"/>
      <c r="AC647" s="3"/>
      <c r="AD647" s="3"/>
      <c r="AE647" s="3"/>
      <c r="AF647" s="3"/>
      <c r="AG647" s="3"/>
      <c r="AH647" s="3"/>
      <c r="AI647" s="3"/>
      <c r="AJ647" s="3"/>
      <c r="AK647" s="3"/>
      <c r="AL647" s="3"/>
      <c r="AM647" s="3"/>
      <c r="AN647" s="3"/>
      <c r="AO647" s="3"/>
      <c r="AP647" s="3"/>
      <c r="AQ647" s="3"/>
      <c r="AR647" s="3"/>
      <c r="AS647" s="3"/>
      <c r="AT647" s="3"/>
      <c r="AU647" s="3"/>
    </row>
    <row r="648" spans="2:47" ht="14.25" customHeight="1" x14ac:dyDescent="0.3">
      <c r="B648" s="3"/>
      <c r="Q648" s="1"/>
      <c r="R648" s="1"/>
      <c r="S648" s="2"/>
      <c r="T648" s="2">
        <v>534</v>
      </c>
      <c r="U648" s="48" t="s">
        <v>91</v>
      </c>
      <c r="V648" s="2"/>
      <c r="W648" s="2"/>
      <c r="X648" s="2"/>
      <c r="Y648" s="3"/>
      <c r="Z648" s="3"/>
      <c r="AA648" s="3"/>
      <c r="AB648" s="3"/>
      <c r="AC648" s="3"/>
      <c r="AD648" s="3"/>
      <c r="AE648" s="3"/>
      <c r="AF648" s="3"/>
      <c r="AG648" s="3"/>
      <c r="AH648" s="3"/>
      <c r="AI648" s="3"/>
      <c r="AJ648" s="3"/>
      <c r="AK648" s="3"/>
      <c r="AL648" s="3"/>
      <c r="AM648" s="3"/>
      <c r="AN648" s="3"/>
      <c r="AO648" s="3"/>
      <c r="AP648" s="3"/>
      <c r="AQ648" s="3"/>
      <c r="AR648" s="3"/>
      <c r="AS648" s="3"/>
      <c r="AT648" s="3"/>
      <c r="AU648" s="3"/>
    </row>
    <row r="649" spans="2:47" ht="14.25" customHeight="1" x14ac:dyDescent="0.3">
      <c r="B649" s="3"/>
      <c r="Q649" s="1"/>
      <c r="R649" s="1"/>
      <c r="S649" s="2"/>
      <c r="T649" s="2">
        <v>535</v>
      </c>
      <c r="U649" s="48" t="s">
        <v>91</v>
      </c>
      <c r="V649" s="2"/>
      <c r="W649" s="2"/>
      <c r="X649" s="2"/>
      <c r="Y649" s="3"/>
      <c r="Z649" s="3"/>
      <c r="AA649" s="3"/>
      <c r="AB649" s="3"/>
      <c r="AC649" s="3"/>
      <c r="AD649" s="3"/>
      <c r="AE649" s="3"/>
      <c r="AF649" s="3"/>
      <c r="AG649" s="3"/>
      <c r="AH649" s="3"/>
      <c r="AI649" s="3"/>
      <c r="AJ649" s="3"/>
      <c r="AK649" s="3"/>
      <c r="AL649" s="3"/>
      <c r="AM649" s="3"/>
      <c r="AN649" s="3"/>
      <c r="AO649" s="3"/>
      <c r="AP649" s="3"/>
      <c r="AQ649" s="3"/>
      <c r="AR649" s="3"/>
      <c r="AS649" s="3"/>
      <c r="AT649" s="3"/>
      <c r="AU649" s="3"/>
    </row>
    <row r="650" spans="2:47" ht="14.25" customHeight="1" x14ac:dyDescent="0.3">
      <c r="B650" s="3"/>
      <c r="Q650" s="1"/>
      <c r="R650" s="1"/>
      <c r="S650" s="2"/>
      <c r="T650" s="2">
        <v>536</v>
      </c>
      <c r="U650" s="48" t="s">
        <v>91</v>
      </c>
      <c r="V650" s="2"/>
      <c r="W650" s="2"/>
      <c r="X650" s="2"/>
      <c r="Y650" s="3"/>
      <c r="Z650" s="3"/>
      <c r="AA650" s="3"/>
      <c r="AB650" s="3"/>
      <c r="AC650" s="3"/>
      <c r="AD650" s="3"/>
      <c r="AE650" s="3"/>
      <c r="AF650" s="3"/>
      <c r="AG650" s="3"/>
      <c r="AH650" s="3"/>
      <c r="AI650" s="3"/>
      <c r="AJ650" s="3"/>
      <c r="AK650" s="3"/>
      <c r="AL650" s="3"/>
      <c r="AM650" s="3"/>
      <c r="AN650" s="3"/>
      <c r="AO650" s="3"/>
      <c r="AP650" s="3"/>
      <c r="AQ650" s="3"/>
      <c r="AR650" s="3"/>
      <c r="AS650" s="3"/>
      <c r="AT650" s="3"/>
      <c r="AU650" s="3"/>
    </row>
    <row r="651" spans="2:47" ht="14.25" customHeight="1" x14ac:dyDescent="0.3">
      <c r="B651" s="3"/>
      <c r="Q651" s="1"/>
      <c r="R651" s="1"/>
      <c r="S651" s="2"/>
      <c r="T651" s="2">
        <v>537</v>
      </c>
      <c r="U651" s="48" t="s">
        <v>91</v>
      </c>
      <c r="V651" s="2"/>
      <c r="W651" s="2"/>
      <c r="X651" s="2"/>
      <c r="Y651" s="3"/>
      <c r="Z651" s="3"/>
      <c r="AA651" s="3"/>
      <c r="AB651" s="3"/>
      <c r="AC651" s="3"/>
      <c r="AD651" s="3"/>
      <c r="AE651" s="3"/>
      <c r="AF651" s="3"/>
      <c r="AG651" s="3"/>
      <c r="AH651" s="3"/>
      <c r="AI651" s="3"/>
      <c r="AJ651" s="3"/>
      <c r="AK651" s="3"/>
      <c r="AL651" s="3"/>
      <c r="AM651" s="3"/>
      <c r="AN651" s="3"/>
      <c r="AO651" s="3"/>
      <c r="AP651" s="3"/>
      <c r="AQ651" s="3"/>
      <c r="AR651" s="3"/>
      <c r="AS651" s="3"/>
      <c r="AT651" s="3"/>
      <c r="AU651" s="3"/>
    </row>
    <row r="652" spans="2:47" ht="14.25" customHeight="1" x14ac:dyDescent="0.3">
      <c r="B652" s="3"/>
      <c r="Q652" s="1"/>
      <c r="R652" s="1"/>
      <c r="S652" s="2"/>
      <c r="T652" s="2">
        <v>538</v>
      </c>
      <c r="U652" s="48" t="s">
        <v>91</v>
      </c>
      <c r="V652" s="2"/>
      <c r="W652" s="2"/>
      <c r="X652" s="2"/>
      <c r="Y652" s="3"/>
      <c r="Z652" s="3"/>
      <c r="AA652" s="3"/>
      <c r="AB652" s="3"/>
      <c r="AC652" s="3"/>
      <c r="AD652" s="3"/>
      <c r="AE652" s="3"/>
      <c r="AF652" s="3"/>
      <c r="AG652" s="3"/>
      <c r="AH652" s="3"/>
      <c r="AI652" s="3"/>
      <c r="AJ652" s="3"/>
      <c r="AK652" s="3"/>
      <c r="AL652" s="3"/>
      <c r="AM652" s="3"/>
      <c r="AN652" s="3"/>
      <c r="AO652" s="3"/>
      <c r="AP652" s="3"/>
      <c r="AQ652" s="3"/>
      <c r="AR652" s="3"/>
      <c r="AS652" s="3"/>
      <c r="AT652" s="3"/>
      <c r="AU652" s="3"/>
    </row>
    <row r="653" spans="2:47" ht="14.25" customHeight="1" x14ac:dyDescent="0.3">
      <c r="B653" s="3"/>
      <c r="Q653" s="1"/>
      <c r="R653" s="1"/>
      <c r="S653" s="2"/>
      <c r="T653" s="2">
        <v>539</v>
      </c>
      <c r="U653" s="48" t="s">
        <v>91</v>
      </c>
      <c r="V653" s="2"/>
      <c r="W653" s="2"/>
      <c r="X653" s="2"/>
      <c r="Y653" s="3"/>
      <c r="Z653" s="3"/>
      <c r="AA653" s="3"/>
      <c r="AB653" s="3"/>
      <c r="AC653" s="3"/>
      <c r="AD653" s="3"/>
      <c r="AE653" s="3"/>
      <c r="AF653" s="3"/>
      <c r="AG653" s="3"/>
      <c r="AH653" s="3"/>
      <c r="AI653" s="3"/>
      <c r="AJ653" s="3"/>
      <c r="AK653" s="3"/>
      <c r="AL653" s="3"/>
      <c r="AM653" s="3"/>
      <c r="AN653" s="3"/>
      <c r="AO653" s="3"/>
      <c r="AP653" s="3"/>
      <c r="AQ653" s="3"/>
      <c r="AR653" s="3"/>
      <c r="AS653" s="3"/>
      <c r="AT653" s="3"/>
      <c r="AU653" s="3"/>
    </row>
    <row r="654" spans="2:47" ht="14.25" customHeight="1" x14ac:dyDescent="0.3">
      <c r="B654" s="3"/>
      <c r="Q654" s="1"/>
      <c r="R654" s="1"/>
      <c r="S654" s="2"/>
      <c r="T654" s="2">
        <v>540</v>
      </c>
      <c r="U654" s="48" t="s">
        <v>91</v>
      </c>
      <c r="V654" s="2"/>
      <c r="W654" s="2"/>
      <c r="X654" s="2"/>
      <c r="Y654" s="3"/>
      <c r="Z654" s="3"/>
      <c r="AA654" s="3"/>
      <c r="AB654" s="3"/>
      <c r="AC654" s="3"/>
      <c r="AD654" s="3"/>
      <c r="AE654" s="3"/>
      <c r="AF654" s="3"/>
      <c r="AG654" s="3"/>
      <c r="AH654" s="3"/>
      <c r="AI654" s="3"/>
      <c r="AJ654" s="3"/>
      <c r="AK654" s="3"/>
      <c r="AL654" s="3"/>
      <c r="AM654" s="3"/>
      <c r="AN654" s="3"/>
      <c r="AO654" s="3"/>
      <c r="AP654" s="3"/>
      <c r="AQ654" s="3"/>
      <c r="AR654" s="3"/>
      <c r="AS654" s="3"/>
      <c r="AT654" s="3"/>
      <c r="AU654" s="3"/>
    </row>
    <row r="655" spans="2:47" ht="14.25" customHeight="1" x14ac:dyDescent="0.3">
      <c r="B655" s="3"/>
      <c r="Q655" s="1"/>
      <c r="R655" s="1"/>
      <c r="S655" s="2"/>
      <c r="T655" s="2">
        <v>541</v>
      </c>
      <c r="U655" s="48" t="s">
        <v>91</v>
      </c>
      <c r="V655" s="2"/>
      <c r="W655" s="2"/>
      <c r="X655" s="2"/>
      <c r="Y655" s="3"/>
      <c r="Z655" s="3"/>
      <c r="AA655" s="3"/>
      <c r="AB655" s="3"/>
      <c r="AC655" s="3"/>
      <c r="AD655" s="3"/>
      <c r="AE655" s="3"/>
      <c r="AF655" s="3"/>
      <c r="AG655" s="3"/>
      <c r="AH655" s="3"/>
      <c r="AI655" s="3"/>
      <c r="AJ655" s="3"/>
      <c r="AK655" s="3"/>
      <c r="AL655" s="3"/>
      <c r="AM655" s="3"/>
      <c r="AN655" s="3"/>
      <c r="AO655" s="3"/>
      <c r="AP655" s="3"/>
      <c r="AQ655" s="3"/>
      <c r="AR655" s="3"/>
      <c r="AS655" s="3"/>
      <c r="AT655" s="3"/>
      <c r="AU655" s="3"/>
    </row>
    <row r="656" spans="2:47" ht="14.25" customHeight="1" x14ac:dyDescent="0.3">
      <c r="B656" s="3"/>
      <c r="Q656" s="1"/>
      <c r="R656" s="1"/>
      <c r="S656" s="2"/>
      <c r="T656" s="2">
        <v>542</v>
      </c>
      <c r="U656" s="48" t="s">
        <v>91</v>
      </c>
      <c r="V656" s="2"/>
      <c r="W656" s="2"/>
      <c r="X656" s="2"/>
      <c r="Y656" s="3"/>
      <c r="Z656" s="3"/>
      <c r="AA656" s="3"/>
      <c r="AB656" s="3"/>
      <c r="AC656" s="3"/>
      <c r="AD656" s="3"/>
      <c r="AE656" s="3"/>
      <c r="AF656" s="3"/>
      <c r="AG656" s="3"/>
      <c r="AH656" s="3"/>
      <c r="AI656" s="3"/>
      <c r="AJ656" s="3"/>
      <c r="AK656" s="3"/>
      <c r="AL656" s="3"/>
      <c r="AM656" s="3"/>
      <c r="AN656" s="3"/>
      <c r="AO656" s="3"/>
      <c r="AP656" s="3"/>
      <c r="AQ656" s="3"/>
      <c r="AR656" s="3"/>
      <c r="AS656" s="3"/>
      <c r="AT656" s="3"/>
      <c r="AU656" s="3"/>
    </row>
    <row r="657" spans="2:47" ht="14.25" customHeight="1" x14ac:dyDescent="0.3">
      <c r="B657" s="3"/>
      <c r="Q657" s="1"/>
      <c r="R657" s="1"/>
      <c r="S657" s="2"/>
      <c r="T657" s="2">
        <v>543</v>
      </c>
      <c r="U657" s="48" t="s">
        <v>91</v>
      </c>
      <c r="V657" s="2"/>
      <c r="W657" s="2"/>
      <c r="X657" s="2"/>
      <c r="Y657" s="3"/>
      <c r="Z657" s="3"/>
      <c r="AA657" s="3"/>
      <c r="AB657" s="3"/>
      <c r="AC657" s="3"/>
      <c r="AD657" s="3"/>
      <c r="AE657" s="3"/>
      <c r="AF657" s="3"/>
      <c r="AG657" s="3"/>
      <c r="AH657" s="3"/>
      <c r="AI657" s="3"/>
      <c r="AJ657" s="3"/>
      <c r="AK657" s="3"/>
      <c r="AL657" s="3"/>
      <c r="AM657" s="3"/>
      <c r="AN657" s="3"/>
      <c r="AO657" s="3"/>
      <c r="AP657" s="3"/>
      <c r="AQ657" s="3"/>
      <c r="AR657" s="3"/>
      <c r="AS657" s="3"/>
      <c r="AT657" s="3"/>
      <c r="AU657" s="3"/>
    </row>
    <row r="658" spans="2:47" ht="14.25" customHeight="1" x14ac:dyDescent="0.3">
      <c r="B658" s="3"/>
      <c r="Q658" s="1"/>
      <c r="R658" s="1"/>
      <c r="S658" s="2"/>
      <c r="T658" s="2">
        <v>544</v>
      </c>
      <c r="U658" s="48" t="s">
        <v>91</v>
      </c>
      <c r="V658" s="2"/>
      <c r="W658" s="2"/>
      <c r="X658" s="2"/>
      <c r="Y658" s="3"/>
      <c r="Z658" s="3"/>
      <c r="AA658" s="3"/>
      <c r="AB658" s="3"/>
      <c r="AC658" s="3"/>
      <c r="AD658" s="3"/>
      <c r="AE658" s="3"/>
      <c r="AF658" s="3"/>
      <c r="AG658" s="3"/>
      <c r="AH658" s="3"/>
      <c r="AI658" s="3"/>
      <c r="AJ658" s="3"/>
      <c r="AK658" s="3"/>
      <c r="AL658" s="3"/>
      <c r="AM658" s="3"/>
      <c r="AN658" s="3"/>
      <c r="AO658" s="3"/>
      <c r="AP658" s="3"/>
      <c r="AQ658" s="3"/>
      <c r="AR658" s="3"/>
      <c r="AS658" s="3"/>
      <c r="AT658" s="3"/>
      <c r="AU658" s="3"/>
    </row>
    <row r="659" spans="2:47" ht="14.25" customHeight="1" x14ac:dyDescent="0.3">
      <c r="B659" s="3"/>
      <c r="Q659" s="1"/>
      <c r="R659" s="1"/>
      <c r="S659" s="2"/>
      <c r="T659" s="2">
        <v>545</v>
      </c>
      <c r="U659" s="48" t="s">
        <v>91</v>
      </c>
      <c r="V659" s="2"/>
      <c r="W659" s="2"/>
      <c r="X659" s="2"/>
      <c r="Y659" s="3"/>
      <c r="Z659" s="3"/>
      <c r="AA659" s="3"/>
      <c r="AB659" s="3"/>
      <c r="AC659" s="3"/>
      <c r="AD659" s="3"/>
      <c r="AE659" s="3"/>
      <c r="AF659" s="3"/>
      <c r="AG659" s="3"/>
      <c r="AH659" s="3"/>
      <c r="AI659" s="3"/>
      <c r="AJ659" s="3"/>
      <c r="AK659" s="3"/>
      <c r="AL659" s="3"/>
      <c r="AM659" s="3"/>
      <c r="AN659" s="3"/>
      <c r="AO659" s="3"/>
      <c r="AP659" s="3"/>
      <c r="AQ659" s="3"/>
      <c r="AR659" s="3"/>
      <c r="AS659" s="3"/>
      <c r="AT659" s="3"/>
      <c r="AU659" s="3"/>
    </row>
    <row r="660" spans="2:47" ht="14.25" customHeight="1" x14ac:dyDescent="0.3">
      <c r="B660" s="3"/>
      <c r="Q660" s="1"/>
      <c r="R660" s="1"/>
      <c r="S660" s="2"/>
      <c r="T660" s="2">
        <v>546</v>
      </c>
      <c r="U660" s="48" t="s">
        <v>91</v>
      </c>
      <c r="V660" s="2"/>
      <c r="W660" s="2"/>
      <c r="X660" s="2"/>
      <c r="Y660" s="3"/>
      <c r="Z660" s="3"/>
      <c r="AA660" s="3"/>
      <c r="AB660" s="3"/>
      <c r="AC660" s="3"/>
      <c r="AD660" s="3"/>
      <c r="AE660" s="3"/>
      <c r="AF660" s="3"/>
      <c r="AG660" s="3"/>
      <c r="AH660" s="3"/>
      <c r="AI660" s="3"/>
      <c r="AJ660" s="3"/>
      <c r="AK660" s="3"/>
      <c r="AL660" s="3"/>
      <c r="AM660" s="3"/>
      <c r="AN660" s="3"/>
      <c r="AO660" s="3"/>
      <c r="AP660" s="3"/>
      <c r="AQ660" s="3"/>
      <c r="AR660" s="3"/>
      <c r="AS660" s="3"/>
      <c r="AT660" s="3"/>
      <c r="AU660" s="3"/>
    </row>
    <row r="661" spans="2:47" ht="14.25" customHeight="1" x14ac:dyDescent="0.3">
      <c r="B661" s="3"/>
      <c r="Q661" s="1"/>
      <c r="R661" s="1"/>
      <c r="S661" s="2"/>
      <c r="T661" s="2">
        <v>547</v>
      </c>
      <c r="U661" s="48" t="s">
        <v>91</v>
      </c>
      <c r="V661" s="2"/>
      <c r="W661" s="2"/>
      <c r="X661" s="2"/>
      <c r="Y661" s="3"/>
      <c r="Z661" s="3"/>
      <c r="AA661" s="3"/>
      <c r="AB661" s="3"/>
      <c r="AC661" s="3"/>
      <c r="AD661" s="3"/>
      <c r="AE661" s="3"/>
      <c r="AF661" s="3"/>
      <c r="AG661" s="3"/>
      <c r="AH661" s="3"/>
      <c r="AI661" s="3"/>
      <c r="AJ661" s="3"/>
      <c r="AK661" s="3"/>
      <c r="AL661" s="3"/>
      <c r="AM661" s="3"/>
      <c r="AN661" s="3"/>
      <c r="AO661" s="3"/>
      <c r="AP661" s="3"/>
      <c r="AQ661" s="3"/>
      <c r="AR661" s="3"/>
      <c r="AS661" s="3"/>
      <c r="AT661" s="3"/>
      <c r="AU661" s="3"/>
    </row>
    <row r="662" spans="2:47" ht="14.25" customHeight="1" x14ac:dyDescent="0.3">
      <c r="B662" s="3"/>
      <c r="Q662" s="1"/>
      <c r="R662" s="1"/>
      <c r="S662" s="2"/>
      <c r="T662" s="2">
        <v>548</v>
      </c>
      <c r="U662" s="48" t="s">
        <v>91</v>
      </c>
      <c r="V662" s="2"/>
      <c r="W662" s="2"/>
      <c r="X662" s="2"/>
      <c r="Y662" s="3"/>
      <c r="Z662" s="3"/>
      <c r="AA662" s="3"/>
      <c r="AB662" s="3"/>
      <c r="AC662" s="3"/>
      <c r="AD662" s="3"/>
      <c r="AE662" s="3"/>
      <c r="AF662" s="3"/>
      <c r="AG662" s="3"/>
      <c r="AH662" s="3"/>
      <c r="AI662" s="3"/>
      <c r="AJ662" s="3"/>
      <c r="AK662" s="3"/>
      <c r="AL662" s="3"/>
      <c r="AM662" s="3"/>
      <c r="AN662" s="3"/>
      <c r="AO662" s="3"/>
      <c r="AP662" s="3"/>
      <c r="AQ662" s="3"/>
      <c r="AR662" s="3"/>
      <c r="AS662" s="3"/>
      <c r="AT662" s="3"/>
      <c r="AU662" s="3"/>
    </row>
    <row r="663" spans="2:47" ht="14.25" customHeight="1" x14ac:dyDescent="0.3">
      <c r="B663" s="3"/>
      <c r="Q663" s="1"/>
      <c r="R663" s="1"/>
      <c r="S663" s="2"/>
      <c r="T663" s="2">
        <v>549</v>
      </c>
      <c r="U663" s="48" t="s">
        <v>91</v>
      </c>
      <c r="V663" s="2"/>
      <c r="W663" s="2"/>
      <c r="X663" s="2"/>
      <c r="Y663" s="3"/>
      <c r="Z663" s="3"/>
      <c r="AA663" s="3"/>
      <c r="AB663" s="3"/>
      <c r="AC663" s="3"/>
      <c r="AD663" s="3"/>
      <c r="AE663" s="3"/>
      <c r="AF663" s="3"/>
      <c r="AG663" s="3"/>
      <c r="AH663" s="3"/>
      <c r="AI663" s="3"/>
      <c r="AJ663" s="3"/>
      <c r="AK663" s="3"/>
      <c r="AL663" s="3"/>
      <c r="AM663" s="3"/>
      <c r="AN663" s="3"/>
      <c r="AO663" s="3"/>
      <c r="AP663" s="3"/>
      <c r="AQ663" s="3"/>
      <c r="AR663" s="3"/>
      <c r="AS663" s="3"/>
      <c r="AT663" s="3"/>
      <c r="AU663" s="3"/>
    </row>
    <row r="664" spans="2:47" ht="14.25" customHeight="1" x14ac:dyDescent="0.3">
      <c r="B664" s="3"/>
      <c r="Q664" s="1"/>
      <c r="R664" s="1"/>
      <c r="S664" s="2"/>
      <c r="T664" s="2">
        <v>550</v>
      </c>
      <c r="U664" s="48" t="s">
        <v>91</v>
      </c>
      <c r="V664" s="2"/>
      <c r="W664" s="2"/>
      <c r="X664" s="2"/>
      <c r="Y664" s="3"/>
      <c r="Z664" s="3"/>
      <c r="AA664" s="3"/>
      <c r="AB664" s="3"/>
      <c r="AC664" s="3"/>
      <c r="AD664" s="3"/>
      <c r="AE664" s="3"/>
      <c r="AF664" s="3"/>
      <c r="AG664" s="3"/>
      <c r="AH664" s="3"/>
      <c r="AI664" s="3"/>
      <c r="AJ664" s="3"/>
      <c r="AK664" s="3"/>
      <c r="AL664" s="3"/>
      <c r="AM664" s="3"/>
      <c r="AN664" s="3"/>
      <c r="AO664" s="3"/>
      <c r="AP664" s="3"/>
      <c r="AQ664" s="3"/>
      <c r="AR664" s="3"/>
      <c r="AS664" s="3"/>
      <c r="AT664" s="3"/>
      <c r="AU664" s="3"/>
    </row>
    <row r="665" spans="2:47" ht="14.25" customHeight="1" x14ac:dyDescent="0.3">
      <c r="B665" s="3"/>
      <c r="Q665" s="1"/>
      <c r="R665" s="1"/>
      <c r="S665" s="2"/>
      <c r="T665" s="2">
        <v>551</v>
      </c>
      <c r="U665" s="48" t="s">
        <v>91</v>
      </c>
      <c r="V665" s="2"/>
      <c r="W665" s="2"/>
      <c r="X665" s="2"/>
      <c r="Y665" s="3"/>
      <c r="Z665" s="3"/>
      <c r="AA665" s="3"/>
      <c r="AB665" s="3"/>
      <c r="AC665" s="3"/>
      <c r="AD665" s="3"/>
      <c r="AE665" s="3"/>
      <c r="AF665" s="3"/>
      <c r="AG665" s="3"/>
      <c r="AH665" s="3"/>
      <c r="AI665" s="3"/>
      <c r="AJ665" s="3"/>
      <c r="AK665" s="3"/>
      <c r="AL665" s="3"/>
      <c r="AM665" s="3"/>
      <c r="AN665" s="3"/>
      <c r="AO665" s="3"/>
      <c r="AP665" s="3"/>
      <c r="AQ665" s="3"/>
      <c r="AR665" s="3"/>
      <c r="AS665" s="3"/>
      <c r="AT665" s="3"/>
      <c r="AU665" s="3"/>
    </row>
    <row r="666" spans="2:47" ht="14.25" customHeight="1" x14ac:dyDescent="0.3">
      <c r="B666" s="3"/>
      <c r="Q666" s="1"/>
      <c r="R666" s="1"/>
      <c r="S666" s="2"/>
      <c r="T666" s="2">
        <v>552</v>
      </c>
      <c r="U666" s="48" t="s">
        <v>91</v>
      </c>
      <c r="V666" s="2"/>
      <c r="W666" s="2"/>
      <c r="X666" s="2"/>
      <c r="Y666" s="3"/>
      <c r="Z666" s="3"/>
      <c r="AA666" s="3"/>
      <c r="AB666" s="3"/>
      <c r="AC666" s="3"/>
      <c r="AD666" s="3"/>
      <c r="AE666" s="3"/>
      <c r="AF666" s="3"/>
      <c r="AG666" s="3"/>
      <c r="AH666" s="3"/>
      <c r="AI666" s="3"/>
      <c r="AJ666" s="3"/>
      <c r="AK666" s="3"/>
      <c r="AL666" s="3"/>
      <c r="AM666" s="3"/>
      <c r="AN666" s="3"/>
      <c r="AO666" s="3"/>
      <c r="AP666" s="3"/>
      <c r="AQ666" s="3"/>
      <c r="AR666" s="3"/>
      <c r="AS666" s="3"/>
      <c r="AT666" s="3"/>
      <c r="AU666" s="3"/>
    </row>
    <row r="667" spans="2:47" ht="14.25" customHeight="1" x14ac:dyDescent="0.3">
      <c r="B667" s="3"/>
      <c r="Q667" s="1"/>
      <c r="R667" s="1"/>
      <c r="S667" s="2"/>
      <c r="T667" s="2">
        <v>553</v>
      </c>
      <c r="U667" s="48" t="s">
        <v>91</v>
      </c>
      <c r="V667" s="2"/>
      <c r="W667" s="2"/>
      <c r="X667" s="2"/>
      <c r="Y667" s="3"/>
      <c r="Z667" s="3"/>
      <c r="AA667" s="3"/>
      <c r="AB667" s="3"/>
      <c r="AC667" s="3"/>
      <c r="AD667" s="3"/>
      <c r="AE667" s="3"/>
      <c r="AF667" s="3"/>
      <c r="AG667" s="3"/>
      <c r="AH667" s="3"/>
      <c r="AI667" s="3"/>
      <c r="AJ667" s="3"/>
      <c r="AK667" s="3"/>
      <c r="AL667" s="3"/>
      <c r="AM667" s="3"/>
      <c r="AN667" s="3"/>
      <c r="AO667" s="3"/>
      <c r="AP667" s="3"/>
      <c r="AQ667" s="3"/>
      <c r="AR667" s="3"/>
      <c r="AS667" s="3"/>
      <c r="AT667" s="3"/>
      <c r="AU667" s="3"/>
    </row>
    <row r="668" spans="2:47" ht="14.25" customHeight="1" x14ac:dyDescent="0.3">
      <c r="B668" s="3"/>
      <c r="Q668" s="1"/>
      <c r="R668" s="1"/>
      <c r="S668" s="2"/>
      <c r="T668" s="2">
        <v>554</v>
      </c>
      <c r="U668" s="48" t="s">
        <v>91</v>
      </c>
      <c r="V668" s="2"/>
      <c r="W668" s="2"/>
      <c r="X668" s="2"/>
      <c r="Y668" s="3"/>
      <c r="Z668" s="3"/>
      <c r="AA668" s="3"/>
      <c r="AB668" s="3"/>
      <c r="AC668" s="3"/>
      <c r="AD668" s="3"/>
      <c r="AE668" s="3"/>
      <c r="AF668" s="3"/>
      <c r="AG668" s="3"/>
      <c r="AH668" s="3"/>
      <c r="AI668" s="3"/>
      <c r="AJ668" s="3"/>
      <c r="AK668" s="3"/>
      <c r="AL668" s="3"/>
      <c r="AM668" s="3"/>
      <c r="AN668" s="3"/>
      <c r="AO668" s="3"/>
      <c r="AP668" s="3"/>
      <c r="AQ668" s="3"/>
      <c r="AR668" s="3"/>
      <c r="AS668" s="3"/>
      <c r="AT668" s="3"/>
      <c r="AU668" s="3"/>
    </row>
    <row r="669" spans="2:47" ht="14.25" customHeight="1" x14ac:dyDescent="0.3">
      <c r="B669" s="3"/>
      <c r="Q669" s="1"/>
      <c r="R669" s="1"/>
      <c r="S669" s="2"/>
      <c r="T669" s="2">
        <v>555</v>
      </c>
      <c r="U669" s="48" t="s">
        <v>91</v>
      </c>
      <c r="V669" s="2"/>
      <c r="W669" s="2"/>
      <c r="X669" s="2"/>
      <c r="Y669" s="3"/>
      <c r="Z669" s="3"/>
      <c r="AA669" s="3"/>
      <c r="AB669" s="3"/>
      <c r="AC669" s="3"/>
      <c r="AD669" s="3"/>
      <c r="AE669" s="3"/>
      <c r="AF669" s="3"/>
      <c r="AG669" s="3"/>
      <c r="AH669" s="3"/>
      <c r="AI669" s="3"/>
      <c r="AJ669" s="3"/>
      <c r="AK669" s="3"/>
      <c r="AL669" s="3"/>
      <c r="AM669" s="3"/>
      <c r="AN669" s="3"/>
      <c r="AO669" s="3"/>
      <c r="AP669" s="3"/>
      <c r="AQ669" s="3"/>
      <c r="AR669" s="3"/>
      <c r="AS669" s="3"/>
      <c r="AT669" s="3"/>
      <c r="AU669" s="3"/>
    </row>
    <row r="670" spans="2:47" ht="14.25" customHeight="1" x14ac:dyDescent="0.3">
      <c r="B670" s="3"/>
      <c r="Q670" s="1"/>
      <c r="R670" s="1"/>
      <c r="S670" s="2"/>
      <c r="T670" s="2">
        <v>556</v>
      </c>
      <c r="U670" s="48" t="s">
        <v>91</v>
      </c>
      <c r="V670" s="2"/>
      <c r="W670" s="2"/>
      <c r="X670" s="2"/>
      <c r="Y670" s="3"/>
      <c r="Z670" s="3"/>
      <c r="AA670" s="3"/>
      <c r="AB670" s="3"/>
      <c r="AC670" s="3"/>
      <c r="AD670" s="3"/>
      <c r="AE670" s="3"/>
      <c r="AF670" s="3"/>
      <c r="AG670" s="3"/>
      <c r="AH670" s="3"/>
      <c r="AI670" s="3"/>
      <c r="AJ670" s="3"/>
      <c r="AK670" s="3"/>
      <c r="AL670" s="3"/>
      <c r="AM670" s="3"/>
      <c r="AN670" s="3"/>
      <c r="AO670" s="3"/>
      <c r="AP670" s="3"/>
      <c r="AQ670" s="3"/>
      <c r="AR670" s="3"/>
      <c r="AS670" s="3"/>
      <c r="AT670" s="3"/>
      <c r="AU670" s="3"/>
    </row>
    <row r="671" spans="2:47" ht="14.25" customHeight="1" x14ac:dyDescent="0.3">
      <c r="B671" s="3"/>
      <c r="Q671" s="1"/>
      <c r="R671" s="1"/>
      <c r="S671" s="2"/>
      <c r="T671" s="2">
        <v>557</v>
      </c>
      <c r="U671" s="48" t="s">
        <v>91</v>
      </c>
      <c r="V671" s="2"/>
      <c r="W671" s="2"/>
      <c r="X671" s="2"/>
      <c r="Y671" s="3"/>
      <c r="Z671" s="3"/>
      <c r="AA671" s="3"/>
      <c r="AB671" s="3"/>
      <c r="AC671" s="3"/>
      <c r="AD671" s="3"/>
      <c r="AE671" s="3"/>
      <c r="AF671" s="3"/>
      <c r="AG671" s="3"/>
      <c r="AH671" s="3"/>
      <c r="AI671" s="3"/>
      <c r="AJ671" s="3"/>
      <c r="AK671" s="3"/>
      <c r="AL671" s="3"/>
      <c r="AM671" s="3"/>
      <c r="AN671" s="3"/>
      <c r="AO671" s="3"/>
      <c r="AP671" s="3"/>
      <c r="AQ671" s="3"/>
      <c r="AR671" s="3"/>
      <c r="AS671" s="3"/>
      <c r="AT671" s="3"/>
      <c r="AU671" s="3"/>
    </row>
    <row r="672" spans="2:47" ht="14.25" customHeight="1" x14ac:dyDescent="0.3">
      <c r="B672" s="3"/>
      <c r="Q672" s="1"/>
      <c r="R672" s="1"/>
      <c r="S672" s="2"/>
      <c r="T672" s="2">
        <v>558</v>
      </c>
      <c r="U672" s="48" t="s">
        <v>91</v>
      </c>
      <c r="V672" s="2"/>
      <c r="W672" s="2"/>
      <c r="X672" s="2"/>
      <c r="Y672" s="3"/>
      <c r="Z672" s="3"/>
      <c r="AA672" s="3"/>
      <c r="AB672" s="3"/>
      <c r="AC672" s="3"/>
      <c r="AD672" s="3"/>
      <c r="AE672" s="3"/>
      <c r="AF672" s="3"/>
      <c r="AG672" s="3"/>
      <c r="AH672" s="3"/>
      <c r="AI672" s="3"/>
      <c r="AJ672" s="3"/>
      <c r="AK672" s="3"/>
      <c r="AL672" s="3"/>
      <c r="AM672" s="3"/>
      <c r="AN672" s="3"/>
      <c r="AO672" s="3"/>
      <c r="AP672" s="3"/>
      <c r="AQ672" s="3"/>
      <c r="AR672" s="3"/>
      <c r="AS672" s="3"/>
      <c r="AT672" s="3"/>
      <c r="AU672" s="3"/>
    </row>
    <row r="673" spans="2:47" ht="14.25" customHeight="1" x14ac:dyDescent="0.3">
      <c r="B673" s="3"/>
      <c r="Q673" s="1"/>
      <c r="R673" s="1"/>
      <c r="S673" s="2"/>
      <c r="T673" s="2">
        <v>559</v>
      </c>
      <c r="U673" s="48" t="s">
        <v>91</v>
      </c>
      <c r="V673" s="2"/>
      <c r="W673" s="2"/>
      <c r="X673" s="2"/>
      <c r="Y673" s="3"/>
      <c r="Z673" s="3"/>
      <c r="AA673" s="3"/>
      <c r="AB673" s="3"/>
      <c r="AC673" s="3"/>
      <c r="AD673" s="3"/>
      <c r="AE673" s="3"/>
      <c r="AF673" s="3"/>
      <c r="AG673" s="3"/>
      <c r="AH673" s="3"/>
      <c r="AI673" s="3"/>
      <c r="AJ673" s="3"/>
      <c r="AK673" s="3"/>
      <c r="AL673" s="3"/>
      <c r="AM673" s="3"/>
      <c r="AN673" s="3"/>
      <c r="AO673" s="3"/>
      <c r="AP673" s="3"/>
      <c r="AQ673" s="3"/>
      <c r="AR673" s="3"/>
      <c r="AS673" s="3"/>
      <c r="AT673" s="3"/>
      <c r="AU673" s="3"/>
    </row>
    <row r="674" spans="2:47" ht="14.25" customHeight="1" x14ac:dyDescent="0.3">
      <c r="B674" s="3"/>
      <c r="Q674" s="1"/>
      <c r="R674" s="1"/>
      <c r="S674" s="2"/>
      <c r="T674" s="2">
        <v>560</v>
      </c>
      <c r="U674" s="48" t="s">
        <v>91</v>
      </c>
      <c r="V674" s="2"/>
      <c r="W674" s="2"/>
      <c r="X674" s="2"/>
      <c r="Y674" s="3"/>
      <c r="Z674" s="3"/>
      <c r="AA674" s="3"/>
      <c r="AB674" s="3"/>
      <c r="AC674" s="3"/>
      <c r="AD674" s="3"/>
      <c r="AE674" s="3"/>
      <c r="AF674" s="3"/>
      <c r="AG674" s="3"/>
      <c r="AH674" s="3"/>
      <c r="AI674" s="3"/>
      <c r="AJ674" s="3"/>
      <c r="AK674" s="3"/>
      <c r="AL674" s="3"/>
      <c r="AM674" s="3"/>
      <c r="AN674" s="3"/>
      <c r="AO674" s="3"/>
      <c r="AP674" s="3"/>
      <c r="AQ674" s="3"/>
      <c r="AR674" s="3"/>
      <c r="AS674" s="3"/>
      <c r="AT674" s="3"/>
      <c r="AU674" s="3"/>
    </row>
    <row r="675" spans="2:47" ht="14.25" customHeight="1" x14ac:dyDescent="0.3">
      <c r="B675" s="3"/>
      <c r="Q675" s="1"/>
      <c r="R675" s="1"/>
      <c r="S675" s="2"/>
      <c r="T675" s="2">
        <v>561</v>
      </c>
      <c r="U675" s="48" t="s">
        <v>91</v>
      </c>
      <c r="V675" s="2"/>
      <c r="W675" s="2"/>
      <c r="X675" s="2"/>
      <c r="Y675" s="3"/>
      <c r="Z675" s="3"/>
      <c r="AA675" s="3"/>
      <c r="AB675" s="3"/>
      <c r="AC675" s="3"/>
      <c r="AD675" s="3"/>
      <c r="AE675" s="3"/>
      <c r="AF675" s="3"/>
      <c r="AG675" s="3"/>
      <c r="AH675" s="3"/>
      <c r="AI675" s="3"/>
      <c r="AJ675" s="3"/>
      <c r="AK675" s="3"/>
      <c r="AL675" s="3"/>
      <c r="AM675" s="3"/>
      <c r="AN675" s="3"/>
      <c r="AO675" s="3"/>
      <c r="AP675" s="3"/>
      <c r="AQ675" s="3"/>
      <c r="AR675" s="3"/>
      <c r="AS675" s="3"/>
      <c r="AT675" s="3"/>
      <c r="AU675" s="3"/>
    </row>
    <row r="676" spans="2:47" ht="14.25" customHeight="1" x14ac:dyDescent="0.3">
      <c r="B676" s="3"/>
      <c r="Q676" s="1"/>
      <c r="R676" s="1"/>
      <c r="S676" s="2"/>
      <c r="T676" s="2">
        <v>562</v>
      </c>
      <c r="U676" s="48" t="s">
        <v>91</v>
      </c>
      <c r="V676" s="2"/>
      <c r="W676" s="2"/>
      <c r="X676" s="2"/>
      <c r="Y676" s="3"/>
      <c r="Z676" s="3"/>
      <c r="AA676" s="3"/>
      <c r="AB676" s="3"/>
      <c r="AC676" s="3"/>
      <c r="AD676" s="3"/>
      <c r="AE676" s="3"/>
      <c r="AF676" s="3"/>
      <c r="AG676" s="3"/>
      <c r="AH676" s="3"/>
      <c r="AI676" s="3"/>
      <c r="AJ676" s="3"/>
      <c r="AK676" s="3"/>
      <c r="AL676" s="3"/>
      <c r="AM676" s="3"/>
      <c r="AN676" s="3"/>
      <c r="AO676" s="3"/>
      <c r="AP676" s="3"/>
      <c r="AQ676" s="3"/>
      <c r="AR676" s="3"/>
      <c r="AS676" s="3"/>
      <c r="AT676" s="3"/>
      <c r="AU676" s="3"/>
    </row>
    <row r="677" spans="2:47" ht="14.25" customHeight="1" x14ac:dyDescent="0.3">
      <c r="B677" s="3"/>
      <c r="Q677" s="1"/>
      <c r="R677" s="1"/>
      <c r="S677" s="2"/>
      <c r="T677" s="2">
        <v>563</v>
      </c>
      <c r="U677" s="48" t="s">
        <v>91</v>
      </c>
      <c r="V677" s="2"/>
      <c r="W677" s="2"/>
      <c r="X677" s="2"/>
      <c r="Y677" s="3"/>
      <c r="Z677" s="3"/>
      <c r="AA677" s="3"/>
      <c r="AB677" s="3"/>
      <c r="AC677" s="3"/>
      <c r="AD677" s="3"/>
      <c r="AE677" s="3"/>
      <c r="AF677" s="3"/>
      <c r="AG677" s="3"/>
      <c r="AH677" s="3"/>
      <c r="AI677" s="3"/>
      <c r="AJ677" s="3"/>
      <c r="AK677" s="3"/>
      <c r="AL677" s="3"/>
      <c r="AM677" s="3"/>
      <c r="AN677" s="3"/>
      <c r="AO677" s="3"/>
      <c r="AP677" s="3"/>
      <c r="AQ677" s="3"/>
      <c r="AR677" s="3"/>
      <c r="AS677" s="3"/>
      <c r="AT677" s="3"/>
      <c r="AU677" s="3"/>
    </row>
    <row r="678" spans="2:47" ht="14.25" customHeight="1" x14ac:dyDescent="0.3">
      <c r="B678" s="3"/>
      <c r="Q678" s="1"/>
      <c r="R678" s="1"/>
      <c r="S678" s="2"/>
      <c r="T678" s="2">
        <v>564</v>
      </c>
      <c r="U678" s="48" t="s">
        <v>91</v>
      </c>
      <c r="V678" s="2"/>
      <c r="W678" s="2"/>
      <c r="X678" s="2"/>
      <c r="Y678" s="3"/>
      <c r="Z678" s="3"/>
      <c r="AA678" s="3"/>
      <c r="AB678" s="3"/>
      <c r="AC678" s="3"/>
      <c r="AD678" s="3"/>
      <c r="AE678" s="3"/>
      <c r="AF678" s="3"/>
      <c r="AG678" s="3"/>
      <c r="AH678" s="3"/>
      <c r="AI678" s="3"/>
      <c r="AJ678" s="3"/>
      <c r="AK678" s="3"/>
      <c r="AL678" s="3"/>
      <c r="AM678" s="3"/>
      <c r="AN678" s="3"/>
      <c r="AO678" s="3"/>
      <c r="AP678" s="3"/>
      <c r="AQ678" s="3"/>
      <c r="AR678" s="3"/>
      <c r="AS678" s="3"/>
      <c r="AT678" s="3"/>
      <c r="AU678" s="3"/>
    </row>
    <row r="679" spans="2:47" ht="14.25" customHeight="1" x14ac:dyDescent="0.3">
      <c r="B679" s="3"/>
      <c r="Q679" s="1"/>
      <c r="R679" s="1"/>
      <c r="S679" s="2"/>
      <c r="T679" s="2">
        <v>565</v>
      </c>
      <c r="U679" s="48" t="s">
        <v>91</v>
      </c>
      <c r="V679" s="2"/>
      <c r="W679" s="2"/>
      <c r="X679" s="2"/>
      <c r="Y679" s="3"/>
      <c r="Z679" s="3"/>
      <c r="AA679" s="3"/>
      <c r="AB679" s="3"/>
      <c r="AC679" s="3"/>
      <c r="AD679" s="3"/>
      <c r="AE679" s="3"/>
      <c r="AF679" s="3"/>
      <c r="AG679" s="3"/>
      <c r="AH679" s="3"/>
      <c r="AI679" s="3"/>
      <c r="AJ679" s="3"/>
      <c r="AK679" s="3"/>
      <c r="AL679" s="3"/>
      <c r="AM679" s="3"/>
      <c r="AN679" s="3"/>
      <c r="AO679" s="3"/>
      <c r="AP679" s="3"/>
      <c r="AQ679" s="3"/>
      <c r="AR679" s="3"/>
      <c r="AS679" s="3"/>
      <c r="AT679" s="3"/>
      <c r="AU679" s="3"/>
    </row>
    <row r="680" spans="2:47" ht="14.25" customHeight="1" x14ac:dyDescent="0.3">
      <c r="B680" s="3"/>
      <c r="Q680" s="1"/>
      <c r="R680" s="1"/>
      <c r="S680" s="2"/>
      <c r="T680" s="2">
        <v>566</v>
      </c>
      <c r="U680" s="48" t="s">
        <v>91</v>
      </c>
      <c r="V680" s="2"/>
      <c r="W680" s="2"/>
      <c r="X680" s="2"/>
      <c r="Y680" s="3"/>
      <c r="Z680" s="3"/>
      <c r="AA680" s="3"/>
      <c r="AB680" s="3"/>
      <c r="AC680" s="3"/>
      <c r="AD680" s="3"/>
      <c r="AE680" s="3"/>
      <c r="AF680" s="3"/>
      <c r="AG680" s="3"/>
      <c r="AH680" s="3"/>
      <c r="AI680" s="3"/>
      <c r="AJ680" s="3"/>
      <c r="AK680" s="3"/>
      <c r="AL680" s="3"/>
      <c r="AM680" s="3"/>
      <c r="AN680" s="3"/>
      <c r="AO680" s="3"/>
      <c r="AP680" s="3"/>
      <c r="AQ680" s="3"/>
      <c r="AR680" s="3"/>
      <c r="AS680" s="3"/>
      <c r="AT680" s="3"/>
      <c r="AU680" s="3"/>
    </row>
    <row r="681" spans="2:47" ht="14.25" customHeight="1" x14ac:dyDescent="0.3">
      <c r="B681" s="3"/>
      <c r="Q681" s="1"/>
      <c r="R681" s="1"/>
      <c r="S681" s="2"/>
      <c r="T681" s="2">
        <v>567</v>
      </c>
      <c r="U681" s="48" t="s">
        <v>91</v>
      </c>
      <c r="V681" s="2"/>
      <c r="W681" s="2"/>
      <c r="X681" s="2"/>
      <c r="Y681" s="3"/>
      <c r="Z681" s="3"/>
      <c r="AA681" s="3"/>
      <c r="AB681" s="3"/>
      <c r="AC681" s="3"/>
      <c r="AD681" s="3"/>
      <c r="AE681" s="3"/>
      <c r="AF681" s="3"/>
      <c r="AG681" s="3"/>
      <c r="AH681" s="3"/>
      <c r="AI681" s="3"/>
      <c r="AJ681" s="3"/>
      <c r="AK681" s="3"/>
      <c r="AL681" s="3"/>
      <c r="AM681" s="3"/>
      <c r="AN681" s="3"/>
      <c r="AO681" s="3"/>
      <c r="AP681" s="3"/>
      <c r="AQ681" s="3"/>
      <c r="AR681" s="3"/>
      <c r="AS681" s="3"/>
      <c r="AT681" s="3"/>
      <c r="AU681" s="3"/>
    </row>
    <row r="682" spans="2:47" ht="14.25" customHeight="1" x14ac:dyDescent="0.3">
      <c r="B682" s="3"/>
      <c r="Q682" s="1"/>
      <c r="R682" s="1"/>
      <c r="S682" s="2"/>
      <c r="T682" s="2">
        <v>568</v>
      </c>
      <c r="U682" s="48" t="s">
        <v>91</v>
      </c>
      <c r="V682" s="2"/>
      <c r="W682" s="2"/>
      <c r="X682" s="2"/>
      <c r="Y682" s="3"/>
      <c r="Z682" s="3"/>
      <c r="AA682" s="3"/>
      <c r="AB682" s="3"/>
      <c r="AC682" s="3"/>
      <c r="AD682" s="3"/>
      <c r="AE682" s="3"/>
      <c r="AF682" s="3"/>
      <c r="AG682" s="3"/>
      <c r="AH682" s="3"/>
      <c r="AI682" s="3"/>
      <c r="AJ682" s="3"/>
      <c r="AK682" s="3"/>
      <c r="AL682" s="3"/>
      <c r="AM682" s="3"/>
      <c r="AN682" s="3"/>
      <c r="AO682" s="3"/>
      <c r="AP682" s="3"/>
      <c r="AQ682" s="3"/>
      <c r="AR682" s="3"/>
      <c r="AS682" s="3"/>
      <c r="AT682" s="3"/>
      <c r="AU682" s="3"/>
    </row>
    <row r="683" spans="2:47" ht="14.25" customHeight="1" x14ac:dyDescent="0.3">
      <c r="B683" s="3"/>
      <c r="Q683" s="1"/>
      <c r="R683" s="1"/>
      <c r="S683" s="2"/>
      <c r="T683" s="2">
        <v>569</v>
      </c>
      <c r="U683" s="48" t="s">
        <v>91</v>
      </c>
      <c r="V683" s="2"/>
      <c r="W683" s="2"/>
      <c r="X683" s="2"/>
      <c r="Y683" s="3"/>
      <c r="Z683" s="3"/>
      <c r="AA683" s="3"/>
      <c r="AB683" s="3"/>
      <c r="AC683" s="3"/>
      <c r="AD683" s="3"/>
      <c r="AE683" s="3"/>
      <c r="AF683" s="3"/>
      <c r="AG683" s="3"/>
      <c r="AH683" s="3"/>
      <c r="AI683" s="3"/>
      <c r="AJ683" s="3"/>
      <c r="AK683" s="3"/>
      <c r="AL683" s="3"/>
      <c r="AM683" s="3"/>
      <c r="AN683" s="3"/>
      <c r="AO683" s="3"/>
      <c r="AP683" s="3"/>
      <c r="AQ683" s="3"/>
      <c r="AR683" s="3"/>
      <c r="AS683" s="3"/>
      <c r="AT683" s="3"/>
      <c r="AU683" s="3"/>
    </row>
    <row r="684" spans="2:47" ht="14.25" customHeight="1" x14ac:dyDescent="0.3">
      <c r="B684" s="3"/>
      <c r="Q684" s="1"/>
      <c r="R684" s="1"/>
      <c r="S684" s="2"/>
      <c r="T684" s="2">
        <v>570</v>
      </c>
      <c r="U684" s="48" t="s">
        <v>91</v>
      </c>
      <c r="V684" s="2"/>
      <c r="W684" s="2"/>
      <c r="X684" s="2"/>
      <c r="Y684" s="3"/>
      <c r="Z684" s="3"/>
      <c r="AA684" s="3"/>
      <c r="AB684" s="3"/>
      <c r="AC684" s="3"/>
      <c r="AD684" s="3"/>
      <c r="AE684" s="3"/>
      <c r="AF684" s="3"/>
      <c r="AG684" s="3"/>
      <c r="AH684" s="3"/>
      <c r="AI684" s="3"/>
      <c r="AJ684" s="3"/>
      <c r="AK684" s="3"/>
      <c r="AL684" s="3"/>
      <c r="AM684" s="3"/>
      <c r="AN684" s="3"/>
      <c r="AO684" s="3"/>
      <c r="AP684" s="3"/>
      <c r="AQ684" s="3"/>
      <c r="AR684" s="3"/>
      <c r="AS684" s="3"/>
      <c r="AT684" s="3"/>
      <c r="AU684" s="3"/>
    </row>
    <row r="685" spans="2:47" ht="14.25" customHeight="1" x14ac:dyDescent="0.3">
      <c r="B685" s="3"/>
      <c r="Q685" s="1"/>
      <c r="R685" s="1"/>
      <c r="S685" s="2"/>
      <c r="T685" s="2">
        <v>571</v>
      </c>
      <c r="U685" s="48" t="s">
        <v>91</v>
      </c>
      <c r="V685" s="2"/>
      <c r="W685" s="2"/>
      <c r="X685" s="2"/>
      <c r="Y685" s="3"/>
      <c r="Z685" s="3"/>
      <c r="AA685" s="3"/>
      <c r="AB685" s="3"/>
      <c r="AC685" s="3"/>
      <c r="AD685" s="3"/>
      <c r="AE685" s="3"/>
      <c r="AF685" s="3"/>
      <c r="AG685" s="3"/>
      <c r="AH685" s="3"/>
      <c r="AI685" s="3"/>
      <c r="AJ685" s="3"/>
      <c r="AK685" s="3"/>
      <c r="AL685" s="3"/>
      <c r="AM685" s="3"/>
      <c r="AN685" s="3"/>
      <c r="AO685" s="3"/>
      <c r="AP685" s="3"/>
      <c r="AQ685" s="3"/>
      <c r="AR685" s="3"/>
      <c r="AS685" s="3"/>
      <c r="AT685" s="3"/>
      <c r="AU685" s="3"/>
    </row>
    <row r="686" spans="2:47" ht="14.25" customHeight="1" x14ac:dyDescent="0.3">
      <c r="B686" s="3"/>
      <c r="Q686" s="1"/>
      <c r="R686" s="1"/>
      <c r="S686" s="2"/>
      <c r="T686" s="2">
        <v>572</v>
      </c>
      <c r="U686" s="48" t="s">
        <v>91</v>
      </c>
      <c r="V686" s="2"/>
      <c r="W686" s="2"/>
      <c r="X686" s="2"/>
      <c r="Y686" s="3"/>
      <c r="Z686" s="3"/>
      <c r="AA686" s="3"/>
      <c r="AB686" s="3"/>
      <c r="AC686" s="3"/>
      <c r="AD686" s="3"/>
      <c r="AE686" s="3"/>
      <c r="AF686" s="3"/>
      <c r="AG686" s="3"/>
      <c r="AH686" s="3"/>
      <c r="AI686" s="3"/>
      <c r="AJ686" s="3"/>
      <c r="AK686" s="3"/>
      <c r="AL686" s="3"/>
      <c r="AM686" s="3"/>
      <c r="AN686" s="3"/>
      <c r="AO686" s="3"/>
      <c r="AP686" s="3"/>
      <c r="AQ686" s="3"/>
      <c r="AR686" s="3"/>
      <c r="AS686" s="3"/>
      <c r="AT686" s="3"/>
      <c r="AU686" s="3"/>
    </row>
    <row r="687" spans="2:47" ht="14.25" customHeight="1" x14ac:dyDescent="0.3">
      <c r="B687" s="3"/>
      <c r="Q687" s="1"/>
      <c r="R687" s="1"/>
      <c r="S687" s="2"/>
      <c r="T687" s="2">
        <v>573</v>
      </c>
      <c r="U687" s="48" t="s">
        <v>91</v>
      </c>
      <c r="V687" s="2"/>
      <c r="W687" s="2"/>
      <c r="X687" s="2"/>
      <c r="Y687" s="3"/>
      <c r="Z687" s="3"/>
      <c r="AA687" s="3"/>
      <c r="AB687" s="3"/>
      <c r="AC687" s="3"/>
      <c r="AD687" s="3"/>
      <c r="AE687" s="3"/>
      <c r="AF687" s="3"/>
      <c r="AG687" s="3"/>
      <c r="AH687" s="3"/>
      <c r="AI687" s="3"/>
      <c r="AJ687" s="3"/>
      <c r="AK687" s="3"/>
      <c r="AL687" s="3"/>
      <c r="AM687" s="3"/>
      <c r="AN687" s="3"/>
      <c r="AO687" s="3"/>
      <c r="AP687" s="3"/>
      <c r="AQ687" s="3"/>
      <c r="AR687" s="3"/>
      <c r="AS687" s="3"/>
      <c r="AT687" s="3"/>
      <c r="AU687" s="3"/>
    </row>
    <row r="688" spans="2:47" ht="14.25" customHeight="1" x14ac:dyDescent="0.3">
      <c r="B688" s="3"/>
      <c r="Q688" s="1"/>
      <c r="R688" s="1"/>
      <c r="S688" s="2"/>
      <c r="T688" s="2">
        <v>574</v>
      </c>
      <c r="U688" s="48" t="s">
        <v>91</v>
      </c>
      <c r="V688" s="2"/>
      <c r="W688" s="2"/>
      <c r="X688" s="2"/>
      <c r="Y688" s="3"/>
      <c r="Z688" s="3"/>
      <c r="AA688" s="3"/>
      <c r="AB688" s="3"/>
      <c r="AC688" s="3"/>
      <c r="AD688" s="3"/>
      <c r="AE688" s="3"/>
      <c r="AF688" s="3"/>
      <c r="AG688" s="3"/>
      <c r="AH688" s="3"/>
      <c r="AI688" s="3"/>
      <c r="AJ688" s="3"/>
      <c r="AK688" s="3"/>
      <c r="AL688" s="3"/>
      <c r="AM688" s="3"/>
      <c r="AN688" s="3"/>
      <c r="AO688" s="3"/>
      <c r="AP688" s="3"/>
      <c r="AQ688" s="3"/>
      <c r="AR688" s="3"/>
      <c r="AS688" s="3"/>
      <c r="AT688" s="3"/>
      <c r="AU688" s="3"/>
    </row>
    <row r="689" spans="2:47" ht="14.25" customHeight="1" x14ac:dyDescent="0.3">
      <c r="B689" s="3"/>
      <c r="Q689" s="1"/>
      <c r="R689" s="1"/>
      <c r="S689" s="2"/>
      <c r="T689" s="2">
        <v>575</v>
      </c>
      <c r="U689" s="48" t="s">
        <v>91</v>
      </c>
      <c r="V689" s="2"/>
      <c r="W689" s="2"/>
      <c r="X689" s="2"/>
      <c r="Y689" s="3"/>
      <c r="Z689" s="3"/>
      <c r="AA689" s="3"/>
      <c r="AB689" s="3"/>
      <c r="AC689" s="3"/>
      <c r="AD689" s="3"/>
      <c r="AE689" s="3"/>
      <c r="AF689" s="3"/>
      <c r="AG689" s="3"/>
      <c r="AH689" s="3"/>
      <c r="AI689" s="3"/>
      <c r="AJ689" s="3"/>
      <c r="AK689" s="3"/>
      <c r="AL689" s="3"/>
      <c r="AM689" s="3"/>
      <c r="AN689" s="3"/>
      <c r="AO689" s="3"/>
      <c r="AP689" s="3"/>
      <c r="AQ689" s="3"/>
      <c r="AR689" s="3"/>
      <c r="AS689" s="3"/>
      <c r="AT689" s="3"/>
      <c r="AU689" s="3"/>
    </row>
    <row r="690" spans="2:47" ht="14.25" customHeight="1" x14ac:dyDescent="0.3">
      <c r="B690" s="3"/>
      <c r="Q690" s="1"/>
      <c r="R690" s="1"/>
      <c r="S690" s="2"/>
      <c r="T690" s="2">
        <v>576</v>
      </c>
      <c r="U690" s="48" t="s">
        <v>91</v>
      </c>
      <c r="V690" s="2"/>
      <c r="W690" s="2"/>
      <c r="X690" s="2"/>
      <c r="Y690" s="3"/>
      <c r="Z690" s="3"/>
      <c r="AA690" s="3"/>
      <c r="AB690" s="3"/>
      <c r="AC690" s="3"/>
      <c r="AD690" s="3"/>
      <c r="AE690" s="3"/>
      <c r="AF690" s="3"/>
      <c r="AG690" s="3"/>
      <c r="AH690" s="3"/>
      <c r="AI690" s="3"/>
      <c r="AJ690" s="3"/>
      <c r="AK690" s="3"/>
      <c r="AL690" s="3"/>
      <c r="AM690" s="3"/>
      <c r="AN690" s="3"/>
      <c r="AO690" s="3"/>
      <c r="AP690" s="3"/>
      <c r="AQ690" s="3"/>
      <c r="AR690" s="3"/>
      <c r="AS690" s="3"/>
      <c r="AT690" s="3"/>
      <c r="AU690" s="3"/>
    </row>
    <row r="691" spans="2:47" ht="14.25" customHeight="1" x14ac:dyDescent="0.3">
      <c r="B691" s="3"/>
      <c r="Q691" s="1"/>
      <c r="R691" s="1"/>
      <c r="S691" s="2"/>
      <c r="T691" s="2">
        <v>577</v>
      </c>
      <c r="U691" s="48" t="s">
        <v>91</v>
      </c>
      <c r="V691" s="2"/>
      <c r="W691" s="2"/>
      <c r="X691" s="2"/>
      <c r="Y691" s="3"/>
      <c r="Z691" s="3"/>
      <c r="AA691" s="3"/>
      <c r="AB691" s="3"/>
      <c r="AC691" s="3"/>
      <c r="AD691" s="3"/>
      <c r="AE691" s="3"/>
      <c r="AF691" s="3"/>
      <c r="AG691" s="3"/>
      <c r="AH691" s="3"/>
      <c r="AI691" s="3"/>
      <c r="AJ691" s="3"/>
      <c r="AK691" s="3"/>
      <c r="AL691" s="3"/>
      <c r="AM691" s="3"/>
      <c r="AN691" s="3"/>
      <c r="AO691" s="3"/>
      <c r="AP691" s="3"/>
      <c r="AQ691" s="3"/>
      <c r="AR691" s="3"/>
      <c r="AS691" s="3"/>
      <c r="AT691" s="3"/>
      <c r="AU691" s="3"/>
    </row>
    <row r="692" spans="2:47" ht="14.25" customHeight="1" x14ac:dyDescent="0.3">
      <c r="B692" s="3"/>
      <c r="Q692" s="1"/>
      <c r="R692" s="1"/>
      <c r="S692" s="2"/>
      <c r="T692" s="2">
        <v>578</v>
      </c>
      <c r="U692" s="48" t="s">
        <v>91</v>
      </c>
      <c r="V692" s="2"/>
      <c r="W692" s="2"/>
      <c r="X692" s="2"/>
      <c r="Y692" s="3"/>
      <c r="Z692" s="3"/>
      <c r="AA692" s="3"/>
      <c r="AB692" s="3"/>
      <c r="AC692" s="3"/>
      <c r="AD692" s="3"/>
      <c r="AE692" s="3"/>
      <c r="AF692" s="3"/>
      <c r="AG692" s="3"/>
      <c r="AH692" s="3"/>
      <c r="AI692" s="3"/>
      <c r="AJ692" s="3"/>
      <c r="AK692" s="3"/>
      <c r="AL692" s="3"/>
      <c r="AM692" s="3"/>
      <c r="AN692" s="3"/>
      <c r="AO692" s="3"/>
      <c r="AP692" s="3"/>
      <c r="AQ692" s="3"/>
      <c r="AR692" s="3"/>
      <c r="AS692" s="3"/>
      <c r="AT692" s="3"/>
      <c r="AU692" s="3"/>
    </row>
    <row r="693" spans="2:47" ht="14.25" customHeight="1" x14ac:dyDescent="0.3">
      <c r="B693" s="3"/>
      <c r="Q693" s="1"/>
      <c r="R693" s="1"/>
      <c r="S693" s="2"/>
      <c r="T693" s="2">
        <v>579</v>
      </c>
      <c r="U693" s="48" t="s">
        <v>91</v>
      </c>
      <c r="V693" s="2"/>
      <c r="W693" s="2"/>
      <c r="X693" s="2"/>
      <c r="Y693" s="3"/>
      <c r="Z693" s="3"/>
      <c r="AA693" s="3"/>
      <c r="AB693" s="3"/>
      <c r="AC693" s="3"/>
      <c r="AD693" s="3"/>
      <c r="AE693" s="3"/>
      <c r="AF693" s="3"/>
      <c r="AG693" s="3"/>
      <c r="AH693" s="3"/>
      <c r="AI693" s="3"/>
      <c r="AJ693" s="3"/>
      <c r="AK693" s="3"/>
      <c r="AL693" s="3"/>
      <c r="AM693" s="3"/>
      <c r="AN693" s="3"/>
      <c r="AO693" s="3"/>
      <c r="AP693" s="3"/>
      <c r="AQ693" s="3"/>
      <c r="AR693" s="3"/>
      <c r="AS693" s="3"/>
      <c r="AT693" s="3"/>
      <c r="AU693" s="3"/>
    </row>
    <row r="694" spans="2:47" ht="14.25" customHeight="1" x14ac:dyDescent="0.3">
      <c r="B694" s="3"/>
      <c r="Q694" s="1"/>
      <c r="R694" s="1"/>
      <c r="S694" s="2"/>
      <c r="T694" s="2">
        <v>580</v>
      </c>
      <c r="U694" s="48" t="s">
        <v>91</v>
      </c>
      <c r="V694" s="2"/>
      <c r="W694" s="2"/>
      <c r="X694" s="2"/>
      <c r="Y694" s="3"/>
      <c r="Z694" s="3"/>
      <c r="AA694" s="3"/>
      <c r="AB694" s="3"/>
      <c r="AC694" s="3"/>
      <c r="AD694" s="3"/>
      <c r="AE694" s="3"/>
      <c r="AF694" s="3"/>
      <c r="AG694" s="3"/>
      <c r="AH694" s="3"/>
      <c r="AI694" s="3"/>
      <c r="AJ694" s="3"/>
      <c r="AK694" s="3"/>
      <c r="AL694" s="3"/>
      <c r="AM694" s="3"/>
      <c r="AN694" s="3"/>
      <c r="AO694" s="3"/>
      <c r="AP694" s="3"/>
      <c r="AQ694" s="3"/>
      <c r="AR694" s="3"/>
      <c r="AS694" s="3"/>
      <c r="AT694" s="3"/>
      <c r="AU694" s="3"/>
    </row>
    <row r="695" spans="2:47" ht="14.25" customHeight="1" x14ac:dyDescent="0.3">
      <c r="B695" s="3"/>
      <c r="Q695" s="1"/>
      <c r="R695" s="1"/>
      <c r="S695" s="2"/>
      <c r="T695" s="2">
        <v>581</v>
      </c>
      <c r="U695" s="48" t="s">
        <v>91</v>
      </c>
      <c r="V695" s="2"/>
      <c r="W695" s="2"/>
      <c r="X695" s="2"/>
      <c r="Y695" s="3"/>
      <c r="Z695" s="3"/>
      <c r="AA695" s="3"/>
      <c r="AB695" s="3"/>
      <c r="AC695" s="3"/>
      <c r="AD695" s="3"/>
      <c r="AE695" s="3"/>
      <c r="AF695" s="3"/>
      <c r="AG695" s="3"/>
      <c r="AH695" s="3"/>
      <c r="AI695" s="3"/>
      <c r="AJ695" s="3"/>
      <c r="AK695" s="3"/>
      <c r="AL695" s="3"/>
      <c r="AM695" s="3"/>
      <c r="AN695" s="3"/>
      <c r="AO695" s="3"/>
      <c r="AP695" s="3"/>
      <c r="AQ695" s="3"/>
      <c r="AR695" s="3"/>
      <c r="AS695" s="3"/>
      <c r="AT695" s="3"/>
      <c r="AU695" s="3"/>
    </row>
    <row r="696" spans="2:47" ht="14.25" customHeight="1" x14ac:dyDescent="0.3">
      <c r="B696" s="3"/>
      <c r="Q696" s="1"/>
      <c r="R696" s="1"/>
      <c r="S696" s="2"/>
      <c r="T696" s="2">
        <v>582</v>
      </c>
      <c r="U696" s="48" t="s">
        <v>91</v>
      </c>
      <c r="V696" s="2"/>
      <c r="W696" s="2"/>
      <c r="X696" s="2"/>
      <c r="Y696" s="3"/>
      <c r="Z696" s="3"/>
      <c r="AA696" s="3"/>
      <c r="AB696" s="3"/>
      <c r="AC696" s="3"/>
      <c r="AD696" s="3"/>
      <c r="AE696" s="3"/>
      <c r="AF696" s="3"/>
      <c r="AG696" s="3"/>
      <c r="AH696" s="3"/>
      <c r="AI696" s="3"/>
      <c r="AJ696" s="3"/>
      <c r="AK696" s="3"/>
      <c r="AL696" s="3"/>
      <c r="AM696" s="3"/>
      <c r="AN696" s="3"/>
      <c r="AO696" s="3"/>
      <c r="AP696" s="3"/>
      <c r="AQ696" s="3"/>
      <c r="AR696" s="3"/>
      <c r="AS696" s="3"/>
      <c r="AT696" s="3"/>
      <c r="AU696" s="3"/>
    </row>
    <row r="697" spans="2:47" ht="14.25" customHeight="1" x14ac:dyDescent="0.3">
      <c r="B697" s="3"/>
      <c r="Q697" s="1"/>
      <c r="R697" s="1"/>
      <c r="S697" s="2"/>
      <c r="T697" s="2">
        <v>583</v>
      </c>
      <c r="U697" s="48" t="s">
        <v>91</v>
      </c>
      <c r="V697" s="2"/>
      <c r="W697" s="2"/>
      <c r="X697" s="2"/>
      <c r="Y697" s="3"/>
      <c r="Z697" s="3"/>
      <c r="AA697" s="3"/>
      <c r="AB697" s="3"/>
      <c r="AC697" s="3"/>
      <c r="AD697" s="3"/>
      <c r="AE697" s="3"/>
      <c r="AF697" s="3"/>
      <c r="AG697" s="3"/>
      <c r="AH697" s="3"/>
      <c r="AI697" s="3"/>
      <c r="AJ697" s="3"/>
      <c r="AK697" s="3"/>
      <c r="AL697" s="3"/>
      <c r="AM697" s="3"/>
      <c r="AN697" s="3"/>
      <c r="AO697" s="3"/>
      <c r="AP697" s="3"/>
      <c r="AQ697" s="3"/>
      <c r="AR697" s="3"/>
      <c r="AS697" s="3"/>
      <c r="AT697" s="3"/>
      <c r="AU697" s="3"/>
    </row>
    <row r="698" spans="2:47" ht="14.25" customHeight="1" x14ac:dyDescent="0.3">
      <c r="B698" s="3"/>
      <c r="Q698" s="1"/>
      <c r="R698" s="1"/>
      <c r="S698" s="2"/>
      <c r="T698" s="2">
        <v>584</v>
      </c>
      <c r="U698" s="48" t="s">
        <v>91</v>
      </c>
      <c r="V698" s="2"/>
      <c r="W698" s="2"/>
      <c r="X698" s="2"/>
      <c r="Y698" s="3"/>
      <c r="Z698" s="3"/>
      <c r="AA698" s="3"/>
      <c r="AB698" s="3"/>
      <c r="AC698" s="3"/>
      <c r="AD698" s="3"/>
      <c r="AE698" s="3"/>
      <c r="AF698" s="3"/>
      <c r="AG698" s="3"/>
      <c r="AH698" s="3"/>
      <c r="AI698" s="3"/>
      <c r="AJ698" s="3"/>
      <c r="AK698" s="3"/>
      <c r="AL698" s="3"/>
      <c r="AM698" s="3"/>
      <c r="AN698" s="3"/>
      <c r="AO698" s="3"/>
      <c r="AP698" s="3"/>
      <c r="AQ698" s="3"/>
      <c r="AR698" s="3"/>
      <c r="AS698" s="3"/>
      <c r="AT698" s="3"/>
      <c r="AU698" s="3"/>
    </row>
    <row r="699" spans="2:47" ht="14.25" customHeight="1" x14ac:dyDescent="0.3">
      <c r="B699" s="3"/>
      <c r="Q699" s="1"/>
      <c r="R699" s="1"/>
      <c r="S699" s="2"/>
      <c r="T699" s="2">
        <v>585</v>
      </c>
      <c r="U699" s="48" t="s">
        <v>91</v>
      </c>
      <c r="V699" s="2"/>
      <c r="W699" s="2"/>
      <c r="X699" s="2"/>
      <c r="Y699" s="3"/>
      <c r="Z699" s="3"/>
      <c r="AA699" s="3"/>
      <c r="AB699" s="3"/>
      <c r="AC699" s="3"/>
      <c r="AD699" s="3"/>
      <c r="AE699" s="3"/>
      <c r="AF699" s="3"/>
      <c r="AG699" s="3"/>
      <c r="AH699" s="3"/>
      <c r="AI699" s="3"/>
      <c r="AJ699" s="3"/>
      <c r="AK699" s="3"/>
      <c r="AL699" s="3"/>
      <c r="AM699" s="3"/>
      <c r="AN699" s="3"/>
      <c r="AO699" s="3"/>
      <c r="AP699" s="3"/>
      <c r="AQ699" s="3"/>
      <c r="AR699" s="3"/>
      <c r="AS699" s="3"/>
      <c r="AT699" s="3"/>
      <c r="AU699" s="3"/>
    </row>
    <row r="700" spans="2:47" ht="14.25" customHeight="1" x14ac:dyDescent="0.3">
      <c r="B700" s="3"/>
      <c r="Q700" s="1"/>
      <c r="R700" s="1"/>
      <c r="S700" s="2"/>
      <c r="T700" s="2">
        <v>586</v>
      </c>
      <c r="U700" s="48" t="s">
        <v>91</v>
      </c>
      <c r="V700" s="2"/>
      <c r="W700" s="2"/>
      <c r="X700" s="2"/>
      <c r="Y700" s="3"/>
      <c r="Z700" s="3"/>
      <c r="AA700" s="3"/>
      <c r="AB700" s="3"/>
      <c r="AC700" s="3"/>
      <c r="AD700" s="3"/>
      <c r="AE700" s="3"/>
      <c r="AF700" s="3"/>
      <c r="AG700" s="3"/>
      <c r="AH700" s="3"/>
      <c r="AI700" s="3"/>
      <c r="AJ700" s="3"/>
      <c r="AK700" s="3"/>
      <c r="AL700" s="3"/>
      <c r="AM700" s="3"/>
      <c r="AN700" s="3"/>
      <c r="AO700" s="3"/>
      <c r="AP700" s="3"/>
      <c r="AQ700" s="3"/>
      <c r="AR700" s="3"/>
      <c r="AS700" s="3"/>
      <c r="AT700" s="3"/>
      <c r="AU700" s="3"/>
    </row>
    <row r="701" spans="2:47" ht="14.25" customHeight="1" x14ac:dyDescent="0.3">
      <c r="B701" s="3"/>
      <c r="Q701" s="1"/>
      <c r="R701" s="1"/>
      <c r="S701" s="2"/>
      <c r="T701" s="2">
        <v>587</v>
      </c>
      <c r="U701" s="48" t="s">
        <v>91</v>
      </c>
      <c r="V701" s="2"/>
      <c r="W701" s="2"/>
      <c r="X701" s="2"/>
      <c r="Y701" s="3"/>
      <c r="Z701" s="3"/>
      <c r="AA701" s="3"/>
      <c r="AB701" s="3"/>
      <c r="AC701" s="3"/>
      <c r="AD701" s="3"/>
      <c r="AE701" s="3"/>
      <c r="AF701" s="3"/>
      <c r="AG701" s="3"/>
      <c r="AH701" s="3"/>
      <c r="AI701" s="3"/>
      <c r="AJ701" s="3"/>
      <c r="AK701" s="3"/>
      <c r="AL701" s="3"/>
      <c r="AM701" s="3"/>
      <c r="AN701" s="3"/>
      <c r="AO701" s="3"/>
      <c r="AP701" s="3"/>
      <c r="AQ701" s="3"/>
      <c r="AR701" s="3"/>
      <c r="AS701" s="3"/>
      <c r="AT701" s="3"/>
      <c r="AU701" s="3"/>
    </row>
    <row r="702" spans="2:47" ht="14.25" customHeight="1" x14ac:dyDescent="0.3">
      <c r="B702" s="3"/>
      <c r="Q702" s="1"/>
      <c r="R702" s="1"/>
      <c r="S702" s="2"/>
      <c r="T702" s="2">
        <v>588</v>
      </c>
      <c r="U702" s="48" t="s">
        <v>91</v>
      </c>
      <c r="V702" s="2"/>
      <c r="W702" s="2"/>
      <c r="X702" s="2"/>
      <c r="Y702" s="3"/>
      <c r="Z702" s="3"/>
      <c r="AA702" s="3"/>
      <c r="AB702" s="3"/>
      <c r="AC702" s="3"/>
      <c r="AD702" s="3"/>
      <c r="AE702" s="3"/>
      <c r="AF702" s="3"/>
      <c r="AG702" s="3"/>
      <c r="AH702" s="3"/>
      <c r="AI702" s="3"/>
      <c r="AJ702" s="3"/>
      <c r="AK702" s="3"/>
      <c r="AL702" s="3"/>
      <c r="AM702" s="3"/>
      <c r="AN702" s="3"/>
      <c r="AO702" s="3"/>
      <c r="AP702" s="3"/>
      <c r="AQ702" s="3"/>
      <c r="AR702" s="3"/>
      <c r="AS702" s="3"/>
      <c r="AT702" s="3"/>
      <c r="AU702" s="3"/>
    </row>
    <row r="703" spans="2:47" ht="14.25" customHeight="1" x14ac:dyDescent="0.3">
      <c r="B703" s="3"/>
      <c r="Q703" s="1"/>
      <c r="R703" s="1"/>
      <c r="S703" s="2"/>
      <c r="T703" s="2">
        <v>589</v>
      </c>
      <c r="U703" s="48" t="s">
        <v>91</v>
      </c>
      <c r="V703" s="2"/>
      <c r="W703" s="2"/>
      <c r="X703" s="2"/>
      <c r="Y703" s="3"/>
      <c r="Z703" s="3"/>
      <c r="AA703" s="3"/>
      <c r="AB703" s="3"/>
      <c r="AC703" s="3"/>
      <c r="AD703" s="3"/>
      <c r="AE703" s="3"/>
      <c r="AF703" s="3"/>
      <c r="AG703" s="3"/>
      <c r="AH703" s="3"/>
      <c r="AI703" s="3"/>
      <c r="AJ703" s="3"/>
      <c r="AK703" s="3"/>
      <c r="AL703" s="3"/>
      <c r="AM703" s="3"/>
      <c r="AN703" s="3"/>
      <c r="AO703" s="3"/>
      <c r="AP703" s="3"/>
      <c r="AQ703" s="3"/>
      <c r="AR703" s="3"/>
      <c r="AS703" s="3"/>
      <c r="AT703" s="3"/>
      <c r="AU703" s="3"/>
    </row>
    <row r="704" spans="2:47" ht="14.25" customHeight="1" x14ac:dyDescent="0.3">
      <c r="B704" s="3"/>
      <c r="Q704" s="1"/>
      <c r="R704" s="1"/>
      <c r="S704" s="2"/>
      <c r="T704" s="2">
        <v>590</v>
      </c>
      <c r="U704" s="48" t="s">
        <v>91</v>
      </c>
      <c r="V704" s="2"/>
      <c r="W704" s="2"/>
      <c r="X704" s="2"/>
      <c r="Y704" s="3"/>
      <c r="Z704" s="3"/>
      <c r="AA704" s="3"/>
      <c r="AB704" s="3"/>
      <c r="AC704" s="3"/>
      <c r="AD704" s="3"/>
      <c r="AE704" s="3"/>
      <c r="AF704" s="3"/>
      <c r="AG704" s="3"/>
      <c r="AH704" s="3"/>
      <c r="AI704" s="3"/>
      <c r="AJ704" s="3"/>
      <c r="AK704" s="3"/>
      <c r="AL704" s="3"/>
      <c r="AM704" s="3"/>
      <c r="AN704" s="3"/>
      <c r="AO704" s="3"/>
      <c r="AP704" s="3"/>
      <c r="AQ704" s="3"/>
      <c r="AR704" s="3"/>
      <c r="AS704" s="3"/>
      <c r="AT704" s="3"/>
      <c r="AU704" s="3"/>
    </row>
    <row r="705" spans="2:47" ht="14.25" customHeight="1" x14ac:dyDescent="0.3">
      <c r="B705" s="3"/>
      <c r="Q705" s="1"/>
      <c r="R705" s="1"/>
      <c r="S705" s="2"/>
      <c r="T705" s="2">
        <v>591</v>
      </c>
      <c r="U705" s="48" t="s">
        <v>91</v>
      </c>
      <c r="V705" s="2"/>
      <c r="W705" s="2"/>
      <c r="X705" s="2"/>
      <c r="Y705" s="3"/>
      <c r="Z705" s="3"/>
      <c r="AA705" s="3"/>
      <c r="AB705" s="3"/>
      <c r="AC705" s="3"/>
      <c r="AD705" s="3"/>
      <c r="AE705" s="3"/>
      <c r="AF705" s="3"/>
      <c r="AG705" s="3"/>
      <c r="AH705" s="3"/>
      <c r="AI705" s="3"/>
      <c r="AJ705" s="3"/>
      <c r="AK705" s="3"/>
      <c r="AL705" s="3"/>
      <c r="AM705" s="3"/>
      <c r="AN705" s="3"/>
      <c r="AO705" s="3"/>
      <c r="AP705" s="3"/>
      <c r="AQ705" s="3"/>
      <c r="AR705" s="3"/>
      <c r="AS705" s="3"/>
      <c r="AT705" s="3"/>
      <c r="AU705" s="3"/>
    </row>
    <row r="706" spans="2:47" ht="14.25" customHeight="1" x14ac:dyDescent="0.3">
      <c r="B706" s="3"/>
      <c r="Q706" s="1"/>
      <c r="R706" s="1"/>
      <c r="S706" s="2"/>
      <c r="T706" s="2">
        <v>592</v>
      </c>
      <c r="U706" s="48" t="s">
        <v>91</v>
      </c>
      <c r="V706" s="2"/>
      <c r="W706" s="2"/>
      <c r="X706" s="2"/>
      <c r="Y706" s="3"/>
      <c r="Z706" s="3"/>
      <c r="AA706" s="3"/>
      <c r="AB706" s="3"/>
      <c r="AC706" s="3"/>
      <c r="AD706" s="3"/>
      <c r="AE706" s="3"/>
      <c r="AF706" s="3"/>
      <c r="AG706" s="3"/>
      <c r="AH706" s="3"/>
      <c r="AI706" s="3"/>
      <c r="AJ706" s="3"/>
      <c r="AK706" s="3"/>
      <c r="AL706" s="3"/>
      <c r="AM706" s="3"/>
      <c r="AN706" s="3"/>
      <c r="AO706" s="3"/>
      <c r="AP706" s="3"/>
      <c r="AQ706" s="3"/>
      <c r="AR706" s="3"/>
      <c r="AS706" s="3"/>
      <c r="AT706" s="3"/>
      <c r="AU706" s="3"/>
    </row>
    <row r="707" spans="2:47" ht="14.25" customHeight="1" x14ac:dyDescent="0.3">
      <c r="B707" s="3"/>
      <c r="Q707" s="1"/>
      <c r="R707" s="1"/>
      <c r="S707" s="2"/>
      <c r="T707" s="2">
        <v>593</v>
      </c>
      <c r="U707" s="48" t="s">
        <v>91</v>
      </c>
      <c r="V707" s="2"/>
      <c r="W707" s="2"/>
      <c r="X707" s="2"/>
      <c r="Y707" s="3"/>
      <c r="Z707" s="3"/>
      <c r="AA707" s="3"/>
      <c r="AB707" s="3"/>
      <c r="AC707" s="3"/>
      <c r="AD707" s="3"/>
      <c r="AE707" s="3"/>
      <c r="AF707" s="3"/>
      <c r="AG707" s="3"/>
      <c r="AH707" s="3"/>
      <c r="AI707" s="3"/>
      <c r="AJ707" s="3"/>
      <c r="AK707" s="3"/>
      <c r="AL707" s="3"/>
      <c r="AM707" s="3"/>
      <c r="AN707" s="3"/>
      <c r="AO707" s="3"/>
      <c r="AP707" s="3"/>
      <c r="AQ707" s="3"/>
      <c r="AR707" s="3"/>
      <c r="AS707" s="3"/>
      <c r="AT707" s="3"/>
      <c r="AU707" s="3"/>
    </row>
    <row r="708" spans="2:47" ht="14.25" customHeight="1" x14ac:dyDescent="0.3">
      <c r="B708" s="3"/>
      <c r="Q708" s="1"/>
      <c r="R708" s="1"/>
      <c r="S708" s="2"/>
      <c r="T708" s="2">
        <v>594</v>
      </c>
      <c r="U708" s="48" t="s">
        <v>91</v>
      </c>
      <c r="V708" s="2"/>
      <c r="W708" s="2"/>
      <c r="X708" s="2"/>
      <c r="Y708" s="3"/>
      <c r="Z708" s="3"/>
      <c r="AA708" s="3"/>
      <c r="AB708" s="3"/>
      <c r="AC708" s="3"/>
      <c r="AD708" s="3"/>
      <c r="AE708" s="3"/>
      <c r="AF708" s="3"/>
      <c r="AG708" s="3"/>
      <c r="AH708" s="3"/>
      <c r="AI708" s="3"/>
      <c r="AJ708" s="3"/>
      <c r="AK708" s="3"/>
      <c r="AL708" s="3"/>
      <c r="AM708" s="3"/>
      <c r="AN708" s="3"/>
      <c r="AO708" s="3"/>
      <c r="AP708" s="3"/>
      <c r="AQ708" s="3"/>
      <c r="AR708" s="3"/>
      <c r="AS708" s="3"/>
      <c r="AT708" s="3"/>
      <c r="AU708" s="3"/>
    </row>
    <row r="709" spans="2:47" ht="14.25" customHeight="1" x14ac:dyDescent="0.3">
      <c r="B709" s="3"/>
      <c r="Q709" s="1"/>
      <c r="R709" s="1"/>
      <c r="S709" s="2"/>
      <c r="T709" s="2">
        <v>595</v>
      </c>
      <c r="U709" s="48" t="s">
        <v>91</v>
      </c>
      <c r="V709" s="2"/>
      <c r="W709" s="2"/>
      <c r="X709" s="2"/>
      <c r="Y709" s="3"/>
      <c r="Z709" s="3"/>
      <c r="AA709" s="3"/>
      <c r="AB709" s="3"/>
      <c r="AC709" s="3"/>
      <c r="AD709" s="3"/>
      <c r="AE709" s="3"/>
      <c r="AF709" s="3"/>
      <c r="AG709" s="3"/>
      <c r="AH709" s="3"/>
      <c r="AI709" s="3"/>
      <c r="AJ709" s="3"/>
      <c r="AK709" s="3"/>
      <c r="AL709" s="3"/>
      <c r="AM709" s="3"/>
      <c r="AN709" s="3"/>
      <c r="AO709" s="3"/>
      <c r="AP709" s="3"/>
      <c r="AQ709" s="3"/>
      <c r="AR709" s="3"/>
      <c r="AS709" s="3"/>
      <c r="AT709" s="3"/>
      <c r="AU709" s="3"/>
    </row>
    <row r="710" spans="2:47" ht="14.25" customHeight="1" x14ac:dyDescent="0.3">
      <c r="B710" s="3"/>
      <c r="Q710" s="1"/>
      <c r="R710" s="1"/>
      <c r="S710" s="2"/>
      <c r="T710" s="2">
        <v>596</v>
      </c>
      <c r="U710" s="48" t="s">
        <v>91</v>
      </c>
      <c r="V710" s="2"/>
      <c r="W710" s="2"/>
      <c r="X710" s="2"/>
      <c r="Y710" s="3"/>
      <c r="Z710" s="3"/>
      <c r="AA710" s="3"/>
      <c r="AB710" s="3"/>
      <c r="AC710" s="3"/>
      <c r="AD710" s="3"/>
      <c r="AE710" s="3"/>
      <c r="AF710" s="3"/>
      <c r="AG710" s="3"/>
      <c r="AH710" s="3"/>
      <c r="AI710" s="3"/>
      <c r="AJ710" s="3"/>
      <c r="AK710" s="3"/>
      <c r="AL710" s="3"/>
      <c r="AM710" s="3"/>
      <c r="AN710" s="3"/>
      <c r="AO710" s="3"/>
      <c r="AP710" s="3"/>
      <c r="AQ710" s="3"/>
      <c r="AR710" s="3"/>
      <c r="AS710" s="3"/>
      <c r="AT710" s="3"/>
      <c r="AU710" s="3"/>
    </row>
    <row r="711" spans="2:47" ht="14.25" customHeight="1" x14ac:dyDescent="0.3">
      <c r="B711" s="3"/>
      <c r="Q711" s="1"/>
      <c r="R711" s="1"/>
      <c r="S711" s="2"/>
      <c r="T711" s="2">
        <v>597</v>
      </c>
      <c r="U711" s="48" t="s">
        <v>91</v>
      </c>
      <c r="V711" s="2"/>
      <c r="W711" s="2"/>
      <c r="X711" s="2"/>
      <c r="Y711" s="3"/>
      <c r="Z711" s="3"/>
      <c r="AA711" s="3"/>
      <c r="AB711" s="3"/>
      <c r="AC711" s="3"/>
      <c r="AD711" s="3"/>
      <c r="AE711" s="3"/>
      <c r="AF711" s="3"/>
      <c r="AG711" s="3"/>
      <c r="AH711" s="3"/>
      <c r="AI711" s="3"/>
      <c r="AJ711" s="3"/>
      <c r="AK711" s="3"/>
      <c r="AL711" s="3"/>
      <c r="AM711" s="3"/>
      <c r="AN711" s="3"/>
      <c r="AO711" s="3"/>
      <c r="AP711" s="3"/>
      <c r="AQ711" s="3"/>
      <c r="AR711" s="3"/>
      <c r="AS711" s="3"/>
      <c r="AT711" s="3"/>
      <c r="AU711" s="3"/>
    </row>
    <row r="712" spans="2:47" ht="14.25" customHeight="1" x14ac:dyDescent="0.3">
      <c r="B712" s="3"/>
      <c r="Q712" s="1"/>
      <c r="R712" s="1"/>
      <c r="S712" s="2"/>
      <c r="T712" s="2">
        <v>598</v>
      </c>
      <c r="U712" s="48" t="s">
        <v>91</v>
      </c>
      <c r="V712" s="2"/>
      <c r="W712" s="2"/>
      <c r="X712" s="2"/>
      <c r="Y712" s="3"/>
      <c r="Z712" s="3"/>
      <c r="AA712" s="3"/>
      <c r="AB712" s="3"/>
      <c r="AC712" s="3"/>
      <c r="AD712" s="3"/>
      <c r="AE712" s="3"/>
      <c r="AF712" s="3"/>
      <c r="AG712" s="3"/>
      <c r="AH712" s="3"/>
      <c r="AI712" s="3"/>
      <c r="AJ712" s="3"/>
      <c r="AK712" s="3"/>
      <c r="AL712" s="3"/>
      <c r="AM712" s="3"/>
      <c r="AN712" s="3"/>
      <c r="AO712" s="3"/>
      <c r="AP712" s="3"/>
      <c r="AQ712" s="3"/>
      <c r="AR712" s="3"/>
      <c r="AS712" s="3"/>
      <c r="AT712" s="3"/>
      <c r="AU712" s="3"/>
    </row>
    <row r="713" spans="2:47" ht="14.25" customHeight="1" x14ac:dyDescent="0.3">
      <c r="B713" s="3"/>
      <c r="Q713" s="1"/>
      <c r="R713" s="1"/>
      <c r="S713" s="2"/>
      <c r="T713" s="2">
        <v>599</v>
      </c>
      <c r="U713" s="48" t="s">
        <v>91</v>
      </c>
      <c r="V713" s="2"/>
      <c r="W713" s="2"/>
      <c r="X713" s="2"/>
      <c r="Y713" s="3"/>
      <c r="Z713" s="3"/>
      <c r="AA713" s="3"/>
      <c r="AB713" s="3"/>
      <c r="AC713" s="3"/>
      <c r="AD713" s="3"/>
      <c r="AE713" s="3"/>
      <c r="AF713" s="3"/>
      <c r="AG713" s="3"/>
      <c r="AH713" s="3"/>
      <c r="AI713" s="3"/>
      <c r="AJ713" s="3"/>
      <c r="AK713" s="3"/>
      <c r="AL713" s="3"/>
      <c r="AM713" s="3"/>
      <c r="AN713" s="3"/>
      <c r="AO713" s="3"/>
      <c r="AP713" s="3"/>
      <c r="AQ713" s="3"/>
      <c r="AR713" s="3"/>
      <c r="AS713" s="3"/>
      <c r="AT713" s="3"/>
      <c r="AU713" s="3"/>
    </row>
    <row r="714" spans="2:47" ht="14.25" customHeight="1" x14ac:dyDescent="0.3">
      <c r="B714" s="3"/>
      <c r="Q714" s="1"/>
      <c r="R714" s="1"/>
      <c r="S714" s="2"/>
      <c r="T714" s="2">
        <v>600</v>
      </c>
      <c r="U714" s="48" t="s">
        <v>91</v>
      </c>
      <c r="V714" s="2"/>
      <c r="W714" s="2"/>
      <c r="X714" s="2"/>
      <c r="Y714" s="3"/>
      <c r="Z714" s="3"/>
      <c r="AA714" s="3"/>
      <c r="AB714" s="3"/>
      <c r="AC714" s="3"/>
      <c r="AD714" s="3"/>
      <c r="AE714" s="3"/>
      <c r="AF714" s="3"/>
      <c r="AG714" s="3"/>
      <c r="AH714" s="3"/>
      <c r="AI714" s="3"/>
      <c r="AJ714" s="3"/>
      <c r="AK714" s="3"/>
      <c r="AL714" s="3"/>
      <c r="AM714" s="3"/>
      <c r="AN714" s="3"/>
      <c r="AO714" s="3"/>
      <c r="AP714" s="3"/>
      <c r="AQ714" s="3"/>
      <c r="AR714" s="3"/>
      <c r="AS714" s="3"/>
      <c r="AT714" s="3"/>
      <c r="AU714" s="3"/>
    </row>
    <row r="715" spans="2:47" ht="14.25" customHeight="1" x14ac:dyDescent="0.3">
      <c r="B715" s="3"/>
      <c r="Q715" s="1"/>
      <c r="R715" s="1"/>
      <c r="S715" s="2"/>
      <c r="T715" s="2">
        <v>601</v>
      </c>
      <c r="U715" s="48" t="s">
        <v>91</v>
      </c>
      <c r="V715" s="2"/>
      <c r="W715" s="2"/>
      <c r="X715" s="2"/>
      <c r="Y715" s="3"/>
      <c r="Z715" s="3"/>
      <c r="AA715" s="3"/>
      <c r="AB715" s="3"/>
      <c r="AC715" s="3"/>
      <c r="AD715" s="3"/>
      <c r="AE715" s="3"/>
      <c r="AF715" s="3"/>
      <c r="AG715" s="3"/>
      <c r="AH715" s="3"/>
      <c r="AI715" s="3"/>
      <c r="AJ715" s="3"/>
      <c r="AK715" s="3"/>
      <c r="AL715" s="3"/>
      <c r="AM715" s="3"/>
      <c r="AN715" s="3"/>
      <c r="AO715" s="3"/>
      <c r="AP715" s="3"/>
      <c r="AQ715" s="3"/>
      <c r="AR715" s="3"/>
      <c r="AS715" s="3"/>
      <c r="AT715" s="3"/>
      <c r="AU715" s="3"/>
    </row>
    <row r="716" spans="2:47" ht="14.25" customHeight="1" x14ac:dyDescent="0.3">
      <c r="B716" s="3"/>
      <c r="Q716" s="1"/>
      <c r="R716" s="1"/>
      <c r="S716" s="2"/>
      <c r="T716" s="2">
        <v>602</v>
      </c>
      <c r="U716" s="48" t="s">
        <v>91</v>
      </c>
      <c r="V716" s="2"/>
      <c r="W716" s="2"/>
      <c r="X716" s="2"/>
      <c r="Y716" s="3"/>
      <c r="Z716" s="3"/>
      <c r="AA716" s="3"/>
      <c r="AB716" s="3"/>
      <c r="AC716" s="3"/>
      <c r="AD716" s="3"/>
      <c r="AE716" s="3"/>
      <c r="AF716" s="3"/>
      <c r="AG716" s="3"/>
      <c r="AH716" s="3"/>
      <c r="AI716" s="3"/>
      <c r="AJ716" s="3"/>
      <c r="AK716" s="3"/>
      <c r="AL716" s="3"/>
      <c r="AM716" s="3"/>
      <c r="AN716" s="3"/>
      <c r="AO716" s="3"/>
      <c r="AP716" s="3"/>
      <c r="AQ716" s="3"/>
      <c r="AR716" s="3"/>
      <c r="AS716" s="3"/>
      <c r="AT716" s="3"/>
      <c r="AU716" s="3"/>
    </row>
    <row r="717" spans="2:47" ht="14.25" customHeight="1" x14ac:dyDescent="0.3">
      <c r="B717" s="3"/>
      <c r="Q717" s="1"/>
      <c r="R717" s="1"/>
      <c r="S717" s="2"/>
      <c r="T717" s="2">
        <v>603</v>
      </c>
      <c r="U717" s="48" t="s">
        <v>91</v>
      </c>
      <c r="V717" s="2"/>
      <c r="W717" s="2"/>
      <c r="X717" s="2"/>
      <c r="Y717" s="3"/>
      <c r="Z717" s="3"/>
      <c r="AA717" s="3"/>
      <c r="AB717" s="3"/>
      <c r="AC717" s="3"/>
      <c r="AD717" s="3"/>
      <c r="AE717" s="3"/>
      <c r="AF717" s="3"/>
      <c r="AG717" s="3"/>
      <c r="AH717" s="3"/>
      <c r="AI717" s="3"/>
      <c r="AJ717" s="3"/>
      <c r="AK717" s="3"/>
      <c r="AL717" s="3"/>
      <c r="AM717" s="3"/>
      <c r="AN717" s="3"/>
      <c r="AO717" s="3"/>
      <c r="AP717" s="3"/>
      <c r="AQ717" s="3"/>
      <c r="AR717" s="3"/>
      <c r="AS717" s="3"/>
      <c r="AT717" s="3"/>
      <c r="AU717" s="3"/>
    </row>
    <row r="718" spans="2:47" ht="14.25" customHeight="1" x14ac:dyDescent="0.3">
      <c r="B718" s="3"/>
      <c r="Q718" s="1"/>
      <c r="R718" s="1"/>
      <c r="S718" s="2"/>
      <c r="T718" s="2">
        <v>604</v>
      </c>
      <c r="U718" s="48" t="s">
        <v>91</v>
      </c>
      <c r="V718" s="2"/>
      <c r="W718" s="2"/>
      <c r="X718" s="2"/>
      <c r="Y718" s="3"/>
      <c r="Z718" s="3"/>
      <c r="AA718" s="3"/>
      <c r="AB718" s="3"/>
      <c r="AC718" s="3"/>
      <c r="AD718" s="3"/>
      <c r="AE718" s="3"/>
      <c r="AF718" s="3"/>
      <c r="AG718" s="3"/>
      <c r="AH718" s="3"/>
      <c r="AI718" s="3"/>
      <c r="AJ718" s="3"/>
      <c r="AK718" s="3"/>
      <c r="AL718" s="3"/>
      <c r="AM718" s="3"/>
      <c r="AN718" s="3"/>
      <c r="AO718" s="3"/>
      <c r="AP718" s="3"/>
      <c r="AQ718" s="3"/>
      <c r="AR718" s="3"/>
      <c r="AS718" s="3"/>
      <c r="AT718" s="3"/>
      <c r="AU718" s="3"/>
    </row>
    <row r="719" spans="2:47" ht="14.25" customHeight="1" x14ac:dyDescent="0.3">
      <c r="B719" s="3"/>
      <c r="Q719" s="1"/>
      <c r="R719" s="1"/>
      <c r="S719" s="2"/>
      <c r="T719" s="2">
        <v>605</v>
      </c>
      <c r="U719" s="48" t="s">
        <v>91</v>
      </c>
      <c r="V719" s="2"/>
      <c r="W719" s="2"/>
      <c r="X719" s="2"/>
      <c r="Y719" s="3"/>
      <c r="Z719" s="3"/>
      <c r="AA719" s="3"/>
      <c r="AB719" s="3"/>
      <c r="AC719" s="3"/>
      <c r="AD719" s="3"/>
      <c r="AE719" s="3"/>
      <c r="AF719" s="3"/>
      <c r="AG719" s="3"/>
      <c r="AH719" s="3"/>
      <c r="AI719" s="3"/>
      <c r="AJ719" s="3"/>
      <c r="AK719" s="3"/>
      <c r="AL719" s="3"/>
      <c r="AM719" s="3"/>
      <c r="AN719" s="3"/>
      <c r="AO719" s="3"/>
      <c r="AP719" s="3"/>
      <c r="AQ719" s="3"/>
      <c r="AR719" s="3"/>
      <c r="AS719" s="3"/>
      <c r="AT719" s="3"/>
      <c r="AU719" s="3"/>
    </row>
    <row r="720" spans="2:47" ht="14.25" customHeight="1" x14ac:dyDescent="0.3">
      <c r="B720" s="3"/>
      <c r="Q720" s="1"/>
      <c r="R720" s="1"/>
      <c r="S720" s="2"/>
      <c r="T720" s="2">
        <v>606</v>
      </c>
      <c r="U720" s="48" t="s">
        <v>91</v>
      </c>
      <c r="V720" s="2"/>
      <c r="W720" s="2"/>
      <c r="X720" s="2"/>
      <c r="Y720" s="3"/>
      <c r="Z720" s="3"/>
      <c r="AA720" s="3"/>
      <c r="AB720" s="3"/>
      <c r="AC720" s="3"/>
      <c r="AD720" s="3"/>
      <c r="AE720" s="3"/>
      <c r="AF720" s="3"/>
      <c r="AG720" s="3"/>
      <c r="AH720" s="3"/>
      <c r="AI720" s="3"/>
      <c r="AJ720" s="3"/>
      <c r="AK720" s="3"/>
      <c r="AL720" s="3"/>
      <c r="AM720" s="3"/>
      <c r="AN720" s="3"/>
      <c r="AO720" s="3"/>
      <c r="AP720" s="3"/>
      <c r="AQ720" s="3"/>
      <c r="AR720" s="3"/>
      <c r="AS720" s="3"/>
      <c r="AT720" s="3"/>
      <c r="AU720" s="3"/>
    </row>
    <row r="721" spans="2:47" ht="14.25" customHeight="1" x14ac:dyDescent="0.3">
      <c r="B721" s="3"/>
      <c r="Q721" s="1"/>
      <c r="R721" s="1"/>
      <c r="S721" s="2"/>
      <c r="T721" s="2">
        <v>607</v>
      </c>
      <c r="U721" s="48" t="s">
        <v>91</v>
      </c>
      <c r="V721" s="2"/>
      <c r="W721" s="2"/>
      <c r="X721" s="2"/>
      <c r="Y721" s="3"/>
      <c r="Z721" s="3"/>
      <c r="AA721" s="3"/>
      <c r="AB721" s="3"/>
      <c r="AC721" s="3"/>
      <c r="AD721" s="3"/>
      <c r="AE721" s="3"/>
      <c r="AF721" s="3"/>
      <c r="AG721" s="3"/>
      <c r="AH721" s="3"/>
      <c r="AI721" s="3"/>
      <c r="AJ721" s="3"/>
      <c r="AK721" s="3"/>
      <c r="AL721" s="3"/>
      <c r="AM721" s="3"/>
      <c r="AN721" s="3"/>
      <c r="AO721" s="3"/>
      <c r="AP721" s="3"/>
      <c r="AQ721" s="3"/>
      <c r="AR721" s="3"/>
      <c r="AS721" s="3"/>
      <c r="AT721" s="3"/>
      <c r="AU721" s="3"/>
    </row>
    <row r="722" spans="2:47" ht="14.25" customHeight="1" x14ac:dyDescent="0.3">
      <c r="B722" s="3"/>
      <c r="Q722" s="1"/>
      <c r="R722" s="1"/>
      <c r="S722" s="2"/>
      <c r="T722" s="2">
        <v>608</v>
      </c>
      <c r="U722" s="48" t="s">
        <v>91</v>
      </c>
      <c r="V722" s="2"/>
      <c r="W722" s="2"/>
      <c r="X722" s="2"/>
      <c r="Y722" s="3"/>
      <c r="Z722" s="3"/>
      <c r="AA722" s="3"/>
      <c r="AB722" s="3"/>
      <c r="AC722" s="3"/>
      <c r="AD722" s="3"/>
      <c r="AE722" s="3"/>
      <c r="AF722" s="3"/>
      <c r="AG722" s="3"/>
      <c r="AH722" s="3"/>
      <c r="AI722" s="3"/>
      <c r="AJ722" s="3"/>
      <c r="AK722" s="3"/>
      <c r="AL722" s="3"/>
      <c r="AM722" s="3"/>
      <c r="AN722" s="3"/>
      <c r="AO722" s="3"/>
      <c r="AP722" s="3"/>
      <c r="AQ722" s="3"/>
      <c r="AR722" s="3"/>
      <c r="AS722" s="3"/>
      <c r="AT722" s="3"/>
      <c r="AU722" s="3"/>
    </row>
    <row r="723" spans="2:47" ht="14.25" customHeight="1" x14ac:dyDescent="0.3">
      <c r="B723" s="3"/>
      <c r="Q723" s="1"/>
      <c r="R723" s="1"/>
      <c r="S723" s="2"/>
      <c r="T723" s="2">
        <v>609</v>
      </c>
      <c r="U723" s="48" t="s">
        <v>91</v>
      </c>
      <c r="V723" s="2"/>
      <c r="W723" s="2"/>
      <c r="X723" s="2"/>
      <c r="Y723" s="3"/>
      <c r="Z723" s="3"/>
      <c r="AA723" s="3"/>
      <c r="AB723" s="3"/>
      <c r="AC723" s="3"/>
      <c r="AD723" s="3"/>
      <c r="AE723" s="3"/>
      <c r="AF723" s="3"/>
      <c r="AG723" s="3"/>
      <c r="AH723" s="3"/>
      <c r="AI723" s="3"/>
      <c r="AJ723" s="3"/>
      <c r="AK723" s="3"/>
      <c r="AL723" s="3"/>
      <c r="AM723" s="3"/>
      <c r="AN723" s="3"/>
      <c r="AO723" s="3"/>
      <c r="AP723" s="3"/>
      <c r="AQ723" s="3"/>
      <c r="AR723" s="3"/>
      <c r="AS723" s="3"/>
      <c r="AT723" s="3"/>
      <c r="AU723" s="3"/>
    </row>
    <row r="724" spans="2:47" ht="14.25" customHeight="1" x14ac:dyDescent="0.3">
      <c r="B724" s="3"/>
      <c r="Q724" s="1"/>
      <c r="R724" s="1"/>
      <c r="S724" s="2"/>
      <c r="T724" s="2">
        <v>610</v>
      </c>
      <c r="U724" s="48" t="s">
        <v>91</v>
      </c>
      <c r="V724" s="2"/>
      <c r="W724" s="2"/>
      <c r="X724" s="2"/>
      <c r="Y724" s="3"/>
      <c r="Z724" s="3"/>
      <c r="AA724" s="3"/>
      <c r="AB724" s="3"/>
      <c r="AC724" s="3"/>
      <c r="AD724" s="3"/>
      <c r="AE724" s="3"/>
      <c r="AF724" s="3"/>
      <c r="AG724" s="3"/>
      <c r="AH724" s="3"/>
      <c r="AI724" s="3"/>
      <c r="AJ724" s="3"/>
      <c r="AK724" s="3"/>
      <c r="AL724" s="3"/>
      <c r="AM724" s="3"/>
      <c r="AN724" s="3"/>
      <c r="AO724" s="3"/>
      <c r="AP724" s="3"/>
      <c r="AQ724" s="3"/>
      <c r="AR724" s="3"/>
      <c r="AS724" s="3"/>
      <c r="AT724" s="3"/>
      <c r="AU724" s="3"/>
    </row>
    <row r="725" spans="2:47" ht="14.25" customHeight="1" x14ac:dyDescent="0.3">
      <c r="B725" s="3"/>
      <c r="Q725" s="1"/>
      <c r="R725" s="1"/>
      <c r="S725" s="2"/>
      <c r="T725" s="2">
        <v>611</v>
      </c>
      <c r="U725" s="48" t="s">
        <v>91</v>
      </c>
      <c r="V725" s="2"/>
      <c r="W725" s="2"/>
      <c r="X725" s="2"/>
      <c r="Y725" s="3"/>
      <c r="Z725" s="3"/>
      <c r="AA725" s="3"/>
      <c r="AB725" s="3"/>
      <c r="AC725" s="3"/>
      <c r="AD725" s="3"/>
      <c r="AE725" s="3"/>
      <c r="AF725" s="3"/>
      <c r="AG725" s="3"/>
      <c r="AH725" s="3"/>
      <c r="AI725" s="3"/>
      <c r="AJ725" s="3"/>
      <c r="AK725" s="3"/>
      <c r="AL725" s="3"/>
      <c r="AM725" s="3"/>
      <c r="AN725" s="3"/>
      <c r="AO725" s="3"/>
      <c r="AP725" s="3"/>
      <c r="AQ725" s="3"/>
      <c r="AR725" s="3"/>
      <c r="AS725" s="3"/>
      <c r="AT725" s="3"/>
      <c r="AU725" s="3"/>
    </row>
    <row r="726" spans="2:47" ht="14.25" customHeight="1" x14ac:dyDescent="0.3">
      <c r="B726" s="3"/>
      <c r="Q726" s="1"/>
      <c r="R726" s="1"/>
      <c r="S726" s="2"/>
      <c r="T726" s="2">
        <v>612</v>
      </c>
      <c r="U726" s="48" t="s">
        <v>91</v>
      </c>
      <c r="V726" s="2"/>
      <c r="W726" s="2"/>
      <c r="X726" s="2"/>
      <c r="Y726" s="3"/>
      <c r="Z726" s="3"/>
      <c r="AA726" s="3"/>
      <c r="AB726" s="3"/>
      <c r="AC726" s="3"/>
      <c r="AD726" s="3"/>
      <c r="AE726" s="3"/>
      <c r="AF726" s="3"/>
      <c r="AG726" s="3"/>
      <c r="AH726" s="3"/>
      <c r="AI726" s="3"/>
      <c r="AJ726" s="3"/>
      <c r="AK726" s="3"/>
      <c r="AL726" s="3"/>
      <c r="AM726" s="3"/>
      <c r="AN726" s="3"/>
      <c r="AO726" s="3"/>
      <c r="AP726" s="3"/>
      <c r="AQ726" s="3"/>
      <c r="AR726" s="3"/>
      <c r="AS726" s="3"/>
      <c r="AT726" s="3"/>
      <c r="AU726" s="3"/>
    </row>
    <row r="727" spans="2:47" ht="14.25" customHeight="1" x14ac:dyDescent="0.3">
      <c r="B727" s="3"/>
      <c r="Q727" s="1"/>
      <c r="R727" s="1"/>
      <c r="S727" s="2"/>
      <c r="T727" s="2">
        <v>613</v>
      </c>
      <c r="U727" s="48" t="s">
        <v>91</v>
      </c>
      <c r="V727" s="2"/>
      <c r="W727" s="2"/>
      <c r="X727" s="2"/>
      <c r="Y727" s="3"/>
      <c r="Z727" s="3"/>
      <c r="AA727" s="3"/>
      <c r="AB727" s="3"/>
      <c r="AC727" s="3"/>
      <c r="AD727" s="3"/>
      <c r="AE727" s="3"/>
      <c r="AF727" s="3"/>
      <c r="AG727" s="3"/>
      <c r="AH727" s="3"/>
      <c r="AI727" s="3"/>
      <c r="AJ727" s="3"/>
      <c r="AK727" s="3"/>
      <c r="AL727" s="3"/>
      <c r="AM727" s="3"/>
      <c r="AN727" s="3"/>
      <c r="AO727" s="3"/>
      <c r="AP727" s="3"/>
      <c r="AQ727" s="3"/>
      <c r="AR727" s="3"/>
      <c r="AS727" s="3"/>
      <c r="AT727" s="3"/>
      <c r="AU727" s="3"/>
    </row>
    <row r="728" spans="2:47" ht="14.25" customHeight="1" x14ac:dyDescent="0.3">
      <c r="B728" s="3"/>
      <c r="Q728" s="1"/>
      <c r="R728" s="1"/>
      <c r="S728" s="2"/>
      <c r="T728" s="2">
        <v>614</v>
      </c>
      <c r="U728" s="48" t="s">
        <v>91</v>
      </c>
      <c r="V728" s="2"/>
      <c r="W728" s="2"/>
      <c r="X728" s="2"/>
      <c r="Y728" s="3"/>
      <c r="Z728" s="3"/>
      <c r="AA728" s="3"/>
      <c r="AB728" s="3"/>
      <c r="AC728" s="3"/>
      <c r="AD728" s="3"/>
      <c r="AE728" s="3"/>
      <c r="AF728" s="3"/>
      <c r="AG728" s="3"/>
      <c r="AH728" s="3"/>
      <c r="AI728" s="3"/>
      <c r="AJ728" s="3"/>
      <c r="AK728" s="3"/>
      <c r="AL728" s="3"/>
      <c r="AM728" s="3"/>
      <c r="AN728" s="3"/>
      <c r="AO728" s="3"/>
      <c r="AP728" s="3"/>
      <c r="AQ728" s="3"/>
      <c r="AR728" s="3"/>
      <c r="AS728" s="3"/>
      <c r="AT728" s="3"/>
      <c r="AU728" s="3"/>
    </row>
    <row r="729" spans="2:47" ht="14.25" customHeight="1" x14ac:dyDescent="0.3">
      <c r="B729" s="3"/>
      <c r="Q729" s="1"/>
      <c r="R729" s="1"/>
      <c r="S729" s="2"/>
      <c r="T729" s="2">
        <v>615</v>
      </c>
      <c r="U729" s="48" t="s">
        <v>91</v>
      </c>
      <c r="V729" s="2"/>
      <c r="W729" s="2"/>
      <c r="X729" s="2"/>
      <c r="Y729" s="3"/>
      <c r="Z729" s="3"/>
      <c r="AA729" s="3"/>
      <c r="AB729" s="3"/>
      <c r="AC729" s="3"/>
      <c r="AD729" s="3"/>
      <c r="AE729" s="3"/>
      <c r="AF729" s="3"/>
      <c r="AG729" s="3"/>
      <c r="AH729" s="3"/>
      <c r="AI729" s="3"/>
      <c r="AJ729" s="3"/>
      <c r="AK729" s="3"/>
      <c r="AL729" s="3"/>
      <c r="AM729" s="3"/>
      <c r="AN729" s="3"/>
      <c r="AO729" s="3"/>
      <c r="AP729" s="3"/>
      <c r="AQ729" s="3"/>
      <c r="AR729" s="3"/>
      <c r="AS729" s="3"/>
      <c r="AT729" s="3"/>
      <c r="AU729" s="3"/>
    </row>
    <row r="730" spans="2:47" ht="14.25" customHeight="1" x14ac:dyDescent="0.3">
      <c r="B730" s="3"/>
      <c r="Q730" s="1"/>
      <c r="R730" s="1"/>
      <c r="S730" s="2"/>
      <c r="T730" s="2">
        <v>616</v>
      </c>
      <c r="U730" s="48" t="s">
        <v>91</v>
      </c>
      <c r="V730" s="2"/>
      <c r="W730" s="2"/>
      <c r="X730" s="2"/>
      <c r="Y730" s="3"/>
      <c r="Z730" s="3"/>
      <c r="AA730" s="3"/>
      <c r="AB730" s="3"/>
      <c r="AC730" s="3"/>
      <c r="AD730" s="3"/>
      <c r="AE730" s="3"/>
      <c r="AF730" s="3"/>
      <c r="AG730" s="3"/>
      <c r="AH730" s="3"/>
      <c r="AI730" s="3"/>
      <c r="AJ730" s="3"/>
      <c r="AK730" s="3"/>
      <c r="AL730" s="3"/>
      <c r="AM730" s="3"/>
      <c r="AN730" s="3"/>
      <c r="AO730" s="3"/>
      <c r="AP730" s="3"/>
      <c r="AQ730" s="3"/>
      <c r="AR730" s="3"/>
      <c r="AS730" s="3"/>
      <c r="AT730" s="3"/>
      <c r="AU730" s="3"/>
    </row>
    <row r="731" spans="2:47" ht="14.25" customHeight="1" x14ac:dyDescent="0.3">
      <c r="B731" s="3"/>
      <c r="Q731" s="1"/>
      <c r="R731" s="1"/>
      <c r="S731" s="2"/>
      <c r="T731" s="2">
        <v>617</v>
      </c>
      <c r="U731" s="48" t="s">
        <v>91</v>
      </c>
      <c r="V731" s="2"/>
      <c r="W731" s="2"/>
      <c r="X731" s="2"/>
      <c r="Y731" s="3"/>
      <c r="Z731" s="3"/>
      <c r="AA731" s="3"/>
      <c r="AB731" s="3"/>
      <c r="AC731" s="3"/>
      <c r="AD731" s="3"/>
      <c r="AE731" s="3"/>
      <c r="AF731" s="3"/>
      <c r="AG731" s="3"/>
      <c r="AH731" s="3"/>
      <c r="AI731" s="3"/>
      <c r="AJ731" s="3"/>
      <c r="AK731" s="3"/>
      <c r="AL731" s="3"/>
      <c r="AM731" s="3"/>
      <c r="AN731" s="3"/>
      <c r="AO731" s="3"/>
      <c r="AP731" s="3"/>
      <c r="AQ731" s="3"/>
      <c r="AR731" s="3"/>
      <c r="AS731" s="3"/>
      <c r="AT731" s="3"/>
      <c r="AU731" s="3"/>
    </row>
    <row r="732" spans="2:47" ht="14.25" customHeight="1" x14ac:dyDescent="0.3">
      <c r="B732" s="3"/>
      <c r="Q732" s="1"/>
      <c r="R732" s="1"/>
      <c r="S732" s="2"/>
      <c r="T732" s="2">
        <v>618</v>
      </c>
      <c r="U732" s="48" t="s">
        <v>91</v>
      </c>
      <c r="V732" s="2"/>
      <c r="W732" s="2"/>
      <c r="X732" s="2"/>
      <c r="Y732" s="3"/>
      <c r="Z732" s="3"/>
      <c r="AA732" s="3"/>
      <c r="AB732" s="3"/>
      <c r="AC732" s="3"/>
      <c r="AD732" s="3"/>
      <c r="AE732" s="3"/>
      <c r="AF732" s="3"/>
      <c r="AG732" s="3"/>
      <c r="AH732" s="3"/>
      <c r="AI732" s="3"/>
      <c r="AJ732" s="3"/>
      <c r="AK732" s="3"/>
      <c r="AL732" s="3"/>
      <c r="AM732" s="3"/>
      <c r="AN732" s="3"/>
      <c r="AO732" s="3"/>
      <c r="AP732" s="3"/>
      <c r="AQ732" s="3"/>
      <c r="AR732" s="3"/>
      <c r="AS732" s="3"/>
      <c r="AT732" s="3"/>
      <c r="AU732" s="3"/>
    </row>
    <row r="733" spans="2:47" ht="14.25" customHeight="1" x14ac:dyDescent="0.3">
      <c r="B733" s="3"/>
      <c r="Q733" s="1"/>
      <c r="R733" s="1"/>
      <c r="S733" s="2"/>
      <c r="T733" s="2">
        <v>619</v>
      </c>
      <c r="U733" s="48" t="s">
        <v>91</v>
      </c>
      <c r="V733" s="2"/>
      <c r="W733" s="2"/>
      <c r="X733" s="2"/>
      <c r="Y733" s="3"/>
      <c r="Z733" s="3"/>
      <c r="AA733" s="3"/>
      <c r="AB733" s="3"/>
      <c r="AC733" s="3"/>
      <c r="AD733" s="3"/>
      <c r="AE733" s="3"/>
      <c r="AF733" s="3"/>
      <c r="AG733" s="3"/>
      <c r="AH733" s="3"/>
      <c r="AI733" s="3"/>
      <c r="AJ733" s="3"/>
      <c r="AK733" s="3"/>
      <c r="AL733" s="3"/>
      <c r="AM733" s="3"/>
      <c r="AN733" s="3"/>
      <c r="AO733" s="3"/>
      <c r="AP733" s="3"/>
      <c r="AQ733" s="3"/>
      <c r="AR733" s="3"/>
      <c r="AS733" s="3"/>
      <c r="AT733" s="3"/>
      <c r="AU733" s="3"/>
    </row>
    <row r="734" spans="2:47" ht="14.25" customHeight="1" x14ac:dyDescent="0.3">
      <c r="B734" s="3"/>
      <c r="Q734" s="1"/>
      <c r="R734" s="1"/>
      <c r="S734" s="2"/>
      <c r="T734" s="2">
        <v>620</v>
      </c>
      <c r="U734" s="48" t="s">
        <v>91</v>
      </c>
      <c r="V734" s="2"/>
      <c r="W734" s="2"/>
      <c r="X734" s="2"/>
      <c r="Y734" s="3"/>
      <c r="Z734" s="3"/>
      <c r="AA734" s="3"/>
      <c r="AB734" s="3"/>
      <c r="AC734" s="3"/>
      <c r="AD734" s="3"/>
      <c r="AE734" s="3"/>
      <c r="AF734" s="3"/>
      <c r="AG734" s="3"/>
      <c r="AH734" s="3"/>
      <c r="AI734" s="3"/>
      <c r="AJ734" s="3"/>
      <c r="AK734" s="3"/>
      <c r="AL734" s="3"/>
      <c r="AM734" s="3"/>
      <c r="AN734" s="3"/>
      <c r="AO734" s="3"/>
      <c r="AP734" s="3"/>
      <c r="AQ734" s="3"/>
      <c r="AR734" s="3"/>
      <c r="AS734" s="3"/>
      <c r="AT734" s="3"/>
      <c r="AU734" s="3"/>
    </row>
    <row r="735" spans="2:47" ht="14.25" customHeight="1" x14ac:dyDescent="0.3">
      <c r="B735" s="3"/>
      <c r="Q735" s="1"/>
      <c r="R735" s="1"/>
      <c r="S735" s="2"/>
      <c r="T735" s="2">
        <v>621</v>
      </c>
      <c r="U735" s="48" t="s">
        <v>91</v>
      </c>
      <c r="V735" s="2"/>
      <c r="W735" s="2"/>
      <c r="X735" s="2"/>
      <c r="Y735" s="3"/>
      <c r="Z735" s="3"/>
      <c r="AA735" s="3"/>
      <c r="AB735" s="3"/>
      <c r="AC735" s="3"/>
      <c r="AD735" s="3"/>
      <c r="AE735" s="3"/>
      <c r="AF735" s="3"/>
      <c r="AG735" s="3"/>
      <c r="AH735" s="3"/>
      <c r="AI735" s="3"/>
      <c r="AJ735" s="3"/>
      <c r="AK735" s="3"/>
      <c r="AL735" s="3"/>
      <c r="AM735" s="3"/>
      <c r="AN735" s="3"/>
      <c r="AO735" s="3"/>
      <c r="AP735" s="3"/>
      <c r="AQ735" s="3"/>
      <c r="AR735" s="3"/>
      <c r="AS735" s="3"/>
      <c r="AT735" s="3"/>
      <c r="AU735" s="3"/>
    </row>
    <row r="736" spans="2:47" ht="14.25" customHeight="1" x14ac:dyDescent="0.3">
      <c r="B736" s="3"/>
      <c r="Q736" s="1"/>
      <c r="R736" s="1"/>
      <c r="S736" s="2"/>
      <c r="T736" s="2">
        <v>622</v>
      </c>
      <c r="U736" s="48" t="s">
        <v>91</v>
      </c>
      <c r="V736" s="2"/>
      <c r="W736" s="2"/>
      <c r="X736" s="2"/>
      <c r="Y736" s="3"/>
      <c r="Z736" s="3"/>
      <c r="AA736" s="3"/>
      <c r="AB736" s="3"/>
      <c r="AC736" s="3"/>
      <c r="AD736" s="3"/>
      <c r="AE736" s="3"/>
      <c r="AF736" s="3"/>
      <c r="AG736" s="3"/>
      <c r="AH736" s="3"/>
      <c r="AI736" s="3"/>
      <c r="AJ736" s="3"/>
      <c r="AK736" s="3"/>
      <c r="AL736" s="3"/>
      <c r="AM736" s="3"/>
      <c r="AN736" s="3"/>
      <c r="AO736" s="3"/>
      <c r="AP736" s="3"/>
      <c r="AQ736" s="3"/>
      <c r="AR736" s="3"/>
      <c r="AS736" s="3"/>
      <c r="AT736" s="3"/>
      <c r="AU736" s="3"/>
    </row>
    <row r="737" spans="2:47" ht="14.25" customHeight="1" x14ac:dyDescent="0.3">
      <c r="B737" s="3"/>
      <c r="Q737" s="1"/>
      <c r="R737" s="1"/>
      <c r="S737" s="2"/>
      <c r="T737" s="2">
        <v>623</v>
      </c>
      <c r="U737" s="48" t="s">
        <v>91</v>
      </c>
      <c r="V737" s="2"/>
      <c r="W737" s="2"/>
      <c r="X737" s="2"/>
      <c r="Y737" s="3"/>
      <c r="Z737" s="3"/>
      <c r="AA737" s="3"/>
      <c r="AB737" s="3"/>
      <c r="AC737" s="3"/>
      <c r="AD737" s="3"/>
      <c r="AE737" s="3"/>
      <c r="AF737" s="3"/>
      <c r="AG737" s="3"/>
      <c r="AH737" s="3"/>
      <c r="AI737" s="3"/>
      <c r="AJ737" s="3"/>
      <c r="AK737" s="3"/>
      <c r="AL737" s="3"/>
      <c r="AM737" s="3"/>
      <c r="AN737" s="3"/>
      <c r="AO737" s="3"/>
      <c r="AP737" s="3"/>
      <c r="AQ737" s="3"/>
      <c r="AR737" s="3"/>
      <c r="AS737" s="3"/>
      <c r="AT737" s="3"/>
      <c r="AU737" s="3"/>
    </row>
    <row r="738" spans="2:47" ht="14.25" customHeight="1" x14ac:dyDescent="0.3">
      <c r="B738" s="3"/>
      <c r="Q738" s="1"/>
      <c r="R738" s="1"/>
      <c r="S738" s="2"/>
      <c r="T738" s="2">
        <v>624</v>
      </c>
      <c r="U738" s="48" t="s">
        <v>91</v>
      </c>
      <c r="V738" s="2"/>
      <c r="W738" s="2"/>
      <c r="X738" s="2"/>
      <c r="Y738" s="3"/>
      <c r="Z738" s="3"/>
      <c r="AA738" s="3"/>
      <c r="AB738" s="3"/>
      <c r="AC738" s="3"/>
      <c r="AD738" s="3"/>
      <c r="AE738" s="3"/>
      <c r="AF738" s="3"/>
      <c r="AG738" s="3"/>
      <c r="AH738" s="3"/>
      <c r="AI738" s="3"/>
      <c r="AJ738" s="3"/>
      <c r="AK738" s="3"/>
      <c r="AL738" s="3"/>
      <c r="AM738" s="3"/>
      <c r="AN738" s="3"/>
      <c r="AO738" s="3"/>
      <c r="AP738" s="3"/>
      <c r="AQ738" s="3"/>
      <c r="AR738" s="3"/>
      <c r="AS738" s="3"/>
      <c r="AT738" s="3"/>
      <c r="AU738" s="3"/>
    </row>
    <row r="739" spans="2:47" ht="14.25" customHeight="1" x14ac:dyDescent="0.3">
      <c r="B739" s="3"/>
      <c r="Q739" s="1"/>
      <c r="R739" s="1"/>
      <c r="S739" s="2"/>
      <c r="T739" s="2">
        <v>625</v>
      </c>
      <c r="U739" s="48" t="s">
        <v>91</v>
      </c>
      <c r="V739" s="2"/>
      <c r="W739" s="2"/>
      <c r="X739" s="2"/>
      <c r="Y739" s="3"/>
      <c r="Z739" s="3"/>
      <c r="AA739" s="3"/>
      <c r="AB739" s="3"/>
      <c r="AC739" s="3"/>
      <c r="AD739" s="3"/>
      <c r="AE739" s="3"/>
      <c r="AF739" s="3"/>
      <c r="AG739" s="3"/>
      <c r="AH739" s="3"/>
      <c r="AI739" s="3"/>
      <c r="AJ739" s="3"/>
      <c r="AK739" s="3"/>
      <c r="AL739" s="3"/>
      <c r="AM739" s="3"/>
      <c r="AN739" s="3"/>
      <c r="AO739" s="3"/>
      <c r="AP739" s="3"/>
      <c r="AQ739" s="3"/>
      <c r="AR739" s="3"/>
      <c r="AS739" s="3"/>
      <c r="AT739" s="3"/>
      <c r="AU739" s="3"/>
    </row>
    <row r="740" spans="2:47" ht="14.25" customHeight="1" x14ac:dyDescent="0.3">
      <c r="B740" s="3"/>
      <c r="Q740" s="1"/>
      <c r="R740" s="1"/>
      <c r="S740" s="2"/>
      <c r="T740" s="2">
        <v>626</v>
      </c>
      <c r="U740" s="48" t="s">
        <v>91</v>
      </c>
      <c r="V740" s="2"/>
      <c r="W740" s="2"/>
      <c r="X740" s="2"/>
      <c r="Y740" s="3"/>
      <c r="Z740" s="3"/>
      <c r="AA740" s="3"/>
      <c r="AB740" s="3"/>
      <c r="AC740" s="3"/>
      <c r="AD740" s="3"/>
      <c r="AE740" s="3"/>
      <c r="AF740" s="3"/>
      <c r="AG740" s="3"/>
      <c r="AH740" s="3"/>
      <c r="AI740" s="3"/>
      <c r="AJ740" s="3"/>
      <c r="AK740" s="3"/>
      <c r="AL740" s="3"/>
      <c r="AM740" s="3"/>
      <c r="AN740" s="3"/>
      <c r="AO740" s="3"/>
      <c r="AP740" s="3"/>
      <c r="AQ740" s="3"/>
      <c r="AR740" s="3"/>
      <c r="AS740" s="3"/>
      <c r="AT740" s="3"/>
      <c r="AU740" s="3"/>
    </row>
    <row r="741" spans="2:47" ht="14.25" customHeight="1" x14ac:dyDescent="0.3">
      <c r="B741" s="3"/>
      <c r="Q741" s="1"/>
      <c r="R741" s="1"/>
      <c r="S741" s="2"/>
      <c r="T741" s="2">
        <v>627</v>
      </c>
      <c r="U741" s="48" t="s">
        <v>91</v>
      </c>
      <c r="V741" s="2"/>
      <c r="W741" s="2"/>
      <c r="X741" s="2"/>
      <c r="Y741" s="3"/>
      <c r="Z741" s="3"/>
      <c r="AA741" s="3"/>
      <c r="AB741" s="3"/>
      <c r="AC741" s="3"/>
      <c r="AD741" s="3"/>
      <c r="AE741" s="3"/>
      <c r="AF741" s="3"/>
      <c r="AG741" s="3"/>
      <c r="AH741" s="3"/>
      <c r="AI741" s="3"/>
      <c r="AJ741" s="3"/>
      <c r="AK741" s="3"/>
      <c r="AL741" s="3"/>
      <c r="AM741" s="3"/>
      <c r="AN741" s="3"/>
      <c r="AO741" s="3"/>
      <c r="AP741" s="3"/>
      <c r="AQ741" s="3"/>
      <c r="AR741" s="3"/>
      <c r="AS741" s="3"/>
      <c r="AT741" s="3"/>
      <c r="AU741" s="3"/>
    </row>
    <row r="742" spans="2:47" ht="14.25" customHeight="1" x14ac:dyDescent="0.3">
      <c r="B742" s="3"/>
      <c r="Q742" s="1"/>
      <c r="R742" s="1"/>
      <c r="S742" s="2"/>
      <c r="T742" s="2">
        <v>628</v>
      </c>
      <c r="U742" s="48" t="s">
        <v>91</v>
      </c>
      <c r="V742" s="2"/>
      <c r="W742" s="2"/>
      <c r="X742" s="2"/>
      <c r="Y742" s="3"/>
      <c r="Z742" s="3"/>
      <c r="AA742" s="3"/>
      <c r="AB742" s="3"/>
      <c r="AC742" s="3"/>
      <c r="AD742" s="3"/>
      <c r="AE742" s="3"/>
      <c r="AF742" s="3"/>
      <c r="AG742" s="3"/>
      <c r="AH742" s="3"/>
      <c r="AI742" s="3"/>
      <c r="AJ742" s="3"/>
      <c r="AK742" s="3"/>
      <c r="AL742" s="3"/>
      <c r="AM742" s="3"/>
      <c r="AN742" s="3"/>
      <c r="AO742" s="3"/>
      <c r="AP742" s="3"/>
      <c r="AQ742" s="3"/>
      <c r="AR742" s="3"/>
      <c r="AS742" s="3"/>
      <c r="AT742" s="3"/>
      <c r="AU742" s="3"/>
    </row>
    <row r="743" spans="2:47" ht="14.25" customHeight="1" x14ac:dyDescent="0.3">
      <c r="B743" s="3"/>
      <c r="Q743" s="1"/>
      <c r="R743" s="1"/>
      <c r="S743" s="2"/>
      <c r="T743" s="2">
        <v>629</v>
      </c>
      <c r="U743" s="48" t="s">
        <v>91</v>
      </c>
      <c r="V743" s="2"/>
      <c r="W743" s="2"/>
      <c r="X743" s="2"/>
      <c r="Y743" s="3"/>
      <c r="Z743" s="3"/>
      <c r="AA743" s="3"/>
      <c r="AB743" s="3"/>
      <c r="AC743" s="3"/>
      <c r="AD743" s="3"/>
      <c r="AE743" s="3"/>
      <c r="AF743" s="3"/>
      <c r="AG743" s="3"/>
      <c r="AH743" s="3"/>
      <c r="AI743" s="3"/>
      <c r="AJ743" s="3"/>
      <c r="AK743" s="3"/>
      <c r="AL743" s="3"/>
      <c r="AM743" s="3"/>
      <c r="AN743" s="3"/>
      <c r="AO743" s="3"/>
      <c r="AP743" s="3"/>
      <c r="AQ743" s="3"/>
      <c r="AR743" s="3"/>
      <c r="AS743" s="3"/>
      <c r="AT743" s="3"/>
      <c r="AU743" s="3"/>
    </row>
    <row r="744" spans="2:47" ht="14.25" customHeight="1" x14ac:dyDescent="0.3">
      <c r="B744" s="3"/>
      <c r="Q744" s="1"/>
      <c r="R744" s="1"/>
      <c r="S744" s="2"/>
      <c r="T744" s="2">
        <v>630</v>
      </c>
      <c r="U744" s="48" t="s">
        <v>91</v>
      </c>
      <c r="V744" s="2"/>
      <c r="W744" s="2"/>
      <c r="X744" s="2"/>
      <c r="Y744" s="3"/>
      <c r="Z744" s="3"/>
      <c r="AA744" s="3"/>
      <c r="AB744" s="3"/>
      <c r="AC744" s="3"/>
      <c r="AD744" s="3"/>
      <c r="AE744" s="3"/>
      <c r="AF744" s="3"/>
      <c r="AG744" s="3"/>
      <c r="AH744" s="3"/>
      <c r="AI744" s="3"/>
      <c r="AJ744" s="3"/>
      <c r="AK744" s="3"/>
      <c r="AL744" s="3"/>
      <c r="AM744" s="3"/>
      <c r="AN744" s="3"/>
      <c r="AO744" s="3"/>
      <c r="AP744" s="3"/>
      <c r="AQ744" s="3"/>
      <c r="AR744" s="3"/>
      <c r="AS744" s="3"/>
      <c r="AT744" s="3"/>
      <c r="AU744" s="3"/>
    </row>
    <row r="745" spans="2:47" ht="14.25" customHeight="1" x14ac:dyDescent="0.3">
      <c r="B745" s="3"/>
      <c r="Q745" s="1"/>
      <c r="R745" s="1"/>
      <c r="S745" s="2"/>
      <c r="T745" s="2">
        <v>631</v>
      </c>
      <c r="U745" s="48" t="s">
        <v>91</v>
      </c>
      <c r="V745" s="2"/>
      <c r="W745" s="2"/>
      <c r="X745" s="2"/>
      <c r="Y745" s="3"/>
      <c r="Z745" s="3"/>
      <c r="AA745" s="3"/>
      <c r="AB745" s="3"/>
      <c r="AC745" s="3"/>
      <c r="AD745" s="3"/>
      <c r="AE745" s="3"/>
      <c r="AF745" s="3"/>
      <c r="AG745" s="3"/>
      <c r="AH745" s="3"/>
      <c r="AI745" s="3"/>
      <c r="AJ745" s="3"/>
      <c r="AK745" s="3"/>
      <c r="AL745" s="3"/>
      <c r="AM745" s="3"/>
      <c r="AN745" s="3"/>
      <c r="AO745" s="3"/>
      <c r="AP745" s="3"/>
      <c r="AQ745" s="3"/>
      <c r="AR745" s="3"/>
      <c r="AS745" s="3"/>
      <c r="AT745" s="3"/>
      <c r="AU745" s="3"/>
    </row>
    <row r="746" spans="2:47" ht="14.25" customHeight="1" x14ac:dyDescent="0.3">
      <c r="B746" s="3"/>
      <c r="Q746" s="1"/>
      <c r="R746" s="1"/>
      <c r="S746" s="2"/>
      <c r="T746" s="2">
        <v>632</v>
      </c>
      <c r="U746" s="48" t="s">
        <v>91</v>
      </c>
      <c r="V746" s="2"/>
      <c r="W746" s="2"/>
      <c r="X746" s="2"/>
      <c r="Y746" s="3"/>
      <c r="Z746" s="3"/>
      <c r="AA746" s="3"/>
      <c r="AB746" s="3"/>
      <c r="AC746" s="3"/>
      <c r="AD746" s="3"/>
      <c r="AE746" s="3"/>
      <c r="AF746" s="3"/>
      <c r="AG746" s="3"/>
      <c r="AH746" s="3"/>
      <c r="AI746" s="3"/>
      <c r="AJ746" s="3"/>
      <c r="AK746" s="3"/>
      <c r="AL746" s="3"/>
      <c r="AM746" s="3"/>
      <c r="AN746" s="3"/>
      <c r="AO746" s="3"/>
      <c r="AP746" s="3"/>
      <c r="AQ746" s="3"/>
      <c r="AR746" s="3"/>
      <c r="AS746" s="3"/>
      <c r="AT746" s="3"/>
      <c r="AU746" s="3"/>
    </row>
    <row r="747" spans="2:47" ht="14.25" customHeight="1" x14ac:dyDescent="0.3">
      <c r="B747" s="3"/>
      <c r="Q747" s="1"/>
      <c r="R747" s="1"/>
      <c r="S747" s="2"/>
      <c r="T747" s="2">
        <v>633</v>
      </c>
      <c r="U747" s="48" t="s">
        <v>91</v>
      </c>
      <c r="V747" s="2"/>
      <c r="W747" s="2"/>
      <c r="X747" s="2"/>
      <c r="Y747" s="3"/>
      <c r="Z747" s="3"/>
      <c r="AA747" s="3"/>
      <c r="AB747" s="3"/>
      <c r="AC747" s="3"/>
      <c r="AD747" s="3"/>
      <c r="AE747" s="3"/>
      <c r="AF747" s="3"/>
      <c r="AG747" s="3"/>
      <c r="AH747" s="3"/>
      <c r="AI747" s="3"/>
      <c r="AJ747" s="3"/>
      <c r="AK747" s="3"/>
      <c r="AL747" s="3"/>
      <c r="AM747" s="3"/>
      <c r="AN747" s="3"/>
      <c r="AO747" s="3"/>
      <c r="AP747" s="3"/>
      <c r="AQ747" s="3"/>
      <c r="AR747" s="3"/>
      <c r="AS747" s="3"/>
      <c r="AT747" s="3"/>
      <c r="AU747" s="3"/>
    </row>
    <row r="748" spans="2:47" ht="14.25" customHeight="1" x14ac:dyDescent="0.3">
      <c r="B748" s="3"/>
      <c r="Q748" s="1"/>
      <c r="R748" s="1"/>
      <c r="S748" s="2"/>
      <c r="T748" s="2">
        <v>634</v>
      </c>
      <c r="U748" s="48" t="s">
        <v>91</v>
      </c>
      <c r="V748" s="2"/>
      <c r="W748" s="2"/>
      <c r="X748" s="2"/>
      <c r="Y748" s="3"/>
      <c r="Z748" s="3"/>
      <c r="AA748" s="3"/>
      <c r="AB748" s="3"/>
      <c r="AC748" s="3"/>
      <c r="AD748" s="3"/>
      <c r="AE748" s="3"/>
      <c r="AF748" s="3"/>
      <c r="AG748" s="3"/>
      <c r="AH748" s="3"/>
      <c r="AI748" s="3"/>
      <c r="AJ748" s="3"/>
      <c r="AK748" s="3"/>
      <c r="AL748" s="3"/>
      <c r="AM748" s="3"/>
      <c r="AN748" s="3"/>
      <c r="AO748" s="3"/>
      <c r="AP748" s="3"/>
      <c r="AQ748" s="3"/>
      <c r="AR748" s="3"/>
      <c r="AS748" s="3"/>
      <c r="AT748" s="3"/>
      <c r="AU748" s="3"/>
    </row>
    <row r="749" spans="2:47" ht="14.25" customHeight="1" x14ac:dyDescent="0.3">
      <c r="B749" s="3"/>
      <c r="Q749" s="1"/>
      <c r="R749" s="1"/>
      <c r="S749" s="2"/>
      <c r="T749" s="2">
        <v>635</v>
      </c>
      <c r="U749" s="48" t="s">
        <v>91</v>
      </c>
      <c r="V749" s="2"/>
      <c r="W749" s="2"/>
      <c r="X749" s="2"/>
      <c r="Y749" s="3"/>
      <c r="Z749" s="3"/>
      <c r="AA749" s="3"/>
      <c r="AB749" s="3"/>
      <c r="AC749" s="3"/>
      <c r="AD749" s="3"/>
      <c r="AE749" s="3"/>
      <c r="AF749" s="3"/>
      <c r="AG749" s="3"/>
      <c r="AH749" s="3"/>
      <c r="AI749" s="3"/>
      <c r="AJ749" s="3"/>
      <c r="AK749" s="3"/>
      <c r="AL749" s="3"/>
      <c r="AM749" s="3"/>
      <c r="AN749" s="3"/>
      <c r="AO749" s="3"/>
      <c r="AP749" s="3"/>
      <c r="AQ749" s="3"/>
      <c r="AR749" s="3"/>
      <c r="AS749" s="3"/>
      <c r="AT749" s="3"/>
      <c r="AU749" s="3"/>
    </row>
    <row r="750" spans="2:47" ht="14.25" customHeight="1" x14ac:dyDescent="0.3">
      <c r="B750" s="3"/>
      <c r="Q750" s="1"/>
      <c r="R750" s="1"/>
      <c r="S750" s="2"/>
      <c r="T750" s="2">
        <v>636</v>
      </c>
      <c r="U750" s="48" t="s">
        <v>91</v>
      </c>
      <c r="V750" s="2"/>
      <c r="W750" s="2"/>
      <c r="X750" s="2"/>
      <c r="Y750" s="3"/>
      <c r="Z750" s="3"/>
      <c r="AA750" s="3"/>
      <c r="AB750" s="3"/>
      <c r="AC750" s="3"/>
      <c r="AD750" s="3"/>
      <c r="AE750" s="3"/>
      <c r="AF750" s="3"/>
      <c r="AG750" s="3"/>
      <c r="AH750" s="3"/>
      <c r="AI750" s="3"/>
      <c r="AJ750" s="3"/>
      <c r="AK750" s="3"/>
      <c r="AL750" s="3"/>
      <c r="AM750" s="3"/>
      <c r="AN750" s="3"/>
      <c r="AO750" s="3"/>
      <c r="AP750" s="3"/>
      <c r="AQ750" s="3"/>
      <c r="AR750" s="3"/>
      <c r="AS750" s="3"/>
      <c r="AT750" s="3"/>
      <c r="AU750" s="3"/>
    </row>
    <row r="751" spans="2:47" ht="14.25" customHeight="1" x14ac:dyDescent="0.3">
      <c r="B751" s="3"/>
      <c r="Q751" s="1"/>
      <c r="R751" s="1"/>
      <c r="S751" s="2"/>
      <c r="T751" s="2">
        <v>637</v>
      </c>
      <c r="U751" s="48" t="s">
        <v>91</v>
      </c>
      <c r="V751" s="2"/>
      <c r="W751" s="2"/>
      <c r="X751" s="2"/>
      <c r="Y751" s="3"/>
      <c r="Z751" s="3"/>
      <c r="AA751" s="3"/>
      <c r="AB751" s="3"/>
      <c r="AC751" s="3"/>
      <c r="AD751" s="3"/>
      <c r="AE751" s="3"/>
      <c r="AF751" s="3"/>
      <c r="AG751" s="3"/>
      <c r="AH751" s="3"/>
      <c r="AI751" s="3"/>
      <c r="AJ751" s="3"/>
      <c r="AK751" s="3"/>
      <c r="AL751" s="3"/>
      <c r="AM751" s="3"/>
      <c r="AN751" s="3"/>
      <c r="AO751" s="3"/>
      <c r="AP751" s="3"/>
      <c r="AQ751" s="3"/>
      <c r="AR751" s="3"/>
      <c r="AS751" s="3"/>
      <c r="AT751" s="3"/>
      <c r="AU751" s="3"/>
    </row>
    <row r="752" spans="2:47" ht="14.25" customHeight="1" x14ac:dyDescent="0.3">
      <c r="B752" s="3"/>
      <c r="Q752" s="1"/>
      <c r="R752" s="1"/>
      <c r="S752" s="2"/>
      <c r="T752" s="2">
        <v>638</v>
      </c>
      <c r="U752" s="48" t="s">
        <v>91</v>
      </c>
      <c r="V752" s="2"/>
      <c r="W752" s="2"/>
      <c r="X752" s="2"/>
      <c r="Y752" s="3"/>
      <c r="Z752" s="3"/>
      <c r="AA752" s="3"/>
      <c r="AB752" s="3"/>
      <c r="AC752" s="3"/>
      <c r="AD752" s="3"/>
      <c r="AE752" s="3"/>
      <c r="AF752" s="3"/>
      <c r="AG752" s="3"/>
      <c r="AH752" s="3"/>
      <c r="AI752" s="3"/>
      <c r="AJ752" s="3"/>
      <c r="AK752" s="3"/>
      <c r="AL752" s="3"/>
      <c r="AM752" s="3"/>
      <c r="AN752" s="3"/>
      <c r="AO752" s="3"/>
      <c r="AP752" s="3"/>
      <c r="AQ752" s="3"/>
      <c r="AR752" s="3"/>
      <c r="AS752" s="3"/>
      <c r="AT752" s="3"/>
      <c r="AU752" s="3"/>
    </row>
    <row r="753" spans="2:47" ht="14.25" customHeight="1" x14ac:dyDescent="0.3">
      <c r="B753" s="3"/>
      <c r="Q753" s="1"/>
      <c r="R753" s="1"/>
      <c r="S753" s="2"/>
      <c r="T753" s="2">
        <v>639</v>
      </c>
      <c r="U753" s="48" t="s">
        <v>91</v>
      </c>
      <c r="V753" s="2"/>
      <c r="W753" s="2"/>
      <c r="X753" s="2"/>
      <c r="Y753" s="3"/>
      <c r="Z753" s="3"/>
      <c r="AA753" s="3"/>
      <c r="AB753" s="3"/>
      <c r="AC753" s="3"/>
      <c r="AD753" s="3"/>
      <c r="AE753" s="3"/>
      <c r="AF753" s="3"/>
      <c r="AG753" s="3"/>
      <c r="AH753" s="3"/>
      <c r="AI753" s="3"/>
      <c r="AJ753" s="3"/>
      <c r="AK753" s="3"/>
      <c r="AL753" s="3"/>
      <c r="AM753" s="3"/>
      <c r="AN753" s="3"/>
      <c r="AO753" s="3"/>
      <c r="AP753" s="3"/>
      <c r="AQ753" s="3"/>
      <c r="AR753" s="3"/>
      <c r="AS753" s="3"/>
      <c r="AT753" s="3"/>
      <c r="AU753" s="3"/>
    </row>
    <row r="754" spans="2:47" ht="14.25" customHeight="1" x14ac:dyDescent="0.3">
      <c r="B754" s="3"/>
      <c r="Q754" s="1"/>
      <c r="R754" s="1"/>
      <c r="S754" s="2"/>
      <c r="T754" s="2">
        <v>640</v>
      </c>
      <c r="U754" s="48" t="s">
        <v>91</v>
      </c>
      <c r="V754" s="2"/>
      <c r="W754" s="2"/>
      <c r="X754" s="2"/>
      <c r="Y754" s="3"/>
      <c r="Z754" s="3"/>
      <c r="AA754" s="3"/>
      <c r="AB754" s="3"/>
      <c r="AC754" s="3"/>
      <c r="AD754" s="3"/>
      <c r="AE754" s="3"/>
      <c r="AF754" s="3"/>
      <c r="AG754" s="3"/>
      <c r="AH754" s="3"/>
      <c r="AI754" s="3"/>
      <c r="AJ754" s="3"/>
      <c r="AK754" s="3"/>
      <c r="AL754" s="3"/>
      <c r="AM754" s="3"/>
      <c r="AN754" s="3"/>
      <c r="AO754" s="3"/>
      <c r="AP754" s="3"/>
      <c r="AQ754" s="3"/>
      <c r="AR754" s="3"/>
      <c r="AS754" s="3"/>
      <c r="AT754" s="3"/>
      <c r="AU754" s="3"/>
    </row>
    <row r="755" spans="2:47" ht="14.25" customHeight="1" x14ac:dyDescent="0.3">
      <c r="B755" s="3"/>
      <c r="Q755" s="1"/>
      <c r="R755" s="1"/>
      <c r="S755" s="2"/>
      <c r="T755" s="2">
        <v>641</v>
      </c>
      <c r="U755" s="48" t="s">
        <v>91</v>
      </c>
      <c r="V755" s="2"/>
      <c r="W755" s="2"/>
      <c r="X755" s="2"/>
      <c r="Y755" s="3"/>
      <c r="Z755" s="3"/>
      <c r="AA755" s="3"/>
      <c r="AB755" s="3"/>
      <c r="AC755" s="3"/>
      <c r="AD755" s="3"/>
      <c r="AE755" s="3"/>
      <c r="AF755" s="3"/>
      <c r="AG755" s="3"/>
      <c r="AH755" s="3"/>
      <c r="AI755" s="3"/>
      <c r="AJ755" s="3"/>
      <c r="AK755" s="3"/>
      <c r="AL755" s="3"/>
      <c r="AM755" s="3"/>
      <c r="AN755" s="3"/>
      <c r="AO755" s="3"/>
      <c r="AP755" s="3"/>
      <c r="AQ755" s="3"/>
      <c r="AR755" s="3"/>
      <c r="AS755" s="3"/>
      <c r="AT755" s="3"/>
      <c r="AU755" s="3"/>
    </row>
    <row r="756" spans="2:47" ht="14.25" customHeight="1" x14ac:dyDescent="0.3">
      <c r="B756" s="3"/>
      <c r="Q756" s="1"/>
      <c r="R756" s="1"/>
      <c r="S756" s="2"/>
      <c r="T756" s="2">
        <v>642</v>
      </c>
      <c r="U756" s="48" t="s">
        <v>91</v>
      </c>
      <c r="V756" s="2"/>
      <c r="W756" s="2"/>
      <c r="X756" s="2"/>
      <c r="Y756" s="3"/>
      <c r="Z756" s="3"/>
      <c r="AA756" s="3"/>
      <c r="AB756" s="3"/>
      <c r="AC756" s="3"/>
      <c r="AD756" s="3"/>
      <c r="AE756" s="3"/>
      <c r="AF756" s="3"/>
      <c r="AG756" s="3"/>
      <c r="AH756" s="3"/>
      <c r="AI756" s="3"/>
      <c r="AJ756" s="3"/>
      <c r="AK756" s="3"/>
      <c r="AL756" s="3"/>
      <c r="AM756" s="3"/>
      <c r="AN756" s="3"/>
      <c r="AO756" s="3"/>
      <c r="AP756" s="3"/>
      <c r="AQ756" s="3"/>
      <c r="AR756" s="3"/>
      <c r="AS756" s="3"/>
      <c r="AT756" s="3"/>
      <c r="AU756" s="3"/>
    </row>
    <row r="757" spans="2:47" ht="14.25" customHeight="1" x14ac:dyDescent="0.3">
      <c r="B757" s="3"/>
      <c r="Q757" s="1"/>
      <c r="R757" s="1"/>
      <c r="S757" s="2"/>
      <c r="T757" s="2">
        <v>643</v>
      </c>
      <c r="U757" s="48" t="s">
        <v>91</v>
      </c>
      <c r="V757" s="2"/>
      <c r="W757" s="2"/>
      <c r="X757" s="2"/>
      <c r="Y757" s="3"/>
      <c r="Z757" s="3"/>
      <c r="AA757" s="3"/>
      <c r="AB757" s="3"/>
      <c r="AC757" s="3"/>
      <c r="AD757" s="3"/>
      <c r="AE757" s="3"/>
      <c r="AF757" s="3"/>
      <c r="AG757" s="3"/>
      <c r="AH757" s="3"/>
      <c r="AI757" s="3"/>
      <c r="AJ757" s="3"/>
      <c r="AK757" s="3"/>
      <c r="AL757" s="3"/>
      <c r="AM757" s="3"/>
      <c r="AN757" s="3"/>
      <c r="AO757" s="3"/>
      <c r="AP757" s="3"/>
      <c r="AQ757" s="3"/>
      <c r="AR757" s="3"/>
      <c r="AS757" s="3"/>
      <c r="AT757" s="3"/>
      <c r="AU757" s="3"/>
    </row>
    <row r="758" spans="2:47" ht="14.25" customHeight="1" x14ac:dyDescent="0.3">
      <c r="B758" s="3"/>
      <c r="Q758" s="1"/>
      <c r="R758" s="1"/>
      <c r="S758" s="2"/>
      <c r="T758" s="2">
        <v>644</v>
      </c>
      <c r="U758" s="48" t="s">
        <v>91</v>
      </c>
      <c r="V758" s="2"/>
      <c r="W758" s="2"/>
      <c r="X758" s="2"/>
      <c r="Y758" s="3"/>
      <c r="Z758" s="3"/>
      <c r="AA758" s="3"/>
      <c r="AB758" s="3"/>
      <c r="AC758" s="3"/>
      <c r="AD758" s="3"/>
      <c r="AE758" s="3"/>
      <c r="AF758" s="3"/>
      <c r="AG758" s="3"/>
      <c r="AH758" s="3"/>
      <c r="AI758" s="3"/>
      <c r="AJ758" s="3"/>
      <c r="AK758" s="3"/>
      <c r="AL758" s="3"/>
      <c r="AM758" s="3"/>
      <c r="AN758" s="3"/>
      <c r="AO758" s="3"/>
      <c r="AP758" s="3"/>
      <c r="AQ758" s="3"/>
      <c r="AR758" s="3"/>
      <c r="AS758" s="3"/>
      <c r="AT758" s="3"/>
      <c r="AU758" s="3"/>
    </row>
    <row r="759" spans="2:47" ht="14.25" customHeight="1" x14ac:dyDescent="0.3">
      <c r="B759" s="3"/>
      <c r="Q759" s="1"/>
      <c r="R759" s="1"/>
      <c r="S759" s="2"/>
      <c r="T759" s="2">
        <v>645</v>
      </c>
      <c r="U759" s="48" t="s">
        <v>91</v>
      </c>
      <c r="V759" s="2"/>
      <c r="W759" s="2"/>
      <c r="X759" s="2"/>
      <c r="Y759" s="3"/>
      <c r="Z759" s="3"/>
      <c r="AA759" s="3"/>
      <c r="AB759" s="3"/>
      <c r="AC759" s="3"/>
      <c r="AD759" s="3"/>
      <c r="AE759" s="3"/>
      <c r="AF759" s="3"/>
      <c r="AG759" s="3"/>
      <c r="AH759" s="3"/>
      <c r="AI759" s="3"/>
      <c r="AJ759" s="3"/>
      <c r="AK759" s="3"/>
      <c r="AL759" s="3"/>
      <c r="AM759" s="3"/>
      <c r="AN759" s="3"/>
      <c r="AO759" s="3"/>
      <c r="AP759" s="3"/>
      <c r="AQ759" s="3"/>
      <c r="AR759" s="3"/>
      <c r="AS759" s="3"/>
      <c r="AT759" s="3"/>
      <c r="AU759" s="3"/>
    </row>
    <row r="760" spans="2:47" ht="14.25" customHeight="1" x14ac:dyDescent="0.3">
      <c r="B760" s="3"/>
      <c r="Q760" s="1"/>
      <c r="R760" s="1"/>
      <c r="S760" s="2"/>
      <c r="T760" s="2">
        <v>646</v>
      </c>
      <c r="U760" s="48" t="s">
        <v>91</v>
      </c>
      <c r="V760" s="2"/>
      <c r="W760" s="2"/>
      <c r="X760" s="2"/>
      <c r="Y760" s="3"/>
      <c r="Z760" s="3"/>
      <c r="AA760" s="3"/>
      <c r="AB760" s="3"/>
      <c r="AC760" s="3"/>
      <c r="AD760" s="3"/>
      <c r="AE760" s="3"/>
      <c r="AF760" s="3"/>
      <c r="AG760" s="3"/>
      <c r="AH760" s="3"/>
      <c r="AI760" s="3"/>
      <c r="AJ760" s="3"/>
      <c r="AK760" s="3"/>
      <c r="AL760" s="3"/>
      <c r="AM760" s="3"/>
      <c r="AN760" s="3"/>
      <c r="AO760" s="3"/>
      <c r="AP760" s="3"/>
      <c r="AQ760" s="3"/>
      <c r="AR760" s="3"/>
      <c r="AS760" s="3"/>
      <c r="AT760" s="3"/>
      <c r="AU760" s="3"/>
    </row>
    <row r="761" spans="2:47" ht="14.25" customHeight="1" x14ac:dyDescent="0.3">
      <c r="B761" s="3"/>
      <c r="Q761" s="1"/>
      <c r="R761" s="1"/>
      <c r="S761" s="2"/>
      <c r="T761" s="2">
        <v>647</v>
      </c>
      <c r="U761" s="48" t="s">
        <v>91</v>
      </c>
      <c r="V761" s="2"/>
      <c r="W761" s="2"/>
      <c r="X761" s="2"/>
      <c r="Y761" s="3"/>
      <c r="Z761" s="3"/>
      <c r="AA761" s="3"/>
      <c r="AB761" s="3"/>
      <c r="AC761" s="3"/>
      <c r="AD761" s="3"/>
      <c r="AE761" s="3"/>
      <c r="AF761" s="3"/>
      <c r="AG761" s="3"/>
      <c r="AH761" s="3"/>
      <c r="AI761" s="3"/>
      <c r="AJ761" s="3"/>
      <c r="AK761" s="3"/>
      <c r="AL761" s="3"/>
      <c r="AM761" s="3"/>
      <c r="AN761" s="3"/>
      <c r="AO761" s="3"/>
      <c r="AP761" s="3"/>
      <c r="AQ761" s="3"/>
      <c r="AR761" s="3"/>
      <c r="AS761" s="3"/>
      <c r="AT761" s="3"/>
      <c r="AU761" s="3"/>
    </row>
    <row r="762" spans="2:47" ht="14.25" customHeight="1" x14ac:dyDescent="0.3">
      <c r="B762" s="3"/>
      <c r="Q762" s="1"/>
      <c r="R762" s="1"/>
      <c r="S762" s="2"/>
      <c r="T762" s="2">
        <v>648</v>
      </c>
      <c r="U762" s="48" t="s">
        <v>91</v>
      </c>
      <c r="V762" s="2"/>
      <c r="W762" s="2"/>
      <c r="X762" s="2"/>
      <c r="Y762" s="3"/>
      <c r="Z762" s="3"/>
      <c r="AA762" s="3"/>
      <c r="AB762" s="3"/>
      <c r="AC762" s="3"/>
      <c r="AD762" s="3"/>
      <c r="AE762" s="3"/>
      <c r="AF762" s="3"/>
      <c r="AG762" s="3"/>
      <c r="AH762" s="3"/>
      <c r="AI762" s="3"/>
      <c r="AJ762" s="3"/>
      <c r="AK762" s="3"/>
      <c r="AL762" s="3"/>
      <c r="AM762" s="3"/>
      <c r="AN762" s="3"/>
      <c r="AO762" s="3"/>
      <c r="AP762" s="3"/>
      <c r="AQ762" s="3"/>
      <c r="AR762" s="3"/>
      <c r="AS762" s="3"/>
      <c r="AT762" s="3"/>
      <c r="AU762" s="3"/>
    </row>
    <row r="763" spans="2:47" ht="14.25" customHeight="1" x14ac:dyDescent="0.3">
      <c r="B763" s="3"/>
      <c r="Q763" s="1"/>
      <c r="R763" s="1"/>
      <c r="S763" s="2"/>
      <c r="T763" s="2">
        <v>649</v>
      </c>
      <c r="U763" s="48" t="s">
        <v>91</v>
      </c>
      <c r="V763" s="2"/>
      <c r="W763" s="2"/>
      <c r="X763" s="2"/>
      <c r="Y763" s="3"/>
      <c r="Z763" s="3"/>
      <c r="AA763" s="3"/>
      <c r="AB763" s="3"/>
      <c r="AC763" s="3"/>
      <c r="AD763" s="3"/>
      <c r="AE763" s="3"/>
      <c r="AF763" s="3"/>
      <c r="AG763" s="3"/>
      <c r="AH763" s="3"/>
      <c r="AI763" s="3"/>
      <c r="AJ763" s="3"/>
      <c r="AK763" s="3"/>
      <c r="AL763" s="3"/>
      <c r="AM763" s="3"/>
      <c r="AN763" s="3"/>
      <c r="AO763" s="3"/>
      <c r="AP763" s="3"/>
      <c r="AQ763" s="3"/>
      <c r="AR763" s="3"/>
      <c r="AS763" s="3"/>
      <c r="AT763" s="3"/>
      <c r="AU763" s="3"/>
    </row>
    <row r="764" spans="2:47" ht="14.25" customHeight="1" x14ac:dyDescent="0.3">
      <c r="B764" s="3"/>
      <c r="Q764" s="1"/>
      <c r="R764" s="1"/>
      <c r="S764" s="2"/>
      <c r="T764" s="2">
        <v>650</v>
      </c>
      <c r="U764" s="48" t="s">
        <v>91</v>
      </c>
      <c r="V764" s="2"/>
      <c r="W764" s="2"/>
      <c r="X764" s="2"/>
      <c r="Y764" s="3"/>
      <c r="Z764" s="3"/>
      <c r="AA764" s="3"/>
      <c r="AB764" s="3"/>
      <c r="AC764" s="3"/>
      <c r="AD764" s="3"/>
      <c r="AE764" s="3"/>
      <c r="AF764" s="3"/>
      <c r="AG764" s="3"/>
      <c r="AH764" s="3"/>
      <c r="AI764" s="3"/>
      <c r="AJ764" s="3"/>
      <c r="AK764" s="3"/>
      <c r="AL764" s="3"/>
      <c r="AM764" s="3"/>
      <c r="AN764" s="3"/>
      <c r="AO764" s="3"/>
      <c r="AP764" s="3"/>
      <c r="AQ764" s="3"/>
      <c r="AR764" s="3"/>
      <c r="AS764" s="3"/>
      <c r="AT764" s="3"/>
      <c r="AU764" s="3"/>
    </row>
    <row r="765" spans="2:47" ht="14.25" customHeight="1" x14ac:dyDescent="0.3">
      <c r="B765" s="3"/>
      <c r="Q765" s="1"/>
      <c r="R765" s="1"/>
      <c r="S765" s="2"/>
      <c r="T765" s="2">
        <v>651</v>
      </c>
      <c r="U765" s="48" t="s">
        <v>91</v>
      </c>
      <c r="V765" s="2"/>
      <c r="W765" s="2"/>
      <c r="X765" s="2"/>
      <c r="Y765" s="3"/>
      <c r="Z765" s="3"/>
      <c r="AA765" s="3"/>
      <c r="AB765" s="3"/>
      <c r="AC765" s="3"/>
      <c r="AD765" s="3"/>
      <c r="AE765" s="3"/>
      <c r="AF765" s="3"/>
      <c r="AG765" s="3"/>
      <c r="AH765" s="3"/>
      <c r="AI765" s="3"/>
      <c r="AJ765" s="3"/>
      <c r="AK765" s="3"/>
      <c r="AL765" s="3"/>
      <c r="AM765" s="3"/>
      <c r="AN765" s="3"/>
      <c r="AO765" s="3"/>
      <c r="AP765" s="3"/>
      <c r="AQ765" s="3"/>
      <c r="AR765" s="3"/>
      <c r="AS765" s="3"/>
      <c r="AT765" s="3"/>
      <c r="AU765" s="3"/>
    </row>
    <row r="766" spans="2:47" ht="14.25" customHeight="1" x14ac:dyDescent="0.3">
      <c r="B766" s="3"/>
      <c r="Q766" s="1"/>
      <c r="R766" s="1"/>
      <c r="S766" s="2"/>
      <c r="T766" s="2">
        <v>652</v>
      </c>
      <c r="U766" s="48" t="s">
        <v>91</v>
      </c>
      <c r="V766" s="2"/>
      <c r="W766" s="2"/>
      <c r="X766" s="2"/>
      <c r="Y766" s="3"/>
      <c r="Z766" s="3"/>
      <c r="AA766" s="3"/>
      <c r="AB766" s="3"/>
      <c r="AC766" s="3"/>
      <c r="AD766" s="3"/>
      <c r="AE766" s="3"/>
      <c r="AF766" s="3"/>
      <c r="AG766" s="3"/>
      <c r="AH766" s="3"/>
      <c r="AI766" s="3"/>
      <c r="AJ766" s="3"/>
      <c r="AK766" s="3"/>
      <c r="AL766" s="3"/>
      <c r="AM766" s="3"/>
      <c r="AN766" s="3"/>
      <c r="AO766" s="3"/>
      <c r="AP766" s="3"/>
      <c r="AQ766" s="3"/>
      <c r="AR766" s="3"/>
      <c r="AS766" s="3"/>
      <c r="AT766" s="3"/>
      <c r="AU766" s="3"/>
    </row>
    <row r="767" spans="2:47" ht="14.25" customHeight="1" x14ac:dyDescent="0.3">
      <c r="B767" s="3"/>
      <c r="Q767" s="1"/>
      <c r="R767" s="1"/>
      <c r="S767" s="2"/>
      <c r="T767" s="2">
        <v>653</v>
      </c>
      <c r="U767" s="48" t="s">
        <v>91</v>
      </c>
      <c r="V767" s="2"/>
      <c r="W767" s="2"/>
      <c r="X767" s="2"/>
      <c r="Y767" s="3"/>
      <c r="Z767" s="3"/>
      <c r="AA767" s="3"/>
      <c r="AB767" s="3"/>
      <c r="AC767" s="3"/>
      <c r="AD767" s="3"/>
      <c r="AE767" s="3"/>
      <c r="AF767" s="3"/>
      <c r="AG767" s="3"/>
      <c r="AH767" s="3"/>
      <c r="AI767" s="3"/>
      <c r="AJ767" s="3"/>
      <c r="AK767" s="3"/>
      <c r="AL767" s="3"/>
      <c r="AM767" s="3"/>
      <c r="AN767" s="3"/>
      <c r="AO767" s="3"/>
      <c r="AP767" s="3"/>
      <c r="AQ767" s="3"/>
      <c r="AR767" s="3"/>
      <c r="AS767" s="3"/>
      <c r="AT767" s="3"/>
      <c r="AU767" s="3"/>
    </row>
    <row r="768" spans="2:47" ht="14.25" customHeight="1" x14ac:dyDescent="0.3">
      <c r="B768" s="3"/>
      <c r="Q768" s="1"/>
      <c r="R768" s="1"/>
      <c r="S768" s="2"/>
      <c r="T768" s="2">
        <v>654</v>
      </c>
      <c r="U768" s="48" t="s">
        <v>91</v>
      </c>
      <c r="V768" s="2"/>
      <c r="W768" s="2"/>
      <c r="X768" s="2"/>
      <c r="Y768" s="3"/>
      <c r="Z768" s="3"/>
      <c r="AA768" s="3"/>
      <c r="AB768" s="3"/>
      <c r="AC768" s="3"/>
      <c r="AD768" s="3"/>
      <c r="AE768" s="3"/>
      <c r="AF768" s="3"/>
      <c r="AG768" s="3"/>
      <c r="AH768" s="3"/>
      <c r="AI768" s="3"/>
      <c r="AJ768" s="3"/>
      <c r="AK768" s="3"/>
      <c r="AL768" s="3"/>
      <c r="AM768" s="3"/>
      <c r="AN768" s="3"/>
      <c r="AO768" s="3"/>
      <c r="AP768" s="3"/>
      <c r="AQ768" s="3"/>
      <c r="AR768" s="3"/>
      <c r="AS768" s="3"/>
      <c r="AT768" s="3"/>
      <c r="AU768" s="3"/>
    </row>
    <row r="769" spans="2:47" ht="14.25" customHeight="1" x14ac:dyDescent="0.3">
      <c r="B769" s="3"/>
      <c r="Q769" s="1"/>
      <c r="R769" s="1"/>
      <c r="S769" s="2"/>
      <c r="T769" s="2">
        <v>655</v>
      </c>
      <c r="U769" s="48" t="s">
        <v>91</v>
      </c>
      <c r="V769" s="2"/>
      <c r="W769" s="2"/>
      <c r="X769" s="2"/>
      <c r="Y769" s="3"/>
      <c r="Z769" s="3"/>
      <c r="AA769" s="3"/>
      <c r="AB769" s="3"/>
      <c r="AC769" s="3"/>
      <c r="AD769" s="3"/>
      <c r="AE769" s="3"/>
      <c r="AF769" s="3"/>
      <c r="AG769" s="3"/>
      <c r="AH769" s="3"/>
      <c r="AI769" s="3"/>
      <c r="AJ769" s="3"/>
      <c r="AK769" s="3"/>
      <c r="AL769" s="3"/>
      <c r="AM769" s="3"/>
      <c r="AN769" s="3"/>
      <c r="AO769" s="3"/>
      <c r="AP769" s="3"/>
      <c r="AQ769" s="3"/>
      <c r="AR769" s="3"/>
      <c r="AS769" s="3"/>
      <c r="AT769" s="3"/>
      <c r="AU769" s="3"/>
    </row>
    <row r="770" spans="2:47" ht="14.25" customHeight="1" x14ac:dyDescent="0.3">
      <c r="B770" s="3"/>
      <c r="Q770" s="1"/>
      <c r="R770" s="1"/>
      <c r="S770" s="2"/>
      <c r="T770" s="2">
        <v>656</v>
      </c>
      <c r="U770" s="48" t="s">
        <v>91</v>
      </c>
      <c r="V770" s="2"/>
      <c r="W770" s="2"/>
      <c r="X770" s="2"/>
      <c r="Y770" s="3"/>
      <c r="Z770" s="3"/>
      <c r="AA770" s="3"/>
      <c r="AB770" s="3"/>
      <c r="AC770" s="3"/>
      <c r="AD770" s="3"/>
      <c r="AE770" s="3"/>
      <c r="AF770" s="3"/>
      <c r="AG770" s="3"/>
      <c r="AH770" s="3"/>
      <c r="AI770" s="3"/>
      <c r="AJ770" s="3"/>
      <c r="AK770" s="3"/>
      <c r="AL770" s="3"/>
      <c r="AM770" s="3"/>
      <c r="AN770" s="3"/>
      <c r="AO770" s="3"/>
      <c r="AP770" s="3"/>
      <c r="AQ770" s="3"/>
      <c r="AR770" s="3"/>
      <c r="AS770" s="3"/>
      <c r="AT770" s="3"/>
      <c r="AU770" s="3"/>
    </row>
    <row r="771" spans="2:47" ht="14.25" customHeight="1" x14ac:dyDescent="0.3">
      <c r="B771" s="3"/>
      <c r="Q771" s="1"/>
      <c r="R771" s="1"/>
      <c r="S771" s="2"/>
      <c r="T771" s="2">
        <v>657</v>
      </c>
      <c r="U771" s="48" t="s">
        <v>91</v>
      </c>
      <c r="V771" s="2"/>
      <c r="W771" s="2"/>
      <c r="X771" s="2"/>
      <c r="Y771" s="3"/>
      <c r="Z771" s="3"/>
      <c r="AA771" s="3"/>
      <c r="AB771" s="3"/>
      <c r="AC771" s="3"/>
      <c r="AD771" s="3"/>
      <c r="AE771" s="3"/>
      <c r="AF771" s="3"/>
      <c r="AG771" s="3"/>
      <c r="AH771" s="3"/>
      <c r="AI771" s="3"/>
      <c r="AJ771" s="3"/>
      <c r="AK771" s="3"/>
      <c r="AL771" s="3"/>
      <c r="AM771" s="3"/>
      <c r="AN771" s="3"/>
      <c r="AO771" s="3"/>
      <c r="AP771" s="3"/>
      <c r="AQ771" s="3"/>
      <c r="AR771" s="3"/>
      <c r="AS771" s="3"/>
      <c r="AT771" s="3"/>
      <c r="AU771" s="3"/>
    </row>
    <row r="772" spans="2:47" ht="14.25" customHeight="1" x14ac:dyDescent="0.3">
      <c r="B772" s="3"/>
      <c r="Q772" s="1"/>
      <c r="R772" s="1"/>
      <c r="S772" s="2"/>
      <c r="T772" s="2">
        <v>658</v>
      </c>
      <c r="U772" s="48" t="s">
        <v>91</v>
      </c>
      <c r="V772" s="2"/>
      <c r="W772" s="2"/>
      <c r="X772" s="2"/>
      <c r="Y772" s="3"/>
      <c r="Z772" s="3"/>
      <c r="AA772" s="3"/>
      <c r="AB772" s="3"/>
      <c r="AC772" s="3"/>
      <c r="AD772" s="3"/>
      <c r="AE772" s="3"/>
      <c r="AF772" s="3"/>
      <c r="AG772" s="3"/>
      <c r="AH772" s="3"/>
      <c r="AI772" s="3"/>
      <c r="AJ772" s="3"/>
      <c r="AK772" s="3"/>
      <c r="AL772" s="3"/>
      <c r="AM772" s="3"/>
      <c r="AN772" s="3"/>
      <c r="AO772" s="3"/>
      <c r="AP772" s="3"/>
      <c r="AQ772" s="3"/>
      <c r="AR772" s="3"/>
      <c r="AS772" s="3"/>
      <c r="AT772" s="3"/>
      <c r="AU772" s="3"/>
    </row>
    <row r="773" spans="2:47" ht="14.25" customHeight="1" x14ac:dyDescent="0.3">
      <c r="B773" s="3"/>
      <c r="Q773" s="1"/>
      <c r="R773" s="1"/>
      <c r="S773" s="2"/>
      <c r="T773" s="2">
        <v>659</v>
      </c>
      <c r="U773" s="48" t="s">
        <v>91</v>
      </c>
      <c r="V773" s="2"/>
      <c r="W773" s="2"/>
      <c r="X773" s="2"/>
      <c r="Y773" s="3"/>
      <c r="Z773" s="3"/>
      <c r="AA773" s="3"/>
      <c r="AB773" s="3"/>
      <c r="AC773" s="3"/>
      <c r="AD773" s="3"/>
      <c r="AE773" s="3"/>
      <c r="AF773" s="3"/>
      <c r="AG773" s="3"/>
      <c r="AH773" s="3"/>
      <c r="AI773" s="3"/>
      <c r="AJ773" s="3"/>
      <c r="AK773" s="3"/>
      <c r="AL773" s="3"/>
      <c r="AM773" s="3"/>
      <c r="AN773" s="3"/>
      <c r="AO773" s="3"/>
      <c r="AP773" s="3"/>
      <c r="AQ773" s="3"/>
      <c r="AR773" s="3"/>
      <c r="AS773" s="3"/>
      <c r="AT773" s="3"/>
      <c r="AU773" s="3"/>
    </row>
    <row r="774" spans="2:47" ht="14.25" customHeight="1" x14ac:dyDescent="0.3">
      <c r="B774" s="3"/>
      <c r="Q774" s="1"/>
      <c r="R774" s="1"/>
      <c r="S774" s="2"/>
      <c r="T774" s="2">
        <v>660</v>
      </c>
      <c r="U774" s="48" t="s">
        <v>91</v>
      </c>
      <c r="V774" s="2"/>
      <c r="W774" s="2"/>
      <c r="X774" s="2"/>
      <c r="Y774" s="3"/>
      <c r="Z774" s="3"/>
      <c r="AA774" s="3"/>
      <c r="AB774" s="3"/>
      <c r="AC774" s="3"/>
      <c r="AD774" s="3"/>
      <c r="AE774" s="3"/>
      <c r="AF774" s="3"/>
      <c r="AG774" s="3"/>
      <c r="AH774" s="3"/>
      <c r="AI774" s="3"/>
      <c r="AJ774" s="3"/>
      <c r="AK774" s="3"/>
      <c r="AL774" s="3"/>
      <c r="AM774" s="3"/>
      <c r="AN774" s="3"/>
      <c r="AO774" s="3"/>
      <c r="AP774" s="3"/>
      <c r="AQ774" s="3"/>
      <c r="AR774" s="3"/>
      <c r="AS774" s="3"/>
      <c r="AT774" s="3"/>
      <c r="AU774" s="3"/>
    </row>
    <row r="775" spans="2:47" ht="14.25" customHeight="1" x14ac:dyDescent="0.3">
      <c r="B775" s="3"/>
      <c r="Q775" s="1"/>
      <c r="R775" s="1"/>
      <c r="S775" s="2"/>
      <c r="T775" s="2">
        <v>661</v>
      </c>
      <c r="U775" s="48" t="s">
        <v>91</v>
      </c>
      <c r="V775" s="2"/>
      <c r="W775" s="2"/>
      <c r="X775" s="2"/>
      <c r="Y775" s="3"/>
      <c r="Z775" s="3"/>
      <c r="AA775" s="3"/>
      <c r="AB775" s="3"/>
      <c r="AC775" s="3"/>
      <c r="AD775" s="3"/>
      <c r="AE775" s="3"/>
      <c r="AF775" s="3"/>
      <c r="AG775" s="3"/>
      <c r="AH775" s="3"/>
      <c r="AI775" s="3"/>
      <c r="AJ775" s="3"/>
      <c r="AK775" s="3"/>
      <c r="AL775" s="3"/>
      <c r="AM775" s="3"/>
      <c r="AN775" s="3"/>
      <c r="AO775" s="3"/>
      <c r="AP775" s="3"/>
      <c r="AQ775" s="3"/>
      <c r="AR775" s="3"/>
      <c r="AS775" s="3"/>
      <c r="AT775" s="3"/>
      <c r="AU775" s="3"/>
    </row>
    <row r="776" spans="2:47" ht="14.25" customHeight="1" x14ac:dyDescent="0.3">
      <c r="B776" s="3"/>
      <c r="Q776" s="1"/>
      <c r="R776" s="1"/>
      <c r="S776" s="2"/>
      <c r="T776" s="2">
        <v>662</v>
      </c>
      <c r="U776" s="48" t="s">
        <v>91</v>
      </c>
      <c r="V776" s="2"/>
      <c r="W776" s="2"/>
      <c r="X776" s="2"/>
      <c r="Y776" s="3"/>
      <c r="Z776" s="3"/>
      <c r="AA776" s="3"/>
      <c r="AB776" s="3"/>
      <c r="AC776" s="3"/>
      <c r="AD776" s="3"/>
      <c r="AE776" s="3"/>
      <c r="AF776" s="3"/>
      <c r="AG776" s="3"/>
      <c r="AH776" s="3"/>
      <c r="AI776" s="3"/>
      <c r="AJ776" s="3"/>
      <c r="AK776" s="3"/>
      <c r="AL776" s="3"/>
      <c r="AM776" s="3"/>
      <c r="AN776" s="3"/>
      <c r="AO776" s="3"/>
      <c r="AP776" s="3"/>
      <c r="AQ776" s="3"/>
      <c r="AR776" s="3"/>
      <c r="AS776" s="3"/>
      <c r="AT776" s="3"/>
      <c r="AU776" s="3"/>
    </row>
    <row r="777" spans="2:47" ht="14.25" customHeight="1" x14ac:dyDescent="0.3">
      <c r="B777" s="3"/>
      <c r="Q777" s="1"/>
      <c r="R777" s="1"/>
      <c r="S777" s="2"/>
      <c r="T777" s="2">
        <v>663</v>
      </c>
      <c r="U777" s="48" t="s">
        <v>91</v>
      </c>
      <c r="V777" s="2"/>
      <c r="W777" s="2"/>
      <c r="X777" s="2"/>
      <c r="Y777" s="3"/>
      <c r="Z777" s="3"/>
      <c r="AA777" s="3"/>
      <c r="AB777" s="3"/>
      <c r="AC777" s="3"/>
      <c r="AD777" s="3"/>
      <c r="AE777" s="3"/>
      <c r="AF777" s="3"/>
      <c r="AG777" s="3"/>
      <c r="AH777" s="3"/>
      <c r="AI777" s="3"/>
      <c r="AJ777" s="3"/>
      <c r="AK777" s="3"/>
      <c r="AL777" s="3"/>
      <c r="AM777" s="3"/>
      <c r="AN777" s="3"/>
      <c r="AO777" s="3"/>
      <c r="AP777" s="3"/>
      <c r="AQ777" s="3"/>
      <c r="AR777" s="3"/>
      <c r="AS777" s="3"/>
      <c r="AT777" s="3"/>
      <c r="AU777" s="3"/>
    </row>
    <row r="778" spans="2:47" ht="14.25" customHeight="1" x14ac:dyDescent="0.3">
      <c r="B778" s="3"/>
      <c r="Q778" s="1"/>
      <c r="R778" s="1"/>
      <c r="S778" s="2"/>
      <c r="T778" s="2">
        <v>664</v>
      </c>
      <c r="U778" s="48" t="s">
        <v>91</v>
      </c>
      <c r="V778" s="2"/>
      <c r="W778" s="2"/>
      <c r="X778" s="2"/>
      <c r="Y778" s="3"/>
      <c r="Z778" s="3"/>
      <c r="AA778" s="3"/>
      <c r="AB778" s="3"/>
      <c r="AC778" s="3"/>
      <c r="AD778" s="3"/>
      <c r="AE778" s="3"/>
      <c r="AF778" s="3"/>
      <c r="AG778" s="3"/>
      <c r="AH778" s="3"/>
      <c r="AI778" s="3"/>
      <c r="AJ778" s="3"/>
      <c r="AK778" s="3"/>
      <c r="AL778" s="3"/>
      <c r="AM778" s="3"/>
      <c r="AN778" s="3"/>
      <c r="AO778" s="3"/>
      <c r="AP778" s="3"/>
      <c r="AQ778" s="3"/>
      <c r="AR778" s="3"/>
      <c r="AS778" s="3"/>
      <c r="AT778" s="3"/>
      <c r="AU778" s="3"/>
    </row>
    <row r="779" spans="2:47" ht="14.25" customHeight="1" x14ac:dyDescent="0.3">
      <c r="B779" s="3"/>
      <c r="Q779" s="1"/>
      <c r="R779" s="1"/>
      <c r="S779" s="2"/>
      <c r="T779" s="2">
        <v>665</v>
      </c>
      <c r="U779" s="48" t="s">
        <v>91</v>
      </c>
      <c r="V779" s="2"/>
      <c r="W779" s="2"/>
      <c r="X779" s="2"/>
      <c r="Y779" s="3"/>
      <c r="Z779" s="3"/>
      <c r="AA779" s="3"/>
      <c r="AB779" s="3"/>
      <c r="AC779" s="3"/>
      <c r="AD779" s="3"/>
      <c r="AE779" s="3"/>
      <c r="AF779" s="3"/>
      <c r="AG779" s="3"/>
      <c r="AH779" s="3"/>
      <c r="AI779" s="3"/>
      <c r="AJ779" s="3"/>
      <c r="AK779" s="3"/>
      <c r="AL779" s="3"/>
      <c r="AM779" s="3"/>
      <c r="AN779" s="3"/>
      <c r="AO779" s="3"/>
      <c r="AP779" s="3"/>
      <c r="AQ779" s="3"/>
      <c r="AR779" s="3"/>
      <c r="AS779" s="3"/>
      <c r="AT779" s="3"/>
      <c r="AU779" s="3"/>
    </row>
    <row r="780" spans="2:47" ht="14.25" customHeight="1" x14ac:dyDescent="0.3">
      <c r="B780" s="3"/>
      <c r="Q780" s="1"/>
      <c r="R780" s="1"/>
      <c r="S780" s="2"/>
      <c r="T780" s="2">
        <v>666</v>
      </c>
      <c r="U780" s="48" t="s">
        <v>91</v>
      </c>
      <c r="V780" s="2"/>
      <c r="W780" s="2"/>
      <c r="X780" s="2"/>
      <c r="Y780" s="3"/>
      <c r="Z780" s="3"/>
      <c r="AA780" s="3"/>
      <c r="AB780" s="3"/>
      <c r="AC780" s="3"/>
      <c r="AD780" s="3"/>
      <c r="AE780" s="3"/>
      <c r="AF780" s="3"/>
      <c r="AG780" s="3"/>
      <c r="AH780" s="3"/>
      <c r="AI780" s="3"/>
      <c r="AJ780" s="3"/>
      <c r="AK780" s="3"/>
      <c r="AL780" s="3"/>
      <c r="AM780" s="3"/>
      <c r="AN780" s="3"/>
      <c r="AO780" s="3"/>
      <c r="AP780" s="3"/>
      <c r="AQ780" s="3"/>
      <c r="AR780" s="3"/>
      <c r="AS780" s="3"/>
      <c r="AT780" s="3"/>
      <c r="AU780" s="3"/>
    </row>
    <row r="781" spans="2:47" ht="14.25" customHeight="1" x14ac:dyDescent="0.3">
      <c r="B781" s="3"/>
      <c r="Q781" s="1"/>
      <c r="R781" s="1"/>
      <c r="S781" s="2"/>
      <c r="T781" s="2">
        <v>667</v>
      </c>
      <c r="U781" s="48" t="s">
        <v>91</v>
      </c>
      <c r="V781" s="2"/>
      <c r="W781" s="2"/>
      <c r="X781" s="2"/>
      <c r="Y781" s="3"/>
      <c r="Z781" s="3"/>
      <c r="AA781" s="3"/>
      <c r="AB781" s="3"/>
      <c r="AC781" s="3"/>
      <c r="AD781" s="3"/>
      <c r="AE781" s="3"/>
      <c r="AF781" s="3"/>
      <c r="AG781" s="3"/>
      <c r="AH781" s="3"/>
      <c r="AI781" s="3"/>
      <c r="AJ781" s="3"/>
      <c r="AK781" s="3"/>
      <c r="AL781" s="3"/>
      <c r="AM781" s="3"/>
      <c r="AN781" s="3"/>
      <c r="AO781" s="3"/>
      <c r="AP781" s="3"/>
      <c r="AQ781" s="3"/>
      <c r="AR781" s="3"/>
      <c r="AS781" s="3"/>
      <c r="AT781" s="3"/>
      <c r="AU781" s="3"/>
    </row>
    <row r="782" spans="2:47" ht="14.25" customHeight="1" x14ac:dyDescent="0.3">
      <c r="B782" s="3"/>
      <c r="Q782" s="1"/>
      <c r="R782" s="1"/>
      <c r="S782" s="2"/>
      <c r="T782" s="2">
        <v>668</v>
      </c>
      <c r="U782" s="48" t="s">
        <v>91</v>
      </c>
      <c r="V782" s="2"/>
      <c r="W782" s="2"/>
      <c r="X782" s="2"/>
      <c r="Y782" s="3"/>
      <c r="Z782" s="3"/>
      <c r="AA782" s="3"/>
      <c r="AB782" s="3"/>
      <c r="AC782" s="3"/>
      <c r="AD782" s="3"/>
      <c r="AE782" s="3"/>
      <c r="AF782" s="3"/>
      <c r="AG782" s="3"/>
      <c r="AH782" s="3"/>
      <c r="AI782" s="3"/>
      <c r="AJ782" s="3"/>
      <c r="AK782" s="3"/>
      <c r="AL782" s="3"/>
      <c r="AM782" s="3"/>
      <c r="AN782" s="3"/>
      <c r="AO782" s="3"/>
      <c r="AP782" s="3"/>
      <c r="AQ782" s="3"/>
      <c r="AR782" s="3"/>
      <c r="AS782" s="3"/>
      <c r="AT782" s="3"/>
      <c r="AU782" s="3"/>
    </row>
    <row r="783" spans="2:47" ht="14.25" customHeight="1" x14ac:dyDescent="0.3">
      <c r="B783" s="3"/>
      <c r="Q783" s="1"/>
      <c r="R783" s="1"/>
      <c r="S783" s="2"/>
      <c r="T783" s="2">
        <v>669</v>
      </c>
      <c r="U783" s="48" t="s">
        <v>91</v>
      </c>
      <c r="V783" s="2"/>
      <c r="W783" s="2"/>
      <c r="X783" s="2"/>
      <c r="Y783" s="3"/>
      <c r="Z783" s="3"/>
      <c r="AA783" s="3"/>
      <c r="AB783" s="3"/>
      <c r="AC783" s="3"/>
      <c r="AD783" s="3"/>
      <c r="AE783" s="3"/>
      <c r="AF783" s="3"/>
      <c r="AG783" s="3"/>
      <c r="AH783" s="3"/>
      <c r="AI783" s="3"/>
      <c r="AJ783" s="3"/>
      <c r="AK783" s="3"/>
      <c r="AL783" s="3"/>
      <c r="AM783" s="3"/>
      <c r="AN783" s="3"/>
      <c r="AO783" s="3"/>
      <c r="AP783" s="3"/>
      <c r="AQ783" s="3"/>
      <c r="AR783" s="3"/>
      <c r="AS783" s="3"/>
      <c r="AT783" s="3"/>
      <c r="AU783" s="3"/>
    </row>
    <row r="784" spans="2:47" ht="14.25" customHeight="1" x14ac:dyDescent="0.3">
      <c r="B784" s="3"/>
      <c r="Q784" s="1"/>
      <c r="R784" s="1"/>
      <c r="S784" s="2"/>
      <c r="T784" s="2">
        <v>670</v>
      </c>
      <c r="U784" s="48" t="s">
        <v>91</v>
      </c>
      <c r="V784" s="2"/>
      <c r="W784" s="2"/>
      <c r="X784" s="2"/>
      <c r="Y784" s="3"/>
      <c r="Z784" s="3"/>
      <c r="AA784" s="3"/>
      <c r="AB784" s="3"/>
      <c r="AC784" s="3"/>
      <c r="AD784" s="3"/>
      <c r="AE784" s="3"/>
      <c r="AF784" s="3"/>
      <c r="AG784" s="3"/>
      <c r="AH784" s="3"/>
      <c r="AI784" s="3"/>
      <c r="AJ784" s="3"/>
      <c r="AK784" s="3"/>
      <c r="AL784" s="3"/>
      <c r="AM784" s="3"/>
      <c r="AN784" s="3"/>
      <c r="AO784" s="3"/>
      <c r="AP784" s="3"/>
      <c r="AQ784" s="3"/>
      <c r="AR784" s="3"/>
      <c r="AS784" s="3"/>
      <c r="AT784" s="3"/>
      <c r="AU784" s="3"/>
    </row>
    <row r="785" spans="2:47" ht="14.25" customHeight="1" x14ac:dyDescent="0.3">
      <c r="B785" s="3"/>
      <c r="Q785" s="1"/>
      <c r="R785" s="1"/>
      <c r="S785" s="2"/>
      <c r="T785" s="2">
        <v>671</v>
      </c>
      <c r="U785" s="48" t="s">
        <v>91</v>
      </c>
      <c r="V785" s="2"/>
      <c r="W785" s="2"/>
      <c r="X785" s="2"/>
      <c r="Y785" s="3"/>
      <c r="Z785" s="3"/>
      <c r="AA785" s="3"/>
      <c r="AB785" s="3"/>
      <c r="AC785" s="3"/>
      <c r="AD785" s="3"/>
      <c r="AE785" s="3"/>
      <c r="AF785" s="3"/>
      <c r="AG785" s="3"/>
      <c r="AH785" s="3"/>
      <c r="AI785" s="3"/>
      <c r="AJ785" s="3"/>
      <c r="AK785" s="3"/>
      <c r="AL785" s="3"/>
      <c r="AM785" s="3"/>
      <c r="AN785" s="3"/>
      <c r="AO785" s="3"/>
      <c r="AP785" s="3"/>
      <c r="AQ785" s="3"/>
      <c r="AR785" s="3"/>
      <c r="AS785" s="3"/>
      <c r="AT785" s="3"/>
      <c r="AU785" s="3"/>
    </row>
    <row r="786" spans="2:47" ht="14.25" customHeight="1" x14ac:dyDescent="0.3">
      <c r="B786" s="3"/>
      <c r="Q786" s="1"/>
      <c r="R786" s="1"/>
      <c r="S786" s="2"/>
      <c r="T786" s="2">
        <v>672</v>
      </c>
      <c r="U786" s="48" t="s">
        <v>91</v>
      </c>
      <c r="V786" s="2"/>
      <c r="W786" s="2"/>
      <c r="X786" s="2"/>
      <c r="Y786" s="3"/>
      <c r="Z786" s="3"/>
      <c r="AA786" s="3"/>
      <c r="AB786" s="3"/>
      <c r="AC786" s="3"/>
      <c r="AD786" s="3"/>
      <c r="AE786" s="3"/>
      <c r="AF786" s="3"/>
      <c r="AG786" s="3"/>
      <c r="AH786" s="3"/>
      <c r="AI786" s="3"/>
      <c r="AJ786" s="3"/>
      <c r="AK786" s="3"/>
      <c r="AL786" s="3"/>
      <c r="AM786" s="3"/>
      <c r="AN786" s="3"/>
      <c r="AO786" s="3"/>
      <c r="AP786" s="3"/>
      <c r="AQ786" s="3"/>
      <c r="AR786" s="3"/>
      <c r="AS786" s="3"/>
      <c r="AT786" s="3"/>
      <c r="AU786" s="3"/>
    </row>
    <row r="787" spans="2:47" ht="14.25" customHeight="1" x14ac:dyDescent="0.3">
      <c r="B787" s="3"/>
      <c r="Q787" s="1"/>
      <c r="R787" s="1"/>
      <c r="S787" s="2"/>
      <c r="T787" s="2">
        <v>673</v>
      </c>
      <c r="U787" s="48" t="s">
        <v>91</v>
      </c>
      <c r="V787" s="2"/>
      <c r="W787" s="2"/>
      <c r="X787" s="2"/>
      <c r="Y787" s="3"/>
      <c r="Z787" s="3"/>
      <c r="AA787" s="3"/>
      <c r="AB787" s="3"/>
      <c r="AC787" s="3"/>
      <c r="AD787" s="3"/>
      <c r="AE787" s="3"/>
      <c r="AF787" s="3"/>
      <c r="AG787" s="3"/>
      <c r="AH787" s="3"/>
      <c r="AI787" s="3"/>
      <c r="AJ787" s="3"/>
      <c r="AK787" s="3"/>
      <c r="AL787" s="3"/>
      <c r="AM787" s="3"/>
      <c r="AN787" s="3"/>
      <c r="AO787" s="3"/>
      <c r="AP787" s="3"/>
      <c r="AQ787" s="3"/>
      <c r="AR787" s="3"/>
      <c r="AS787" s="3"/>
      <c r="AT787" s="3"/>
      <c r="AU787" s="3"/>
    </row>
    <row r="788" spans="2:47" ht="14.25" customHeight="1" x14ac:dyDescent="0.3">
      <c r="B788" s="3"/>
      <c r="Q788" s="1"/>
      <c r="R788" s="1"/>
      <c r="S788" s="2"/>
      <c r="T788" s="2">
        <v>674</v>
      </c>
      <c r="U788" s="48" t="s">
        <v>91</v>
      </c>
      <c r="V788" s="2"/>
      <c r="W788" s="2"/>
      <c r="X788" s="2"/>
      <c r="Y788" s="3"/>
      <c r="Z788" s="3"/>
      <c r="AA788" s="3"/>
      <c r="AB788" s="3"/>
      <c r="AC788" s="3"/>
      <c r="AD788" s="3"/>
      <c r="AE788" s="3"/>
      <c r="AF788" s="3"/>
      <c r="AG788" s="3"/>
      <c r="AH788" s="3"/>
      <c r="AI788" s="3"/>
      <c r="AJ788" s="3"/>
      <c r="AK788" s="3"/>
      <c r="AL788" s="3"/>
      <c r="AM788" s="3"/>
      <c r="AN788" s="3"/>
      <c r="AO788" s="3"/>
      <c r="AP788" s="3"/>
      <c r="AQ788" s="3"/>
      <c r="AR788" s="3"/>
      <c r="AS788" s="3"/>
      <c r="AT788" s="3"/>
      <c r="AU788" s="3"/>
    </row>
    <row r="789" spans="2:47" ht="14.25" customHeight="1" x14ac:dyDescent="0.3">
      <c r="B789" s="3"/>
      <c r="Q789" s="1"/>
      <c r="R789" s="1"/>
      <c r="S789" s="2"/>
      <c r="T789" s="2">
        <v>675</v>
      </c>
      <c r="U789" s="48" t="s">
        <v>91</v>
      </c>
      <c r="V789" s="2"/>
      <c r="W789" s="2"/>
      <c r="X789" s="2"/>
      <c r="Y789" s="3"/>
      <c r="Z789" s="3"/>
      <c r="AA789" s="3"/>
      <c r="AB789" s="3"/>
      <c r="AC789" s="3"/>
      <c r="AD789" s="3"/>
      <c r="AE789" s="3"/>
      <c r="AF789" s="3"/>
      <c r="AG789" s="3"/>
      <c r="AH789" s="3"/>
      <c r="AI789" s="3"/>
      <c r="AJ789" s="3"/>
      <c r="AK789" s="3"/>
      <c r="AL789" s="3"/>
      <c r="AM789" s="3"/>
      <c r="AN789" s="3"/>
      <c r="AO789" s="3"/>
      <c r="AP789" s="3"/>
      <c r="AQ789" s="3"/>
      <c r="AR789" s="3"/>
      <c r="AS789" s="3"/>
      <c r="AT789" s="3"/>
      <c r="AU789" s="3"/>
    </row>
    <row r="790" spans="2:47" ht="14.25" customHeight="1" x14ac:dyDescent="0.3">
      <c r="B790" s="3"/>
      <c r="Q790" s="1"/>
      <c r="R790" s="1"/>
      <c r="S790" s="2"/>
      <c r="T790" s="2">
        <v>676</v>
      </c>
      <c r="U790" s="48" t="s">
        <v>91</v>
      </c>
      <c r="V790" s="2"/>
      <c r="W790" s="2"/>
      <c r="X790" s="2"/>
      <c r="Y790" s="3"/>
      <c r="Z790" s="3"/>
      <c r="AA790" s="3"/>
      <c r="AB790" s="3"/>
      <c r="AC790" s="3"/>
      <c r="AD790" s="3"/>
      <c r="AE790" s="3"/>
      <c r="AF790" s="3"/>
      <c r="AG790" s="3"/>
      <c r="AH790" s="3"/>
      <c r="AI790" s="3"/>
      <c r="AJ790" s="3"/>
      <c r="AK790" s="3"/>
      <c r="AL790" s="3"/>
      <c r="AM790" s="3"/>
      <c r="AN790" s="3"/>
      <c r="AO790" s="3"/>
      <c r="AP790" s="3"/>
      <c r="AQ790" s="3"/>
      <c r="AR790" s="3"/>
      <c r="AS790" s="3"/>
      <c r="AT790" s="3"/>
      <c r="AU790" s="3"/>
    </row>
    <row r="791" spans="2:47" ht="14.25" customHeight="1" x14ac:dyDescent="0.3">
      <c r="B791" s="3"/>
      <c r="Q791" s="1"/>
      <c r="R791" s="1"/>
      <c r="S791" s="2"/>
      <c r="T791" s="2">
        <v>677</v>
      </c>
      <c r="U791" s="48" t="s">
        <v>91</v>
      </c>
      <c r="V791" s="2"/>
      <c r="W791" s="2"/>
      <c r="X791" s="2"/>
      <c r="Y791" s="3"/>
      <c r="Z791" s="3"/>
      <c r="AA791" s="3"/>
      <c r="AB791" s="3"/>
      <c r="AC791" s="3"/>
      <c r="AD791" s="3"/>
      <c r="AE791" s="3"/>
      <c r="AF791" s="3"/>
      <c r="AG791" s="3"/>
      <c r="AH791" s="3"/>
      <c r="AI791" s="3"/>
      <c r="AJ791" s="3"/>
      <c r="AK791" s="3"/>
      <c r="AL791" s="3"/>
      <c r="AM791" s="3"/>
      <c r="AN791" s="3"/>
      <c r="AO791" s="3"/>
      <c r="AP791" s="3"/>
      <c r="AQ791" s="3"/>
      <c r="AR791" s="3"/>
      <c r="AS791" s="3"/>
      <c r="AT791" s="3"/>
      <c r="AU791" s="3"/>
    </row>
    <row r="792" spans="2:47" ht="14.25" customHeight="1" x14ac:dyDescent="0.3">
      <c r="B792" s="3"/>
      <c r="Q792" s="1"/>
      <c r="R792" s="1"/>
      <c r="S792" s="2"/>
      <c r="T792" s="2">
        <v>678</v>
      </c>
      <c r="U792" s="48" t="s">
        <v>91</v>
      </c>
      <c r="V792" s="2"/>
      <c r="W792" s="2"/>
      <c r="X792" s="2"/>
      <c r="Y792" s="3"/>
      <c r="Z792" s="3"/>
      <c r="AA792" s="3"/>
      <c r="AB792" s="3"/>
      <c r="AC792" s="3"/>
      <c r="AD792" s="3"/>
      <c r="AE792" s="3"/>
      <c r="AF792" s="3"/>
      <c r="AG792" s="3"/>
      <c r="AH792" s="3"/>
      <c r="AI792" s="3"/>
      <c r="AJ792" s="3"/>
      <c r="AK792" s="3"/>
      <c r="AL792" s="3"/>
      <c r="AM792" s="3"/>
      <c r="AN792" s="3"/>
      <c r="AO792" s="3"/>
      <c r="AP792" s="3"/>
      <c r="AQ792" s="3"/>
      <c r="AR792" s="3"/>
      <c r="AS792" s="3"/>
      <c r="AT792" s="3"/>
      <c r="AU792" s="3"/>
    </row>
    <row r="793" spans="2:47" ht="14.25" customHeight="1" x14ac:dyDescent="0.3">
      <c r="B793" s="3"/>
      <c r="Q793" s="1"/>
      <c r="R793" s="1"/>
      <c r="S793" s="2"/>
      <c r="T793" s="2">
        <v>679</v>
      </c>
      <c r="U793" s="48" t="s">
        <v>91</v>
      </c>
      <c r="V793" s="2"/>
      <c r="W793" s="2"/>
      <c r="X793" s="2"/>
      <c r="Y793" s="3"/>
      <c r="Z793" s="3"/>
      <c r="AA793" s="3"/>
      <c r="AB793" s="3"/>
      <c r="AC793" s="3"/>
      <c r="AD793" s="3"/>
      <c r="AE793" s="3"/>
      <c r="AF793" s="3"/>
      <c r="AG793" s="3"/>
      <c r="AH793" s="3"/>
      <c r="AI793" s="3"/>
      <c r="AJ793" s="3"/>
      <c r="AK793" s="3"/>
      <c r="AL793" s="3"/>
      <c r="AM793" s="3"/>
      <c r="AN793" s="3"/>
      <c r="AO793" s="3"/>
      <c r="AP793" s="3"/>
      <c r="AQ793" s="3"/>
      <c r="AR793" s="3"/>
      <c r="AS793" s="3"/>
      <c r="AT793" s="3"/>
      <c r="AU793" s="3"/>
    </row>
    <row r="794" spans="2:47" ht="14.25" customHeight="1" x14ac:dyDescent="0.3">
      <c r="B794" s="3"/>
      <c r="Q794" s="1"/>
      <c r="R794" s="1"/>
      <c r="S794" s="2"/>
      <c r="T794" s="2">
        <v>680</v>
      </c>
      <c r="U794" s="48" t="s">
        <v>91</v>
      </c>
      <c r="V794" s="2"/>
      <c r="W794" s="2"/>
      <c r="X794" s="2"/>
      <c r="Y794" s="3"/>
      <c r="Z794" s="3"/>
      <c r="AA794" s="3"/>
      <c r="AB794" s="3"/>
      <c r="AC794" s="3"/>
      <c r="AD794" s="3"/>
      <c r="AE794" s="3"/>
      <c r="AF794" s="3"/>
      <c r="AG794" s="3"/>
      <c r="AH794" s="3"/>
      <c r="AI794" s="3"/>
      <c r="AJ794" s="3"/>
      <c r="AK794" s="3"/>
      <c r="AL794" s="3"/>
      <c r="AM794" s="3"/>
      <c r="AN794" s="3"/>
      <c r="AO794" s="3"/>
      <c r="AP794" s="3"/>
      <c r="AQ794" s="3"/>
      <c r="AR794" s="3"/>
      <c r="AS794" s="3"/>
      <c r="AT794" s="3"/>
      <c r="AU794" s="3"/>
    </row>
    <row r="795" spans="2:47" ht="14.25" customHeight="1" x14ac:dyDescent="0.3">
      <c r="B795" s="3"/>
      <c r="Q795" s="1"/>
      <c r="R795" s="1"/>
      <c r="S795" s="2"/>
      <c r="T795" s="2">
        <v>681</v>
      </c>
      <c r="U795" s="48" t="s">
        <v>91</v>
      </c>
      <c r="V795" s="2"/>
      <c r="W795" s="2"/>
      <c r="X795" s="2"/>
      <c r="Y795" s="3"/>
      <c r="Z795" s="3"/>
      <c r="AA795" s="3"/>
      <c r="AB795" s="3"/>
      <c r="AC795" s="3"/>
      <c r="AD795" s="3"/>
      <c r="AE795" s="3"/>
      <c r="AF795" s="3"/>
      <c r="AG795" s="3"/>
      <c r="AH795" s="3"/>
      <c r="AI795" s="3"/>
      <c r="AJ795" s="3"/>
      <c r="AK795" s="3"/>
      <c r="AL795" s="3"/>
      <c r="AM795" s="3"/>
      <c r="AN795" s="3"/>
      <c r="AO795" s="3"/>
      <c r="AP795" s="3"/>
      <c r="AQ795" s="3"/>
      <c r="AR795" s="3"/>
      <c r="AS795" s="3"/>
      <c r="AT795" s="3"/>
      <c r="AU795" s="3"/>
    </row>
    <row r="796" spans="2:47" ht="14.25" customHeight="1" x14ac:dyDescent="0.3">
      <c r="B796" s="3"/>
      <c r="Q796" s="1"/>
      <c r="R796" s="1"/>
      <c r="S796" s="2"/>
      <c r="T796" s="2">
        <v>682</v>
      </c>
      <c r="U796" s="48" t="s">
        <v>91</v>
      </c>
      <c r="V796" s="2"/>
      <c r="W796" s="2"/>
      <c r="X796" s="2"/>
      <c r="Y796" s="3"/>
      <c r="Z796" s="3"/>
      <c r="AA796" s="3"/>
      <c r="AB796" s="3"/>
      <c r="AC796" s="3"/>
      <c r="AD796" s="3"/>
      <c r="AE796" s="3"/>
      <c r="AF796" s="3"/>
      <c r="AG796" s="3"/>
      <c r="AH796" s="3"/>
      <c r="AI796" s="3"/>
      <c r="AJ796" s="3"/>
      <c r="AK796" s="3"/>
      <c r="AL796" s="3"/>
      <c r="AM796" s="3"/>
      <c r="AN796" s="3"/>
      <c r="AO796" s="3"/>
      <c r="AP796" s="3"/>
      <c r="AQ796" s="3"/>
      <c r="AR796" s="3"/>
      <c r="AS796" s="3"/>
      <c r="AT796" s="3"/>
      <c r="AU796" s="3"/>
    </row>
    <row r="797" spans="2:47" ht="14.25" customHeight="1" x14ac:dyDescent="0.3">
      <c r="B797" s="3"/>
      <c r="Q797" s="1"/>
      <c r="R797" s="1"/>
      <c r="S797" s="2"/>
      <c r="T797" s="2">
        <v>683</v>
      </c>
      <c r="U797" s="48" t="s">
        <v>91</v>
      </c>
      <c r="V797" s="2"/>
      <c r="W797" s="2"/>
      <c r="X797" s="2"/>
      <c r="Y797" s="3"/>
      <c r="Z797" s="3"/>
      <c r="AA797" s="3"/>
      <c r="AB797" s="3"/>
      <c r="AC797" s="3"/>
      <c r="AD797" s="3"/>
      <c r="AE797" s="3"/>
      <c r="AF797" s="3"/>
      <c r="AG797" s="3"/>
      <c r="AH797" s="3"/>
      <c r="AI797" s="3"/>
      <c r="AJ797" s="3"/>
      <c r="AK797" s="3"/>
      <c r="AL797" s="3"/>
      <c r="AM797" s="3"/>
      <c r="AN797" s="3"/>
      <c r="AO797" s="3"/>
      <c r="AP797" s="3"/>
      <c r="AQ797" s="3"/>
      <c r="AR797" s="3"/>
      <c r="AS797" s="3"/>
      <c r="AT797" s="3"/>
      <c r="AU797" s="3"/>
    </row>
    <row r="798" spans="2:47" ht="14.25" customHeight="1" x14ac:dyDescent="0.3">
      <c r="B798" s="3"/>
      <c r="Q798" s="1"/>
      <c r="R798" s="1"/>
      <c r="S798" s="2"/>
      <c r="T798" s="2">
        <v>684</v>
      </c>
      <c r="U798" s="48" t="s">
        <v>91</v>
      </c>
      <c r="V798" s="2"/>
      <c r="W798" s="2"/>
      <c r="X798" s="2"/>
      <c r="Y798" s="3"/>
      <c r="Z798" s="3"/>
      <c r="AA798" s="3"/>
      <c r="AB798" s="3"/>
      <c r="AC798" s="3"/>
      <c r="AD798" s="3"/>
      <c r="AE798" s="3"/>
      <c r="AF798" s="3"/>
      <c r="AG798" s="3"/>
      <c r="AH798" s="3"/>
      <c r="AI798" s="3"/>
      <c r="AJ798" s="3"/>
      <c r="AK798" s="3"/>
      <c r="AL798" s="3"/>
      <c r="AM798" s="3"/>
      <c r="AN798" s="3"/>
      <c r="AO798" s="3"/>
      <c r="AP798" s="3"/>
      <c r="AQ798" s="3"/>
      <c r="AR798" s="3"/>
      <c r="AS798" s="3"/>
      <c r="AT798" s="3"/>
      <c r="AU798" s="3"/>
    </row>
    <row r="799" spans="2:47" ht="14.25" customHeight="1" x14ac:dyDescent="0.3">
      <c r="B799" s="3"/>
      <c r="Q799" s="1"/>
      <c r="R799" s="1"/>
      <c r="S799" s="2"/>
      <c r="T799" s="2">
        <v>685</v>
      </c>
      <c r="U799" s="48" t="s">
        <v>91</v>
      </c>
      <c r="V799" s="2"/>
      <c r="W799" s="2"/>
      <c r="X799" s="2"/>
      <c r="Y799" s="3"/>
      <c r="Z799" s="3"/>
      <c r="AA799" s="3"/>
      <c r="AB799" s="3"/>
      <c r="AC799" s="3"/>
      <c r="AD799" s="3"/>
      <c r="AE799" s="3"/>
      <c r="AF799" s="3"/>
      <c r="AG799" s="3"/>
      <c r="AH799" s="3"/>
      <c r="AI799" s="3"/>
      <c r="AJ799" s="3"/>
      <c r="AK799" s="3"/>
      <c r="AL799" s="3"/>
      <c r="AM799" s="3"/>
      <c r="AN799" s="3"/>
      <c r="AO799" s="3"/>
      <c r="AP799" s="3"/>
      <c r="AQ799" s="3"/>
      <c r="AR799" s="3"/>
      <c r="AS799" s="3"/>
      <c r="AT799" s="3"/>
      <c r="AU799" s="3"/>
    </row>
    <row r="800" spans="2:47" ht="14.25" customHeight="1" x14ac:dyDescent="0.3">
      <c r="B800" s="3"/>
      <c r="Q800" s="1"/>
      <c r="R800" s="1"/>
      <c r="S800" s="2"/>
      <c r="T800" s="2">
        <v>686</v>
      </c>
      <c r="U800" s="48" t="s">
        <v>91</v>
      </c>
      <c r="V800" s="2"/>
      <c r="W800" s="2"/>
      <c r="X800" s="2"/>
      <c r="Y800" s="3"/>
      <c r="Z800" s="3"/>
      <c r="AA800" s="3"/>
      <c r="AB800" s="3"/>
      <c r="AC800" s="3"/>
      <c r="AD800" s="3"/>
      <c r="AE800" s="3"/>
      <c r="AF800" s="3"/>
      <c r="AG800" s="3"/>
      <c r="AH800" s="3"/>
      <c r="AI800" s="3"/>
      <c r="AJ800" s="3"/>
      <c r="AK800" s="3"/>
      <c r="AL800" s="3"/>
      <c r="AM800" s="3"/>
      <c r="AN800" s="3"/>
      <c r="AO800" s="3"/>
      <c r="AP800" s="3"/>
      <c r="AQ800" s="3"/>
      <c r="AR800" s="3"/>
      <c r="AS800" s="3"/>
      <c r="AT800" s="3"/>
      <c r="AU800" s="3"/>
    </row>
    <row r="801" spans="2:47" ht="14.25" customHeight="1" x14ac:dyDescent="0.3">
      <c r="B801" s="3"/>
      <c r="Q801" s="1"/>
      <c r="R801" s="1"/>
      <c r="S801" s="2"/>
      <c r="T801" s="2">
        <v>687</v>
      </c>
      <c r="U801" s="48" t="s">
        <v>91</v>
      </c>
      <c r="V801" s="2"/>
      <c r="W801" s="2"/>
      <c r="X801" s="2"/>
      <c r="Y801" s="3"/>
      <c r="Z801" s="3"/>
      <c r="AA801" s="3"/>
      <c r="AB801" s="3"/>
      <c r="AC801" s="3"/>
      <c r="AD801" s="3"/>
      <c r="AE801" s="3"/>
      <c r="AF801" s="3"/>
      <c r="AG801" s="3"/>
      <c r="AH801" s="3"/>
      <c r="AI801" s="3"/>
      <c r="AJ801" s="3"/>
      <c r="AK801" s="3"/>
      <c r="AL801" s="3"/>
      <c r="AM801" s="3"/>
      <c r="AN801" s="3"/>
      <c r="AO801" s="3"/>
      <c r="AP801" s="3"/>
      <c r="AQ801" s="3"/>
      <c r="AR801" s="3"/>
      <c r="AS801" s="3"/>
      <c r="AT801" s="3"/>
      <c r="AU801" s="3"/>
    </row>
    <row r="802" spans="2:47" ht="14.25" customHeight="1" x14ac:dyDescent="0.3">
      <c r="B802" s="3"/>
      <c r="Q802" s="1"/>
      <c r="R802" s="1"/>
      <c r="S802" s="2"/>
      <c r="T802" s="2">
        <v>688</v>
      </c>
      <c r="U802" s="48" t="s">
        <v>91</v>
      </c>
      <c r="V802" s="2"/>
      <c r="W802" s="2"/>
      <c r="X802" s="2"/>
      <c r="Y802" s="3"/>
      <c r="Z802" s="3"/>
      <c r="AA802" s="3"/>
      <c r="AB802" s="3"/>
      <c r="AC802" s="3"/>
      <c r="AD802" s="3"/>
      <c r="AE802" s="3"/>
      <c r="AF802" s="3"/>
      <c r="AG802" s="3"/>
      <c r="AH802" s="3"/>
      <c r="AI802" s="3"/>
      <c r="AJ802" s="3"/>
      <c r="AK802" s="3"/>
      <c r="AL802" s="3"/>
      <c r="AM802" s="3"/>
      <c r="AN802" s="3"/>
      <c r="AO802" s="3"/>
      <c r="AP802" s="3"/>
      <c r="AQ802" s="3"/>
      <c r="AR802" s="3"/>
      <c r="AS802" s="3"/>
      <c r="AT802" s="3"/>
      <c r="AU802" s="3"/>
    </row>
    <row r="803" spans="2:47" ht="14.25" customHeight="1" x14ac:dyDescent="0.3">
      <c r="B803" s="3"/>
      <c r="Q803" s="1"/>
      <c r="R803" s="1"/>
      <c r="S803" s="2"/>
      <c r="T803" s="2">
        <v>689</v>
      </c>
      <c r="U803" s="48" t="s">
        <v>91</v>
      </c>
      <c r="V803" s="2"/>
      <c r="W803" s="2"/>
      <c r="X803" s="2"/>
      <c r="Y803" s="3"/>
      <c r="Z803" s="3"/>
      <c r="AA803" s="3"/>
      <c r="AB803" s="3"/>
      <c r="AC803" s="3"/>
      <c r="AD803" s="3"/>
      <c r="AE803" s="3"/>
      <c r="AF803" s="3"/>
      <c r="AG803" s="3"/>
      <c r="AH803" s="3"/>
      <c r="AI803" s="3"/>
      <c r="AJ803" s="3"/>
      <c r="AK803" s="3"/>
      <c r="AL803" s="3"/>
      <c r="AM803" s="3"/>
      <c r="AN803" s="3"/>
      <c r="AO803" s="3"/>
      <c r="AP803" s="3"/>
      <c r="AQ803" s="3"/>
      <c r="AR803" s="3"/>
      <c r="AS803" s="3"/>
      <c r="AT803" s="3"/>
      <c r="AU803" s="3"/>
    </row>
    <row r="804" spans="2:47" ht="14.25" customHeight="1" x14ac:dyDescent="0.3">
      <c r="B804" s="3"/>
      <c r="Q804" s="1"/>
      <c r="R804" s="1"/>
      <c r="S804" s="2"/>
      <c r="T804" s="2">
        <v>690</v>
      </c>
      <c r="U804" s="48" t="s">
        <v>91</v>
      </c>
      <c r="V804" s="2"/>
      <c r="W804" s="2"/>
      <c r="X804" s="2"/>
      <c r="Y804" s="3"/>
      <c r="Z804" s="3"/>
      <c r="AA804" s="3"/>
      <c r="AB804" s="3"/>
      <c r="AC804" s="3"/>
      <c r="AD804" s="3"/>
      <c r="AE804" s="3"/>
      <c r="AF804" s="3"/>
      <c r="AG804" s="3"/>
      <c r="AH804" s="3"/>
      <c r="AI804" s="3"/>
      <c r="AJ804" s="3"/>
      <c r="AK804" s="3"/>
      <c r="AL804" s="3"/>
      <c r="AM804" s="3"/>
      <c r="AN804" s="3"/>
      <c r="AO804" s="3"/>
      <c r="AP804" s="3"/>
      <c r="AQ804" s="3"/>
      <c r="AR804" s="3"/>
      <c r="AS804" s="3"/>
      <c r="AT804" s="3"/>
      <c r="AU804" s="3"/>
    </row>
    <row r="805" spans="2:47" ht="14.25" customHeight="1" x14ac:dyDescent="0.3">
      <c r="B805" s="3"/>
      <c r="Q805" s="1"/>
      <c r="R805" s="1"/>
      <c r="S805" s="2"/>
      <c r="T805" s="2">
        <v>691</v>
      </c>
      <c r="U805" s="48" t="s">
        <v>91</v>
      </c>
      <c r="V805" s="2"/>
      <c r="W805" s="2"/>
      <c r="X805" s="2"/>
      <c r="Y805" s="3"/>
      <c r="Z805" s="3"/>
      <c r="AA805" s="3"/>
      <c r="AB805" s="3"/>
      <c r="AC805" s="3"/>
      <c r="AD805" s="3"/>
      <c r="AE805" s="3"/>
      <c r="AF805" s="3"/>
      <c r="AG805" s="3"/>
      <c r="AH805" s="3"/>
      <c r="AI805" s="3"/>
      <c r="AJ805" s="3"/>
      <c r="AK805" s="3"/>
      <c r="AL805" s="3"/>
      <c r="AM805" s="3"/>
      <c r="AN805" s="3"/>
      <c r="AO805" s="3"/>
      <c r="AP805" s="3"/>
      <c r="AQ805" s="3"/>
      <c r="AR805" s="3"/>
      <c r="AS805" s="3"/>
      <c r="AT805" s="3"/>
      <c r="AU805" s="3"/>
    </row>
    <row r="806" spans="2:47" ht="14.25" customHeight="1" x14ac:dyDescent="0.3">
      <c r="B806" s="3"/>
      <c r="Q806" s="1"/>
      <c r="R806" s="1"/>
      <c r="S806" s="2"/>
      <c r="T806" s="2">
        <v>692</v>
      </c>
      <c r="U806" s="48" t="s">
        <v>91</v>
      </c>
      <c r="V806" s="2"/>
      <c r="W806" s="2"/>
      <c r="X806" s="2"/>
      <c r="Y806" s="3"/>
      <c r="Z806" s="3"/>
      <c r="AA806" s="3"/>
      <c r="AB806" s="3"/>
      <c r="AC806" s="3"/>
      <c r="AD806" s="3"/>
      <c r="AE806" s="3"/>
      <c r="AF806" s="3"/>
      <c r="AG806" s="3"/>
      <c r="AH806" s="3"/>
      <c r="AI806" s="3"/>
      <c r="AJ806" s="3"/>
      <c r="AK806" s="3"/>
      <c r="AL806" s="3"/>
      <c r="AM806" s="3"/>
      <c r="AN806" s="3"/>
      <c r="AO806" s="3"/>
      <c r="AP806" s="3"/>
      <c r="AQ806" s="3"/>
      <c r="AR806" s="3"/>
      <c r="AS806" s="3"/>
      <c r="AT806" s="3"/>
      <c r="AU806" s="3"/>
    </row>
    <row r="807" spans="2:47" ht="14.25" customHeight="1" x14ac:dyDescent="0.3">
      <c r="B807" s="3"/>
      <c r="Q807" s="1"/>
      <c r="R807" s="1"/>
      <c r="S807" s="2"/>
      <c r="T807" s="2">
        <v>693</v>
      </c>
      <c r="U807" s="48" t="s">
        <v>91</v>
      </c>
      <c r="V807" s="2"/>
      <c r="W807" s="2"/>
      <c r="X807" s="2"/>
      <c r="Y807" s="3"/>
      <c r="Z807" s="3"/>
      <c r="AA807" s="3"/>
      <c r="AB807" s="3"/>
      <c r="AC807" s="3"/>
      <c r="AD807" s="3"/>
      <c r="AE807" s="3"/>
      <c r="AF807" s="3"/>
      <c r="AG807" s="3"/>
      <c r="AH807" s="3"/>
      <c r="AI807" s="3"/>
      <c r="AJ807" s="3"/>
      <c r="AK807" s="3"/>
      <c r="AL807" s="3"/>
      <c r="AM807" s="3"/>
      <c r="AN807" s="3"/>
      <c r="AO807" s="3"/>
      <c r="AP807" s="3"/>
      <c r="AQ807" s="3"/>
      <c r="AR807" s="3"/>
      <c r="AS807" s="3"/>
      <c r="AT807" s="3"/>
      <c r="AU807" s="3"/>
    </row>
    <row r="808" spans="2:47" ht="14.25" customHeight="1" x14ac:dyDescent="0.3">
      <c r="B808" s="3"/>
      <c r="Q808" s="1"/>
      <c r="R808" s="1"/>
      <c r="S808" s="2"/>
      <c r="T808" s="2">
        <v>694</v>
      </c>
      <c r="U808" s="48" t="s">
        <v>91</v>
      </c>
      <c r="V808" s="2"/>
      <c r="W808" s="2"/>
      <c r="X808" s="2"/>
      <c r="Y808" s="3"/>
      <c r="Z808" s="3"/>
      <c r="AA808" s="3"/>
      <c r="AB808" s="3"/>
      <c r="AC808" s="3"/>
      <c r="AD808" s="3"/>
      <c r="AE808" s="3"/>
      <c r="AF808" s="3"/>
      <c r="AG808" s="3"/>
      <c r="AH808" s="3"/>
      <c r="AI808" s="3"/>
      <c r="AJ808" s="3"/>
      <c r="AK808" s="3"/>
      <c r="AL808" s="3"/>
      <c r="AM808" s="3"/>
      <c r="AN808" s="3"/>
      <c r="AO808" s="3"/>
      <c r="AP808" s="3"/>
      <c r="AQ808" s="3"/>
      <c r="AR808" s="3"/>
      <c r="AS808" s="3"/>
      <c r="AT808" s="3"/>
      <c r="AU808" s="3"/>
    </row>
    <row r="809" spans="2:47" ht="14.25" customHeight="1" x14ac:dyDescent="0.3">
      <c r="B809" s="3"/>
      <c r="Q809" s="1"/>
      <c r="R809" s="1"/>
      <c r="S809" s="2"/>
      <c r="T809" s="2">
        <v>695</v>
      </c>
      <c r="U809" s="48" t="s">
        <v>91</v>
      </c>
      <c r="V809" s="2"/>
      <c r="W809" s="2"/>
      <c r="X809" s="2"/>
      <c r="Y809" s="3"/>
      <c r="Z809" s="3"/>
      <c r="AA809" s="3"/>
      <c r="AB809" s="3"/>
      <c r="AC809" s="3"/>
      <c r="AD809" s="3"/>
      <c r="AE809" s="3"/>
      <c r="AF809" s="3"/>
      <c r="AG809" s="3"/>
      <c r="AH809" s="3"/>
      <c r="AI809" s="3"/>
      <c r="AJ809" s="3"/>
      <c r="AK809" s="3"/>
      <c r="AL809" s="3"/>
      <c r="AM809" s="3"/>
      <c r="AN809" s="3"/>
      <c r="AO809" s="3"/>
      <c r="AP809" s="3"/>
      <c r="AQ809" s="3"/>
      <c r="AR809" s="3"/>
      <c r="AS809" s="3"/>
      <c r="AT809" s="3"/>
      <c r="AU809" s="3"/>
    </row>
    <row r="810" spans="2:47" ht="14.25" customHeight="1" x14ac:dyDescent="0.3">
      <c r="B810" s="3"/>
      <c r="Q810" s="1"/>
      <c r="R810" s="1"/>
      <c r="S810" s="2"/>
      <c r="T810" s="2">
        <v>696</v>
      </c>
      <c r="U810" s="48" t="s">
        <v>91</v>
      </c>
      <c r="V810" s="2"/>
      <c r="W810" s="2"/>
      <c r="X810" s="2"/>
      <c r="Y810" s="3"/>
      <c r="Z810" s="3"/>
      <c r="AA810" s="3"/>
      <c r="AB810" s="3"/>
      <c r="AC810" s="3"/>
      <c r="AD810" s="3"/>
      <c r="AE810" s="3"/>
      <c r="AF810" s="3"/>
      <c r="AG810" s="3"/>
      <c r="AH810" s="3"/>
      <c r="AI810" s="3"/>
      <c r="AJ810" s="3"/>
      <c r="AK810" s="3"/>
      <c r="AL810" s="3"/>
      <c r="AM810" s="3"/>
      <c r="AN810" s="3"/>
      <c r="AO810" s="3"/>
      <c r="AP810" s="3"/>
      <c r="AQ810" s="3"/>
      <c r="AR810" s="3"/>
      <c r="AS810" s="3"/>
      <c r="AT810" s="3"/>
      <c r="AU810" s="3"/>
    </row>
    <row r="811" spans="2:47" ht="14.25" customHeight="1" x14ac:dyDescent="0.3">
      <c r="B811" s="3"/>
      <c r="Q811" s="1"/>
      <c r="R811" s="1"/>
      <c r="S811" s="2"/>
      <c r="T811" s="2">
        <v>697</v>
      </c>
      <c r="U811" s="48" t="s">
        <v>91</v>
      </c>
      <c r="V811" s="2"/>
      <c r="W811" s="2"/>
      <c r="X811" s="2"/>
      <c r="Y811" s="3"/>
      <c r="Z811" s="3"/>
      <c r="AA811" s="3"/>
      <c r="AB811" s="3"/>
      <c r="AC811" s="3"/>
      <c r="AD811" s="3"/>
      <c r="AE811" s="3"/>
      <c r="AF811" s="3"/>
      <c r="AG811" s="3"/>
      <c r="AH811" s="3"/>
      <c r="AI811" s="3"/>
      <c r="AJ811" s="3"/>
      <c r="AK811" s="3"/>
      <c r="AL811" s="3"/>
      <c r="AM811" s="3"/>
      <c r="AN811" s="3"/>
      <c r="AO811" s="3"/>
      <c r="AP811" s="3"/>
      <c r="AQ811" s="3"/>
      <c r="AR811" s="3"/>
      <c r="AS811" s="3"/>
      <c r="AT811" s="3"/>
      <c r="AU811" s="3"/>
    </row>
    <row r="812" spans="2:47" ht="14.25" customHeight="1" x14ac:dyDescent="0.3">
      <c r="B812" s="3"/>
      <c r="Q812" s="1"/>
      <c r="R812" s="1"/>
      <c r="S812" s="2"/>
      <c r="T812" s="2">
        <v>698</v>
      </c>
      <c r="U812" s="48" t="s">
        <v>91</v>
      </c>
      <c r="V812" s="2"/>
      <c r="W812" s="2"/>
      <c r="X812" s="2"/>
      <c r="Y812" s="3"/>
      <c r="Z812" s="3"/>
      <c r="AA812" s="3"/>
      <c r="AB812" s="3"/>
      <c r="AC812" s="3"/>
      <c r="AD812" s="3"/>
      <c r="AE812" s="3"/>
      <c r="AF812" s="3"/>
      <c r="AG812" s="3"/>
      <c r="AH812" s="3"/>
      <c r="AI812" s="3"/>
      <c r="AJ812" s="3"/>
      <c r="AK812" s="3"/>
      <c r="AL812" s="3"/>
      <c r="AM812" s="3"/>
      <c r="AN812" s="3"/>
      <c r="AO812" s="3"/>
      <c r="AP812" s="3"/>
      <c r="AQ812" s="3"/>
      <c r="AR812" s="3"/>
      <c r="AS812" s="3"/>
      <c r="AT812" s="3"/>
      <c r="AU812" s="3"/>
    </row>
    <row r="813" spans="2:47" ht="14.25" customHeight="1" x14ac:dyDescent="0.3">
      <c r="B813" s="3"/>
      <c r="Q813" s="1"/>
      <c r="R813" s="1"/>
      <c r="S813" s="2"/>
      <c r="T813" s="2">
        <v>699</v>
      </c>
      <c r="U813" s="48" t="s">
        <v>91</v>
      </c>
      <c r="V813" s="2"/>
      <c r="W813" s="2"/>
      <c r="X813" s="2"/>
      <c r="Y813" s="3"/>
      <c r="Z813" s="3"/>
      <c r="AA813" s="3"/>
      <c r="AB813" s="3"/>
      <c r="AC813" s="3"/>
      <c r="AD813" s="3"/>
      <c r="AE813" s="3"/>
      <c r="AF813" s="3"/>
      <c r="AG813" s="3"/>
      <c r="AH813" s="3"/>
      <c r="AI813" s="3"/>
      <c r="AJ813" s="3"/>
      <c r="AK813" s="3"/>
      <c r="AL813" s="3"/>
      <c r="AM813" s="3"/>
      <c r="AN813" s="3"/>
      <c r="AO813" s="3"/>
      <c r="AP813" s="3"/>
      <c r="AQ813" s="3"/>
      <c r="AR813" s="3"/>
      <c r="AS813" s="3"/>
      <c r="AT813" s="3"/>
      <c r="AU813" s="3"/>
    </row>
    <row r="814" spans="2:47" ht="14.25" customHeight="1" x14ac:dyDescent="0.3">
      <c r="B814" s="3"/>
      <c r="Q814" s="1"/>
      <c r="R814" s="1"/>
      <c r="S814" s="2"/>
      <c r="T814" s="2">
        <v>700</v>
      </c>
      <c r="U814" s="48" t="s">
        <v>91</v>
      </c>
      <c r="V814" s="2"/>
      <c r="W814" s="2"/>
      <c r="X814" s="2"/>
      <c r="Y814" s="3"/>
      <c r="Z814" s="3"/>
      <c r="AA814" s="3"/>
      <c r="AB814" s="3"/>
      <c r="AC814" s="3"/>
      <c r="AD814" s="3"/>
      <c r="AE814" s="3"/>
      <c r="AF814" s="3"/>
      <c r="AG814" s="3"/>
      <c r="AH814" s="3"/>
      <c r="AI814" s="3"/>
      <c r="AJ814" s="3"/>
      <c r="AK814" s="3"/>
      <c r="AL814" s="3"/>
      <c r="AM814" s="3"/>
      <c r="AN814" s="3"/>
      <c r="AO814" s="3"/>
      <c r="AP814" s="3"/>
      <c r="AQ814" s="3"/>
      <c r="AR814" s="3"/>
      <c r="AS814" s="3"/>
      <c r="AT814" s="3"/>
      <c r="AU814" s="3"/>
    </row>
    <row r="815" spans="2:47" ht="14.25" customHeight="1" x14ac:dyDescent="0.3">
      <c r="B815" s="3"/>
      <c r="Q815" s="1"/>
      <c r="R815" s="1"/>
      <c r="S815" s="2"/>
      <c r="T815" s="2">
        <v>701</v>
      </c>
      <c r="U815" s="48" t="s">
        <v>91</v>
      </c>
      <c r="V815" s="2"/>
      <c r="W815" s="2"/>
      <c r="X815" s="2"/>
      <c r="Y815" s="3"/>
      <c r="Z815" s="3"/>
      <c r="AA815" s="3"/>
      <c r="AB815" s="3"/>
      <c r="AC815" s="3"/>
      <c r="AD815" s="3"/>
      <c r="AE815" s="3"/>
      <c r="AF815" s="3"/>
      <c r="AG815" s="3"/>
      <c r="AH815" s="3"/>
      <c r="AI815" s="3"/>
      <c r="AJ815" s="3"/>
      <c r="AK815" s="3"/>
      <c r="AL815" s="3"/>
      <c r="AM815" s="3"/>
      <c r="AN815" s="3"/>
      <c r="AO815" s="3"/>
      <c r="AP815" s="3"/>
      <c r="AQ815" s="3"/>
      <c r="AR815" s="3"/>
      <c r="AS815" s="3"/>
      <c r="AT815" s="3"/>
      <c r="AU815" s="3"/>
    </row>
    <row r="816" spans="2:47" ht="14.25" customHeight="1" x14ac:dyDescent="0.3">
      <c r="B816" s="3"/>
      <c r="Q816" s="1"/>
      <c r="R816" s="1"/>
      <c r="S816" s="2"/>
      <c r="T816" s="2">
        <v>702</v>
      </c>
      <c r="U816" s="48" t="s">
        <v>91</v>
      </c>
      <c r="V816" s="2"/>
      <c r="W816" s="2"/>
      <c r="X816" s="2"/>
      <c r="Y816" s="3"/>
      <c r="Z816" s="3"/>
      <c r="AA816" s="3"/>
      <c r="AB816" s="3"/>
      <c r="AC816" s="3"/>
      <c r="AD816" s="3"/>
      <c r="AE816" s="3"/>
      <c r="AF816" s="3"/>
      <c r="AG816" s="3"/>
      <c r="AH816" s="3"/>
      <c r="AI816" s="3"/>
      <c r="AJ816" s="3"/>
      <c r="AK816" s="3"/>
      <c r="AL816" s="3"/>
      <c r="AM816" s="3"/>
      <c r="AN816" s="3"/>
      <c r="AO816" s="3"/>
      <c r="AP816" s="3"/>
      <c r="AQ816" s="3"/>
      <c r="AR816" s="3"/>
      <c r="AS816" s="3"/>
      <c r="AT816" s="3"/>
      <c r="AU816" s="3"/>
    </row>
    <row r="817" spans="2:47" ht="14.25" customHeight="1" x14ac:dyDescent="0.3">
      <c r="B817" s="3"/>
      <c r="Q817" s="1"/>
      <c r="R817" s="1"/>
      <c r="S817" s="2"/>
      <c r="T817" s="2">
        <v>703</v>
      </c>
      <c r="U817" s="48" t="s">
        <v>91</v>
      </c>
      <c r="V817" s="2"/>
      <c r="W817" s="2"/>
      <c r="X817" s="2"/>
      <c r="Y817" s="3"/>
      <c r="Z817" s="3"/>
      <c r="AA817" s="3"/>
      <c r="AB817" s="3"/>
      <c r="AC817" s="3"/>
      <c r="AD817" s="3"/>
      <c r="AE817" s="3"/>
      <c r="AF817" s="3"/>
      <c r="AG817" s="3"/>
      <c r="AH817" s="3"/>
      <c r="AI817" s="3"/>
      <c r="AJ817" s="3"/>
      <c r="AK817" s="3"/>
      <c r="AL817" s="3"/>
      <c r="AM817" s="3"/>
      <c r="AN817" s="3"/>
      <c r="AO817" s="3"/>
      <c r="AP817" s="3"/>
      <c r="AQ817" s="3"/>
      <c r="AR817" s="3"/>
      <c r="AS817" s="3"/>
      <c r="AT817" s="3"/>
      <c r="AU817" s="3"/>
    </row>
    <row r="818" spans="2:47" ht="14.25" customHeight="1" x14ac:dyDescent="0.3">
      <c r="B818" s="3"/>
      <c r="Q818" s="1"/>
      <c r="R818" s="1"/>
      <c r="S818" s="2"/>
      <c r="T818" s="2">
        <v>704</v>
      </c>
      <c r="U818" s="48" t="s">
        <v>91</v>
      </c>
      <c r="V818" s="2"/>
      <c r="W818" s="2"/>
      <c r="X818" s="2"/>
      <c r="Y818" s="3"/>
      <c r="Z818" s="3"/>
      <c r="AA818" s="3"/>
      <c r="AB818" s="3"/>
      <c r="AC818" s="3"/>
      <c r="AD818" s="3"/>
      <c r="AE818" s="3"/>
      <c r="AF818" s="3"/>
      <c r="AG818" s="3"/>
      <c r="AH818" s="3"/>
      <c r="AI818" s="3"/>
      <c r="AJ818" s="3"/>
      <c r="AK818" s="3"/>
      <c r="AL818" s="3"/>
      <c r="AM818" s="3"/>
      <c r="AN818" s="3"/>
      <c r="AO818" s="3"/>
      <c r="AP818" s="3"/>
      <c r="AQ818" s="3"/>
      <c r="AR818" s="3"/>
      <c r="AS818" s="3"/>
      <c r="AT818" s="3"/>
      <c r="AU818" s="3"/>
    </row>
    <row r="819" spans="2:47" ht="14.25" customHeight="1" x14ac:dyDescent="0.3">
      <c r="B819" s="3"/>
      <c r="Q819" s="1"/>
      <c r="R819" s="1"/>
      <c r="S819" s="2"/>
      <c r="T819" s="2">
        <v>705</v>
      </c>
      <c r="U819" s="48" t="s">
        <v>91</v>
      </c>
      <c r="V819" s="2"/>
      <c r="W819" s="2"/>
      <c r="X819" s="2"/>
      <c r="Y819" s="3"/>
      <c r="Z819" s="3"/>
      <c r="AA819" s="3"/>
      <c r="AB819" s="3"/>
      <c r="AC819" s="3"/>
      <c r="AD819" s="3"/>
      <c r="AE819" s="3"/>
      <c r="AF819" s="3"/>
      <c r="AG819" s="3"/>
      <c r="AH819" s="3"/>
      <c r="AI819" s="3"/>
      <c r="AJ819" s="3"/>
      <c r="AK819" s="3"/>
      <c r="AL819" s="3"/>
      <c r="AM819" s="3"/>
      <c r="AN819" s="3"/>
      <c r="AO819" s="3"/>
      <c r="AP819" s="3"/>
      <c r="AQ819" s="3"/>
      <c r="AR819" s="3"/>
      <c r="AS819" s="3"/>
      <c r="AT819" s="3"/>
      <c r="AU819" s="3"/>
    </row>
    <row r="820" spans="2:47" ht="14.25" customHeight="1" x14ac:dyDescent="0.3">
      <c r="B820" s="3"/>
      <c r="Q820" s="1"/>
      <c r="R820" s="1"/>
      <c r="S820" s="2"/>
      <c r="T820" s="2">
        <v>706</v>
      </c>
      <c r="U820" s="48" t="s">
        <v>91</v>
      </c>
      <c r="V820" s="2"/>
      <c r="W820" s="2"/>
      <c r="X820" s="2"/>
      <c r="Y820" s="3"/>
      <c r="Z820" s="3"/>
      <c r="AA820" s="3"/>
      <c r="AB820" s="3"/>
      <c r="AC820" s="3"/>
      <c r="AD820" s="3"/>
      <c r="AE820" s="3"/>
      <c r="AF820" s="3"/>
      <c r="AG820" s="3"/>
      <c r="AH820" s="3"/>
      <c r="AI820" s="3"/>
      <c r="AJ820" s="3"/>
      <c r="AK820" s="3"/>
      <c r="AL820" s="3"/>
      <c r="AM820" s="3"/>
      <c r="AN820" s="3"/>
      <c r="AO820" s="3"/>
      <c r="AP820" s="3"/>
      <c r="AQ820" s="3"/>
      <c r="AR820" s="3"/>
      <c r="AS820" s="3"/>
      <c r="AT820" s="3"/>
      <c r="AU820" s="3"/>
    </row>
    <row r="821" spans="2:47" ht="14.25" customHeight="1" x14ac:dyDescent="0.3">
      <c r="B821" s="3"/>
      <c r="Q821" s="1"/>
      <c r="R821" s="1"/>
      <c r="S821" s="2"/>
      <c r="T821" s="2">
        <v>707</v>
      </c>
      <c r="U821" s="48" t="s">
        <v>91</v>
      </c>
      <c r="V821" s="2"/>
      <c r="W821" s="2"/>
      <c r="X821" s="2"/>
      <c r="Y821" s="3"/>
      <c r="Z821" s="3"/>
      <c r="AA821" s="3"/>
      <c r="AB821" s="3"/>
      <c r="AC821" s="3"/>
      <c r="AD821" s="3"/>
      <c r="AE821" s="3"/>
      <c r="AF821" s="3"/>
      <c r="AG821" s="3"/>
      <c r="AH821" s="3"/>
      <c r="AI821" s="3"/>
      <c r="AJ821" s="3"/>
      <c r="AK821" s="3"/>
      <c r="AL821" s="3"/>
      <c r="AM821" s="3"/>
      <c r="AN821" s="3"/>
      <c r="AO821" s="3"/>
      <c r="AP821" s="3"/>
      <c r="AQ821" s="3"/>
      <c r="AR821" s="3"/>
      <c r="AS821" s="3"/>
      <c r="AT821" s="3"/>
      <c r="AU821" s="3"/>
    </row>
    <row r="822" spans="2:47" ht="14.25" customHeight="1" x14ac:dyDescent="0.3">
      <c r="B822" s="3"/>
      <c r="Q822" s="1"/>
      <c r="R822" s="1"/>
      <c r="S822" s="2"/>
      <c r="T822" s="2">
        <v>708</v>
      </c>
      <c r="U822" s="48" t="s">
        <v>91</v>
      </c>
      <c r="V822" s="2"/>
      <c r="W822" s="2"/>
      <c r="X822" s="2"/>
      <c r="Y822" s="3"/>
      <c r="Z822" s="3"/>
      <c r="AA822" s="3"/>
      <c r="AB822" s="3"/>
      <c r="AC822" s="3"/>
      <c r="AD822" s="3"/>
      <c r="AE822" s="3"/>
      <c r="AF822" s="3"/>
      <c r="AG822" s="3"/>
      <c r="AH822" s="3"/>
      <c r="AI822" s="3"/>
      <c r="AJ822" s="3"/>
      <c r="AK822" s="3"/>
      <c r="AL822" s="3"/>
      <c r="AM822" s="3"/>
      <c r="AN822" s="3"/>
      <c r="AO822" s="3"/>
      <c r="AP822" s="3"/>
      <c r="AQ822" s="3"/>
      <c r="AR822" s="3"/>
      <c r="AS822" s="3"/>
      <c r="AT822" s="3"/>
      <c r="AU822" s="3"/>
    </row>
    <row r="823" spans="2:47" ht="14.25" customHeight="1" x14ac:dyDescent="0.3">
      <c r="B823" s="3"/>
      <c r="Q823" s="1"/>
      <c r="R823" s="1"/>
      <c r="S823" s="2"/>
      <c r="T823" s="2">
        <v>709</v>
      </c>
      <c r="U823" s="48" t="s">
        <v>91</v>
      </c>
      <c r="V823" s="2"/>
      <c r="W823" s="2"/>
      <c r="X823" s="2"/>
      <c r="Y823" s="3"/>
      <c r="Z823" s="3"/>
      <c r="AA823" s="3"/>
      <c r="AB823" s="3"/>
      <c r="AC823" s="3"/>
      <c r="AD823" s="3"/>
      <c r="AE823" s="3"/>
      <c r="AF823" s="3"/>
      <c r="AG823" s="3"/>
      <c r="AH823" s="3"/>
      <c r="AI823" s="3"/>
      <c r="AJ823" s="3"/>
      <c r="AK823" s="3"/>
      <c r="AL823" s="3"/>
      <c r="AM823" s="3"/>
      <c r="AN823" s="3"/>
      <c r="AO823" s="3"/>
      <c r="AP823" s="3"/>
      <c r="AQ823" s="3"/>
      <c r="AR823" s="3"/>
      <c r="AS823" s="3"/>
      <c r="AT823" s="3"/>
      <c r="AU823" s="3"/>
    </row>
    <row r="824" spans="2:47" ht="14.25" customHeight="1" x14ac:dyDescent="0.3">
      <c r="B824" s="3"/>
      <c r="Q824" s="1"/>
      <c r="R824" s="1"/>
      <c r="S824" s="2"/>
      <c r="T824" s="2">
        <v>710</v>
      </c>
      <c r="U824" s="48" t="s">
        <v>91</v>
      </c>
      <c r="V824" s="2"/>
      <c r="W824" s="2"/>
      <c r="X824" s="2"/>
      <c r="Y824" s="3"/>
      <c r="Z824" s="3"/>
      <c r="AA824" s="3"/>
      <c r="AB824" s="3"/>
      <c r="AC824" s="3"/>
      <c r="AD824" s="3"/>
      <c r="AE824" s="3"/>
      <c r="AF824" s="3"/>
      <c r="AG824" s="3"/>
      <c r="AH824" s="3"/>
      <c r="AI824" s="3"/>
      <c r="AJ824" s="3"/>
      <c r="AK824" s="3"/>
      <c r="AL824" s="3"/>
      <c r="AM824" s="3"/>
      <c r="AN824" s="3"/>
      <c r="AO824" s="3"/>
      <c r="AP824" s="3"/>
      <c r="AQ824" s="3"/>
      <c r="AR824" s="3"/>
      <c r="AS824" s="3"/>
      <c r="AT824" s="3"/>
      <c r="AU824" s="3"/>
    </row>
    <row r="825" spans="2:47" ht="14.25" customHeight="1" x14ac:dyDescent="0.3">
      <c r="B825" s="3"/>
      <c r="Q825" s="1"/>
      <c r="R825" s="1"/>
      <c r="S825" s="2"/>
      <c r="T825" s="2">
        <v>711</v>
      </c>
      <c r="U825" s="48" t="s">
        <v>91</v>
      </c>
      <c r="V825" s="2"/>
      <c r="W825" s="2"/>
      <c r="X825" s="2"/>
      <c r="Y825" s="3"/>
      <c r="Z825" s="3"/>
      <c r="AA825" s="3"/>
      <c r="AB825" s="3"/>
      <c r="AC825" s="3"/>
      <c r="AD825" s="3"/>
      <c r="AE825" s="3"/>
      <c r="AF825" s="3"/>
      <c r="AG825" s="3"/>
      <c r="AH825" s="3"/>
      <c r="AI825" s="3"/>
      <c r="AJ825" s="3"/>
      <c r="AK825" s="3"/>
      <c r="AL825" s="3"/>
      <c r="AM825" s="3"/>
      <c r="AN825" s="3"/>
      <c r="AO825" s="3"/>
      <c r="AP825" s="3"/>
      <c r="AQ825" s="3"/>
      <c r="AR825" s="3"/>
      <c r="AS825" s="3"/>
      <c r="AT825" s="3"/>
      <c r="AU825" s="3"/>
    </row>
    <row r="826" spans="2:47" ht="14.25" customHeight="1" x14ac:dyDescent="0.3">
      <c r="B826" s="3"/>
      <c r="Q826" s="1"/>
      <c r="R826" s="1"/>
      <c r="S826" s="2"/>
      <c r="T826" s="2">
        <v>712</v>
      </c>
      <c r="U826" s="48" t="s">
        <v>91</v>
      </c>
      <c r="V826" s="2"/>
      <c r="W826" s="2"/>
      <c r="X826" s="2"/>
      <c r="Y826" s="3"/>
      <c r="Z826" s="3"/>
      <c r="AA826" s="3"/>
      <c r="AB826" s="3"/>
      <c r="AC826" s="3"/>
      <c r="AD826" s="3"/>
      <c r="AE826" s="3"/>
      <c r="AF826" s="3"/>
      <c r="AG826" s="3"/>
      <c r="AH826" s="3"/>
      <c r="AI826" s="3"/>
      <c r="AJ826" s="3"/>
      <c r="AK826" s="3"/>
      <c r="AL826" s="3"/>
      <c r="AM826" s="3"/>
      <c r="AN826" s="3"/>
      <c r="AO826" s="3"/>
      <c r="AP826" s="3"/>
      <c r="AQ826" s="3"/>
      <c r="AR826" s="3"/>
      <c r="AS826" s="3"/>
      <c r="AT826" s="3"/>
      <c r="AU826" s="3"/>
    </row>
    <row r="827" spans="2:47" ht="14.25" customHeight="1" x14ac:dyDescent="0.3">
      <c r="B827" s="3"/>
      <c r="Q827" s="1"/>
      <c r="R827" s="1"/>
      <c r="S827" s="2"/>
      <c r="T827" s="2">
        <v>713</v>
      </c>
      <c r="U827" s="48" t="s">
        <v>91</v>
      </c>
      <c r="V827" s="2"/>
      <c r="W827" s="2"/>
      <c r="X827" s="2"/>
      <c r="Y827" s="3"/>
      <c r="Z827" s="3"/>
      <c r="AA827" s="3"/>
      <c r="AB827" s="3"/>
      <c r="AC827" s="3"/>
      <c r="AD827" s="3"/>
      <c r="AE827" s="3"/>
      <c r="AF827" s="3"/>
      <c r="AG827" s="3"/>
      <c r="AH827" s="3"/>
      <c r="AI827" s="3"/>
      <c r="AJ827" s="3"/>
      <c r="AK827" s="3"/>
      <c r="AL827" s="3"/>
      <c r="AM827" s="3"/>
      <c r="AN827" s="3"/>
      <c r="AO827" s="3"/>
      <c r="AP827" s="3"/>
      <c r="AQ827" s="3"/>
      <c r="AR827" s="3"/>
      <c r="AS827" s="3"/>
      <c r="AT827" s="3"/>
      <c r="AU827" s="3"/>
    </row>
    <row r="828" spans="2:47" ht="14.25" customHeight="1" x14ac:dyDescent="0.3">
      <c r="B828" s="3"/>
      <c r="Q828" s="1"/>
      <c r="R828" s="1"/>
      <c r="S828" s="2"/>
      <c r="T828" s="2">
        <v>714</v>
      </c>
      <c r="U828" s="48" t="s">
        <v>91</v>
      </c>
      <c r="V828" s="2"/>
      <c r="W828" s="2"/>
      <c r="X828" s="2"/>
      <c r="Y828" s="3"/>
      <c r="Z828" s="3"/>
      <c r="AA828" s="3"/>
      <c r="AB828" s="3"/>
      <c r="AC828" s="3"/>
      <c r="AD828" s="3"/>
      <c r="AE828" s="3"/>
      <c r="AF828" s="3"/>
      <c r="AG828" s="3"/>
      <c r="AH828" s="3"/>
      <c r="AI828" s="3"/>
      <c r="AJ828" s="3"/>
      <c r="AK828" s="3"/>
      <c r="AL828" s="3"/>
      <c r="AM828" s="3"/>
      <c r="AN828" s="3"/>
      <c r="AO828" s="3"/>
      <c r="AP828" s="3"/>
      <c r="AQ828" s="3"/>
      <c r="AR828" s="3"/>
      <c r="AS828" s="3"/>
      <c r="AT828" s="3"/>
      <c r="AU828" s="3"/>
    </row>
    <row r="829" spans="2:47" ht="14.25" customHeight="1" x14ac:dyDescent="0.3">
      <c r="B829" s="3"/>
      <c r="Q829" s="1"/>
      <c r="R829" s="1"/>
      <c r="S829" s="2"/>
      <c r="T829" s="2">
        <v>715</v>
      </c>
      <c r="U829" s="48" t="s">
        <v>91</v>
      </c>
      <c r="V829" s="2"/>
      <c r="W829" s="2"/>
      <c r="X829" s="2"/>
      <c r="Y829" s="3"/>
      <c r="Z829" s="3"/>
      <c r="AA829" s="3"/>
      <c r="AB829" s="3"/>
      <c r="AC829" s="3"/>
      <c r="AD829" s="3"/>
      <c r="AE829" s="3"/>
      <c r="AF829" s="3"/>
      <c r="AG829" s="3"/>
      <c r="AH829" s="3"/>
      <c r="AI829" s="3"/>
      <c r="AJ829" s="3"/>
      <c r="AK829" s="3"/>
      <c r="AL829" s="3"/>
      <c r="AM829" s="3"/>
      <c r="AN829" s="3"/>
      <c r="AO829" s="3"/>
      <c r="AP829" s="3"/>
      <c r="AQ829" s="3"/>
      <c r="AR829" s="3"/>
      <c r="AS829" s="3"/>
      <c r="AT829" s="3"/>
      <c r="AU829" s="3"/>
    </row>
    <row r="830" spans="2:47" ht="14.25" customHeight="1" x14ac:dyDescent="0.3">
      <c r="B830" s="3"/>
      <c r="Q830" s="1"/>
      <c r="R830" s="1"/>
      <c r="S830" s="2"/>
      <c r="T830" s="2">
        <v>716</v>
      </c>
      <c r="U830" s="48" t="s">
        <v>91</v>
      </c>
      <c r="V830" s="2"/>
      <c r="W830" s="2"/>
      <c r="X830" s="2"/>
      <c r="Y830" s="3"/>
      <c r="Z830" s="3"/>
      <c r="AA830" s="3"/>
      <c r="AB830" s="3"/>
      <c r="AC830" s="3"/>
      <c r="AD830" s="3"/>
      <c r="AE830" s="3"/>
      <c r="AF830" s="3"/>
      <c r="AG830" s="3"/>
      <c r="AH830" s="3"/>
      <c r="AI830" s="3"/>
      <c r="AJ830" s="3"/>
      <c r="AK830" s="3"/>
      <c r="AL830" s="3"/>
      <c r="AM830" s="3"/>
      <c r="AN830" s="3"/>
      <c r="AO830" s="3"/>
      <c r="AP830" s="3"/>
      <c r="AQ830" s="3"/>
      <c r="AR830" s="3"/>
      <c r="AS830" s="3"/>
      <c r="AT830" s="3"/>
      <c r="AU830" s="3"/>
    </row>
    <row r="831" spans="2:47" ht="14.25" customHeight="1" x14ac:dyDescent="0.3">
      <c r="B831" s="3"/>
      <c r="Q831" s="1"/>
      <c r="R831" s="1"/>
      <c r="S831" s="2"/>
      <c r="T831" s="2">
        <v>717</v>
      </c>
      <c r="U831" s="48" t="s">
        <v>91</v>
      </c>
      <c r="V831" s="2"/>
      <c r="W831" s="2"/>
      <c r="X831" s="2"/>
      <c r="Y831" s="3"/>
      <c r="Z831" s="3"/>
      <c r="AA831" s="3"/>
      <c r="AB831" s="3"/>
      <c r="AC831" s="3"/>
      <c r="AD831" s="3"/>
      <c r="AE831" s="3"/>
      <c r="AF831" s="3"/>
      <c r="AG831" s="3"/>
      <c r="AH831" s="3"/>
      <c r="AI831" s="3"/>
      <c r="AJ831" s="3"/>
      <c r="AK831" s="3"/>
      <c r="AL831" s="3"/>
      <c r="AM831" s="3"/>
      <c r="AN831" s="3"/>
      <c r="AO831" s="3"/>
      <c r="AP831" s="3"/>
      <c r="AQ831" s="3"/>
      <c r="AR831" s="3"/>
      <c r="AS831" s="3"/>
      <c r="AT831" s="3"/>
      <c r="AU831" s="3"/>
    </row>
    <row r="832" spans="2:47" ht="14.25" customHeight="1" x14ac:dyDescent="0.3">
      <c r="B832" s="3"/>
      <c r="Q832" s="1"/>
      <c r="R832" s="1"/>
      <c r="S832" s="2"/>
      <c r="T832" s="2">
        <v>718</v>
      </c>
      <c r="U832" s="48" t="s">
        <v>91</v>
      </c>
      <c r="V832" s="2"/>
      <c r="W832" s="2"/>
      <c r="X832" s="2"/>
      <c r="Y832" s="3"/>
      <c r="Z832" s="3"/>
      <c r="AA832" s="3"/>
      <c r="AB832" s="3"/>
      <c r="AC832" s="3"/>
      <c r="AD832" s="3"/>
      <c r="AE832" s="3"/>
      <c r="AF832" s="3"/>
      <c r="AG832" s="3"/>
      <c r="AH832" s="3"/>
      <c r="AI832" s="3"/>
      <c r="AJ832" s="3"/>
      <c r="AK832" s="3"/>
      <c r="AL832" s="3"/>
      <c r="AM832" s="3"/>
      <c r="AN832" s="3"/>
      <c r="AO832" s="3"/>
      <c r="AP832" s="3"/>
      <c r="AQ832" s="3"/>
      <c r="AR832" s="3"/>
      <c r="AS832" s="3"/>
      <c r="AT832" s="3"/>
      <c r="AU832" s="3"/>
    </row>
    <row r="833" spans="2:47" ht="14.25" customHeight="1" x14ac:dyDescent="0.3">
      <c r="B833" s="3"/>
      <c r="Q833" s="1"/>
      <c r="R833" s="1"/>
      <c r="S833" s="2"/>
      <c r="T833" s="2">
        <v>719</v>
      </c>
      <c r="U833" s="48" t="s">
        <v>91</v>
      </c>
      <c r="V833" s="2"/>
      <c r="W833" s="2"/>
      <c r="X833" s="2"/>
      <c r="Y833" s="3"/>
      <c r="Z833" s="3"/>
      <c r="AA833" s="3"/>
      <c r="AB833" s="3"/>
      <c r="AC833" s="3"/>
      <c r="AD833" s="3"/>
      <c r="AE833" s="3"/>
      <c r="AF833" s="3"/>
      <c r="AG833" s="3"/>
      <c r="AH833" s="3"/>
      <c r="AI833" s="3"/>
      <c r="AJ833" s="3"/>
      <c r="AK833" s="3"/>
      <c r="AL833" s="3"/>
      <c r="AM833" s="3"/>
      <c r="AN833" s="3"/>
      <c r="AO833" s="3"/>
      <c r="AP833" s="3"/>
      <c r="AQ833" s="3"/>
      <c r="AR833" s="3"/>
      <c r="AS833" s="3"/>
      <c r="AT833" s="3"/>
      <c r="AU833" s="3"/>
    </row>
    <row r="834" spans="2:47" ht="14.25" customHeight="1" x14ac:dyDescent="0.3">
      <c r="B834" s="3"/>
      <c r="Q834" s="1"/>
      <c r="R834" s="1"/>
      <c r="S834" s="2"/>
      <c r="T834" s="2">
        <v>720</v>
      </c>
      <c r="U834" s="48" t="s">
        <v>91</v>
      </c>
      <c r="V834" s="2"/>
      <c r="W834" s="2"/>
      <c r="X834" s="2"/>
      <c r="Y834" s="3"/>
      <c r="Z834" s="3"/>
      <c r="AA834" s="3"/>
      <c r="AB834" s="3"/>
      <c r="AC834" s="3"/>
      <c r="AD834" s="3"/>
      <c r="AE834" s="3"/>
      <c r="AF834" s="3"/>
      <c r="AG834" s="3"/>
      <c r="AH834" s="3"/>
      <c r="AI834" s="3"/>
      <c r="AJ834" s="3"/>
      <c r="AK834" s="3"/>
      <c r="AL834" s="3"/>
      <c r="AM834" s="3"/>
      <c r="AN834" s="3"/>
      <c r="AO834" s="3"/>
      <c r="AP834" s="3"/>
      <c r="AQ834" s="3"/>
      <c r="AR834" s="3"/>
      <c r="AS834" s="3"/>
      <c r="AT834" s="3"/>
      <c r="AU834" s="3"/>
    </row>
    <row r="835" spans="2:47" ht="14.25" customHeight="1" x14ac:dyDescent="0.3">
      <c r="B835" s="3"/>
      <c r="Q835" s="1"/>
      <c r="R835" s="1"/>
      <c r="S835" s="2"/>
      <c r="T835" s="2">
        <v>721</v>
      </c>
      <c r="U835" s="48" t="s">
        <v>91</v>
      </c>
      <c r="V835" s="2"/>
      <c r="W835" s="2"/>
      <c r="X835" s="2"/>
      <c r="Y835" s="3"/>
      <c r="Z835" s="3"/>
      <c r="AA835" s="3"/>
      <c r="AB835" s="3"/>
      <c r="AC835" s="3"/>
      <c r="AD835" s="3"/>
      <c r="AE835" s="3"/>
      <c r="AF835" s="3"/>
      <c r="AG835" s="3"/>
      <c r="AH835" s="3"/>
      <c r="AI835" s="3"/>
      <c r="AJ835" s="3"/>
      <c r="AK835" s="3"/>
      <c r="AL835" s="3"/>
      <c r="AM835" s="3"/>
      <c r="AN835" s="3"/>
      <c r="AO835" s="3"/>
      <c r="AP835" s="3"/>
      <c r="AQ835" s="3"/>
      <c r="AR835" s="3"/>
      <c r="AS835" s="3"/>
      <c r="AT835" s="3"/>
      <c r="AU835" s="3"/>
    </row>
    <row r="836" spans="2:47" ht="14.25" customHeight="1" x14ac:dyDescent="0.3">
      <c r="B836" s="3"/>
      <c r="Q836" s="1"/>
      <c r="R836" s="1"/>
      <c r="S836" s="2"/>
      <c r="T836" s="2">
        <v>722</v>
      </c>
      <c r="U836" s="48" t="s">
        <v>91</v>
      </c>
      <c r="V836" s="2"/>
      <c r="W836" s="2"/>
      <c r="X836" s="2"/>
      <c r="Y836" s="3"/>
      <c r="Z836" s="3"/>
      <c r="AA836" s="3"/>
      <c r="AB836" s="3"/>
      <c r="AC836" s="3"/>
      <c r="AD836" s="3"/>
      <c r="AE836" s="3"/>
      <c r="AF836" s="3"/>
      <c r="AG836" s="3"/>
      <c r="AH836" s="3"/>
      <c r="AI836" s="3"/>
      <c r="AJ836" s="3"/>
      <c r="AK836" s="3"/>
      <c r="AL836" s="3"/>
      <c r="AM836" s="3"/>
      <c r="AN836" s="3"/>
      <c r="AO836" s="3"/>
      <c r="AP836" s="3"/>
      <c r="AQ836" s="3"/>
      <c r="AR836" s="3"/>
      <c r="AS836" s="3"/>
      <c r="AT836" s="3"/>
      <c r="AU836" s="3"/>
    </row>
    <row r="837" spans="2:47" ht="14.25" customHeight="1" x14ac:dyDescent="0.3">
      <c r="B837" s="3"/>
      <c r="Q837" s="1"/>
      <c r="R837" s="1"/>
      <c r="S837" s="2"/>
      <c r="T837" s="2">
        <v>723</v>
      </c>
      <c r="U837" s="48" t="s">
        <v>91</v>
      </c>
      <c r="V837" s="2"/>
      <c r="W837" s="2"/>
      <c r="X837" s="2"/>
      <c r="Y837" s="3"/>
      <c r="Z837" s="3"/>
      <c r="AA837" s="3"/>
      <c r="AB837" s="3"/>
      <c r="AC837" s="3"/>
      <c r="AD837" s="3"/>
      <c r="AE837" s="3"/>
      <c r="AF837" s="3"/>
      <c r="AG837" s="3"/>
      <c r="AH837" s="3"/>
      <c r="AI837" s="3"/>
      <c r="AJ837" s="3"/>
      <c r="AK837" s="3"/>
      <c r="AL837" s="3"/>
      <c r="AM837" s="3"/>
      <c r="AN837" s="3"/>
      <c r="AO837" s="3"/>
      <c r="AP837" s="3"/>
      <c r="AQ837" s="3"/>
      <c r="AR837" s="3"/>
      <c r="AS837" s="3"/>
      <c r="AT837" s="3"/>
      <c r="AU837" s="3"/>
    </row>
    <row r="838" spans="2:47" ht="14.25" customHeight="1" x14ac:dyDescent="0.3">
      <c r="B838" s="3"/>
      <c r="Q838" s="1"/>
      <c r="R838" s="1"/>
      <c r="S838" s="2"/>
      <c r="T838" s="2">
        <v>724</v>
      </c>
      <c r="U838" s="48" t="s">
        <v>91</v>
      </c>
      <c r="V838" s="2"/>
      <c r="W838" s="2"/>
      <c r="X838" s="2"/>
      <c r="Y838" s="3"/>
      <c r="Z838" s="3"/>
      <c r="AA838" s="3"/>
      <c r="AB838" s="3"/>
      <c r="AC838" s="3"/>
      <c r="AD838" s="3"/>
      <c r="AE838" s="3"/>
      <c r="AF838" s="3"/>
      <c r="AG838" s="3"/>
      <c r="AH838" s="3"/>
      <c r="AI838" s="3"/>
      <c r="AJ838" s="3"/>
      <c r="AK838" s="3"/>
      <c r="AL838" s="3"/>
      <c r="AM838" s="3"/>
      <c r="AN838" s="3"/>
      <c r="AO838" s="3"/>
      <c r="AP838" s="3"/>
      <c r="AQ838" s="3"/>
      <c r="AR838" s="3"/>
      <c r="AS838" s="3"/>
      <c r="AT838" s="3"/>
      <c r="AU838" s="3"/>
    </row>
    <row r="839" spans="2:47" ht="14.25" customHeight="1" x14ac:dyDescent="0.3">
      <c r="B839" s="3"/>
      <c r="Q839" s="1"/>
      <c r="R839" s="1"/>
      <c r="S839" s="2"/>
      <c r="T839" s="2">
        <v>725</v>
      </c>
      <c r="U839" s="48" t="s">
        <v>91</v>
      </c>
      <c r="V839" s="2"/>
      <c r="W839" s="2"/>
      <c r="X839" s="2"/>
      <c r="Y839" s="3"/>
      <c r="Z839" s="3"/>
      <c r="AA839" s="3"/>
      <c r="AB839" s="3"/>
      <c r="AC839" s="3"/>
      <c r="AD839" s="3"/>
      <c r="AE839" s="3"/>
      <c r="AF839" s="3"/>
      <c r="AG839" s="3"/>
      <c r="AH839" s="3"/>
      <c r="AI839" s="3"/>
      <c r="AJ839" s="3"/>
      <c r="AK839" s="3"/>
      <c r="AL839" s="3"/>
      <c r="AM839" s="3"/>
      <c r="AN839" s="3"/>
      <c r="AO839" s="3"/>
      <c r="AP839" s="3"/>
      <c r="AQ839" s="3"/>
      <c r="AR839" s="3"/>
      <c r="AS839" s="3"/>
      <c r="AT839" s="3"/>
      <c r="AU839" s="3"/>
    </row>
    <row r="840" spans="2:47" ht="14.25" customHeight="1" x14ac:dyDescent="0.3">
      <c r="B840" s="3"/>
      <c r="Q840" s="1"/>
      <c r="R840" s="1"/>
      <c r="S840" s="2"/>
      <c r="T840" s="2">
        <v>726</v>
      </c>
      <c r="U840" s="48" t="s">
        <v>91</v>
      </c>
      <c r="V840" s="2"/>
      <c r="W840" s="2"/>
      <c r="X840" s="2"/>
      <c r="Y840" s="3"/>
      <c r="Z840" s="3"/>
      <c r="AA840" s="3"/>
      <c r="AB840" s="3"/>
      <c r="AC840" s="3"/>
      <c r="AD840" s="3"/>
      <c r="AE840" s="3"/>
      <c r="AF840" s="3"/>
      <c r="AG840" s="3"/>
      <c r="AH840" s="3"/>
      <c r="AI840" s="3"/>
      <c r="AJ840" s="3"/>
      <c r="AK840" s="3"/>
      <c r="AL840" s="3"/>
      <c r="AM840" s="3"/>
      <c r="AN840" s="3"/>
      <c r="AO840" s="3"/>
      <c r="AP840" s="3"/>
      <c r="AQ840" s="3"/>
      <c r="AR840" s="3"/>
      <c r="AS840" s="3"/>
      <c r="AT840" s="3"/>
      <c r="AU840" s="3"/>
    </row>
    <row r="841" spans="2:47" ht="14.25" customHeight="1" x14ac:dyDescent="0.3">
      <c r="B841" s="3"/>
      <c r="Q841" s="1"/>
      <c r="R841" s="1"/>
      <c r="S841" s="2"/>
      <c r="T841" s="2">
        <v>727</v>
      </c>
      <c r="U841" s="48" t="s">
        <v>91</v>
      </c>
      <c r="V841" s="2"/>
      <c r="W841" s="2"/>
      <c r="X841" s="2"/>
      <c r="Y841" s="3"/>
      <c r="Z841" s="3"/>
      <c r="AA841" s="3"/>
      <c r="AB841" s="3"/>
      <c r="AC841" s="3"/>
      <c r="AD841" s="3"/>
      <c r="AE841" s="3"/>
      <c r="AF841" s="3"/>
      <c r="AG841" s="3"/>
      <c r="AH841" s="3"/>
      <c r="AI841" s="3"/>
      <c r="AJ841" s="3"/>
      <c r="AK841" s="3"/>
      <c r="AL841" s="3"/>
      <c r="AM841" s="3"/>
      <c r="AN841" s="3"/>
      <c r="AO841" s="3"/>
      <c r="AP841" s="3"/>
      <c r="AQ841" s="3"/>
      <c r="AR841" s="3"/>
      <c r="AS841" s="3"/>
      <c r="AT841" s="3"/>
      <c r="AU841" s="3"/>
    </row>
    <row r="842" spans="2:47" ht="14.25" customHeight="1" x14ac:dyDescent="0.3">
      <c r="B842" s="3"/>
      <c r="Q842" s="1"/>
      <c r="R842" s="1"/>
      <c r="S842" s="2"/>
      <c r="T842" s="2">
        <v>728</v>
      </c>
      <c r="U842" s="48" t="s">
        <v>91</v>
      </c>
      <c r="V842" s="2"/>
      <c r="W842" s="2"/>
      <c r="X842" s="2"/>
      <c r="Y842" s="3"/>
      <c r="Z842" s="3"/>
      <c r="AA842" s="3"/>
      <c r="AB842" s="3"/>
      <c r="AC842" s="3"/>
      <c r="AD842" s="3"/>
      <c r="AE842" s="3"/>
      <c r="AF842" s="3"/>
      <c r="AG842" s="3"/>
      <c r="AH842" s="3"/>
      <c r="AI842" s="3"/>
      <c r="AJ842" s="3"/>
      <c r="AK842" s="3"/>
      <c r="AL842" s="3"/>
      <c r="AM842" s="3"/>
      <c r="AN842" s="3"/>
      <c r="AO842" s="3"/>
      <c r="AP842" s="3"/>
      <c r="AQ842" s="3"/>
      <c r="AR842" s="3"/>
      <c r="AS842" s="3"/>
      <c r="AT842" s="3"/>
      <c r="AU842" s="3"/>
    </row>
    <row r="843" spans="2:47" ht="14.25" customHeight="1" x14ac:dyDescent="0.3">
      <c r="B843" s="3"/>
      <c r="Q843" s="1"/>
      <c r="R843" s="1"/>
      <c r="S843" s="2"/>
      <c r="T843" s="2">
        <v>729</v>
      </c>
      <c r="U843" s="48" t="s">
        <v>91</v>
      </c>
      <c r="V843" s="2"/>
      <c r="W843" s="2"/>
      <c r="X843" s="2"/>
      <c r="Y843" s="3"/>
      <c r="Z843" s="3"/>
      <c r="AA843" s="3"/>
      <c r="AB843" s="3"/>
      <c r="AC843" s="3"/>
      <c r="AD843" s="3"/>
      <c r="AE843" s="3"/>
      <c r="AF843" s="3"/>
      <c r="AG843" s="3"/>
      <c r="AH843" s="3"/>
      <c r="AI843" s="3"/>
      <c r="AJ843" s="3"/>
      <c r="AK843" s="3"/>
      <c r="AL843" s="3"/>
      <c r="AM843" s="3"/>
      <c r="AN843" s="3"/>
      <c r="AO843" s="3"/>
      <c r="AP843" s="3"/>
      <c r="AQ843" s="3"/>
      <c r="AR843" s="3"/>
      <c r="AS843" s="3"/>
      <c r="AT843" s="3"/>
      <c r="AU843" s="3"/>
    </row>
    <row r="844" spans="2:47" ht="14.25" customHeight="1" x14ac:dyDescent="0.3">
      <c r="B844" s="3"/>
      <c r="Q844" s="1"/>
      <c r="R844" s="1"/>
      <c r="S844" s="2"/>
      <c r="T844" s="2">
        <v>730</v>
      </c>
      <c r="U844" s="48" t="s">
        <v>91</v>
      </c>
      <c r="V844" s="2"/>
      <c r="W844" s="2"/>
      <c r="X844" s="2"/>
      <c r="Y844" s="3"/>
      <c r="Z844" s="3"/>
      <c r="AA844" s="3"/>
      <c r="AB844" s="3"/>
      <c r="AC844" s="3"/>
      <c r="AD844" s="3"/>
      <c r="AE844" s="3"/>
      <c r="AF844" s="3"/>
      <c r="AG844" s="3"/>
      <c r="AH844" s="3"/>
      <c r="AI844" s="3"/>
      <c r="AJ844" s="3"/>
      <c r="AK844" s="3"/>
      <c r="AL844" s="3"/>
      <c r="AM844" s="3"/>
      <c r="AN844" s="3"/>
      <c r="AO844" s="3"/>
      <c r="AP844" s="3"/>
      <c r="AQ844" s="3"/>
      <c r="AR844" s="3"/>
      <c r="AS844" s="3"/>
      <c r="AT844" s="3"/>
      <c r="AU844" s="3"/>
    </row>
    <row r="845" spans="2:47" ht="14.25" customHeight="1" x14ac:dyDescent="0.3">
      <c r="B845" s="3"/>
      <c r="Q845" s="1"/>
      <c r="R845" s="1"/>
      <c r="S845" s="2"/>
      <c r="T845" s="2">
        <v>731</v>
      </c>
      <c r="U845" s="48" t="s">
        <v>91</v>
      </c>
      <c r="V845" s="2"/>
      <c r="W845" s="2"/>
      <c r="X845" s="2"/>
      <c r="Y845" s="3"/>
      <c r="Z845" s="3"/>
      <c r="AA845" s="3"/>
      <c r="AB845" s="3"/>
      <c r="AC845" s="3"/>
      <c r="AD845" s="3"/>
      <c r="AE845" s="3"/>
      <c r="AF845" s="3"/>
      <c r="AG845" s="3"/>
      <c r="AH845" s="3"/>
      <c r="AI845" s="3"/>
      <c r="AJ845" s="3"/>
      <c r="AK845" s="3"/>
      <c r="AL845" s="3"/>
      <c r="AM845" s="3"/>
      <c r="AN845" s="3"/>
      <c r="AO845" s="3"/>
      <c r="AP845" s="3"/>
      <c r="AQ845" s="3"/>
      <c r="AR845" s="3"/>
      <c r="AS845" s="3"/>
      <c r="AT845" s="3"/>
      <c r="AU845" s="3"/>
    </row>
    <row r="846" spans="2:47" ht="14.25" customHeight="1" x14ac:dyDescent="0.3">
      <c r="B846" s="3"/>
      <c r="Q846" s="1"/>
      <c r="R846" s="1"/>
      <c r="S846" s="2"/>
      <c r="T846" s="2">
        <v>732</v>
      </c>
      <c r="U846" s="48" t="s">
        <v>91</v>
      </c>
      <c r="V846" s="2"/>
      <c r="W846" s="2"/>
      <c r="X846" s="2"/>
      <c r="Y846" s="3"/>
      <c r="Z846" s="3"/>
      <c r="AA846" s="3"/>
      <c r="AB846" s="3"/>
      <c r="AC846" s="3"/>
      <c r="AD846" s="3"/>
      <c r="AE846" s="3"/>
      <c r="AF846" s="3"/>
      <c r="AG846" s="3"/>
      <c r="AH846" s="3"/>
      <c r="AI846" s="3"/>
      <c r="AJ846" s="3"/>
      <c r="AK846" s="3"/>
      <c r="AL846" s="3"/>
      <c r="AM846" s="3"/>
      <c r="AN846" s="3"/>
      <c r="AO846" s="3"/>
      <c r="AP846" s="3"/>
      <c r="AQ846" s="3"/>
      <c r="AR846" s="3"/>
      <c r="AS846" s="3"/>
      <c r="AT846" s="3"/>
      <c r="AU846" s="3"/>
    </row>
    <row r="847" spans="2:47" ht="14.25" customHeight="1" x14ac:dyDescent="0.3">
      <c r="B847" s="3"/>
      <c r="Q847" s="1"/>
      <c r="R847" s="1"/>
      <c r="S847" s="2"/>
      <c r="T847" s="2">
        <v>733</v>
      </c>
      <c r="U847" s="48" t="s">
        <v>91</v>
      </c>
      <c r="V847" s="2"/>
      <c r="W847" s="2"/>
      <c r="X847" s="2"/>
      <c r="Y847" s="3"/>
      <c r="Z847" s="3"/>
      <c r="AA847" s="3"/>
      <c r="AB847" s="3"/>
      <c r="AC847" s="3"/>
      <c r="AD847" s="3"/>
      <c r="AE847" s="3"/>
      <c r="AF847" s="3"/>
      <c r="AG847" s="3"/>
      <c r="AH847" s="3"/>
      <c r="AI847" s="3"/>
      <c r="AJ847" s="3"/>
      <c r="AK847" s="3"/>
      <c r="AL847" s="3"/>
      <c r="AM847" s="3"/>
      <c r="AN847" s="3"/>
      <c r="AO847" s="3"/>
      <c r="AP847" s="3"/>
      <c r="AQ847" s="3"/>
      <c r="AR847" s="3"/>
      <c r="AS847" s="3"/>
      <c r="AT847" s="3"/>
      <c r="AU847" s="3"/>
    </row>
    <row r="848" spans="2:47" ht="14.25" customHeight="1" x14ac:dyDescent="0.3">
      <c r="B848" s="3"/>
      <c r="Q848" s="1"/>
      <c r="R848" s="1"/>
      <c r="S848" s="2"/>
      <c r="T848" s="2">
        <v>734</v>
      </c>
      <c r="U848" s="48" t="s">
        <v>91</v>
      </c>
      <c r="V848" s="2"/>
      <c r="W848" s="2"/>
      <c r="X848" s="2"/>
      <c r="Y848" s="3"/>
      <c r="Z848" s="3"/>
      <c r="AA848" s="3"/>
      <c r="AB848" s="3"/>
      <c r="AC848" s="3"/>
      <c r="AD848" s="3"/>
      <c r="AE848" s="3"/>
      <c r="AF848" s="3"/>
      <c r="AG848" s="3"/>
      <c r="AH848" s="3"/>
      <c r="AI848" s="3"/>
      <c r="AJ848" s="3"/>
      <c r="AK848" s="3"/>
      <c r="AL848" s="3"/>
      <c r="AM848" s="3"/>
      <c r="AN848" s="3"/>
      <c r="AO848" s="3"/>
      <c r="AP848" s="3"/>
      <c r="AQ848" s="3"/>
      <c r="AR848" s="3"/>
      <c r="AS848" s="3"/>
      <c r="AT848" s="3"/>
      <c r="AU848" s="3"/>
    </row>
    <row r="849" spans="2:47" ht="14.25" customHeight="1" x14ac:dyDescent="0.3">
      <c r="B849" s="3"/>
      <c r="Q849" s="1"/>
      <c r="R849" s="1"/>
      <c r="S849" s="2"/>
      <c r="T849" s="2">
        <v>735</v>
      </c>
      <c r="U849" s="48" t="s">
        <v>91</v>
      </c>
      <c r="V849" s="2"/>
      <c r="W849" s="2"/>
      <c r="X849" s="2"/>
      <c r="Y849" s="3"/>
      <c r="Z849" s="3"/>
      <c r="AA849" s="3"/>
      <c r="AB849" s="3"/>
      <c r="AC849" s="3"/>
      <c r="AD849" s="3"/>
      <c r="AE849" s="3"/>
      <c r="AF849" s="3"/>
      <c r="AG849" s="3"/>
      <c r="AH849" s="3"/>
      <c r="AI849" s="3"/>
      <c r="AJ849" s="3"/>
      <c r="AK849" s="3"/>
      <c r="AL849" s="3"/>
      <c r="AM849" s="3"/>
      <c r="AN849" s="3"/>
      <c r="AO849" s="3"/>
      <c r="AP849" s="3"/>
      <c r="AQ849" s="3"/>
      <c r="AR849" s="3"/>
      <c r="AS849" s="3"/>
      <c r="AT849" s="3"/>
      <c r="AU849" s="3"/>
    </row>
    <row r="850" spans="2:47" ht="14.25" customHeight="1" x14ac:dyDescent="0.3">
      <c r="B850" s="3"/>
      <c r="Q850" s="1"/>
      <c r="R850" s="1"/>
      <c r="S850" s="2"/>
      <c r="T850" s="2">
        <v>736</v>
      </c>
      <c r="U850" s="48" t="s">
        <v>91</v>
      </c>
      <c r="V850" s="2"/>
      <c r="W850" s="2"/>
      <c r="X850" s="2"/>
      <c r="Y850" s="3"/>
      <c r="Z850" s="3"/>
      <c r="AA850" s="3"/>
      <c r="AB850" s="3"/>
      <c r="AC850" s="3"/>
      <c r="AD850" s="3"/>
      <c r="AE850" s="3"/>
      <c r="AF850" s="3"/>
      <c r="AG850" s="3"/>
      <c r="AH850" s="3"/>
      <c r="AI850" s="3"/>
      <c r="AJ850" s="3"/>
      <c r="AK850" s="3"/>
      <c r="AL850" s="3"/>
      <c r="AM850" s="3"/>
      <c r="AN850" s="3"/>
      <c r="AO850" s="3"/>
      <c r="AP850" s="3"/>
      <c r="AQ850" s="3"/>
      <c r="AR850" s="3"/>
      <c r="AS850" s="3"/>
      <c r="AT850" s="3"/>
      <c r="AU850" s="3"/>
    </row>
    <row r="851" spans="2:47" ht="14.25" customHeight="1" x14ac:dyDescent="0.3">
      <c r="B851" s="3"/>
      <c r="Q851" s="1"/>
      <c r="R851" s="1"/>
      <c r="S851" s="2"/>
      <c r="T851" s="2">
        <v>737</v>
      </c>
      <c r="U851" s="48" t="s">
        <v>91</v>
      </c>
      <c r="V851" s="2"/>
      <c r="W851" s="2"/>
      <c r="X851" s="2"/>
      <c r="Y851" s="3"/>
      <c r="Z851" s="3"/>
      <c r="AA851" s="3"/>
      <c r="AB851" s="3"/>
      <c r="AC851" s="3"/>
      <c r="AD851" s="3"/>
      <c r="AE851" s="3"/>
      <c r="AF851" s="3"/>
      <c r="AG851" s="3"/>
      <c r="AH851" s="3"/>
      <c r="AI851" s="3"/>
      <c r="AJ851" s="3"/>
      <c r="AK851" s="3"/>
      <c r="AL851" s="3"/>
      <c r="AM851" s="3"/>
      <c r="AN851" s="3"/>
      <c r="AO851" s="3"/>
      <c r="AP851" s="3"/>
      <c r="AQ851" s="3"/>
      <c r="AR851" s="3"/>
      <c r="AS851" s="3"/>
      <c r="AT851" s="3"/>
      <c r="AU851" s="3"/>
    </row>
    <row r="852" spans="2:47" ht="14.25" customHeight="1" x14ac:dyDescent="0.3">
      <c r="B852" s="3"/>
      <c r="Q852" s="1"/>
      <c r="R852" s="1"/>
      <c r="S852" s="2"/>
      <c r="T852" s="2">
        <v>738</v>
      </c>
      <c r="U852" s="48" t="s">
        <v>91</v>
      </c>
      <c r="V852" s="2"/>
      <c r="W852" s="2"/>
      <c r="X852" s="2"/>
      <c r="Y852" s="3"/>
      <c r="Z852" s="3"/>
      <c r="AA852" s="3"/>
      <c r="AB852" s="3"/>
      <c r="AC852" s="3"/>
      <c r="AD852" s="3"/>
      <c r="AE852" s="3"/>
      <c r="AF852" s="3"/>
      <c r="AG852" s="3"/>
      <c r="AH852" s="3"/>
      <c r="AI852" s="3"/>
      <c r="AJ852" s="3"/>
      <c r="AK852" s="3"/>
      <c r="AL852" s="3"/>
      <c r="AM852" s="3"/>
      <c r="AN852" s="3"/>
      <c r="AO852" s="3"/>
      <c r="AP852" s="3"/>
      <c r="AQ852" s="3"/>
      <c r="AR852" s="3"/>
      <c r="AS852" s="3"/>
      <c r="AT852" s="3"/>
      <c r="AU852" s="3"/>
    </row>
    <row r="853" spans="2:47" ht="14.25" customHeight="1" x14ac:dyDescent="0.3">
      <c r="B853" s="3"/>
      <c r="Q853" s="1"/>
      <c r="R853" s="1"/>
      <c r="S853" s="2"/>
      <c r="T853" s="2">
        <v>739</v>
      </c>
      <c r="U853" s="48" t="s">
        <v>91</v>
      </c>
      <c r="V853" s="2"/>
      <c r="W853" s="2"/>
      <c r="X853" s="2"/>
      <c r="Y853" s="3"/>
      <c r="Z853" s="3"/>
      <c r="AA853" s="3"/>
      <c r="AB853" s="3"/>
      <c r="AC853" s="3"/>
      <c r="AD853" s="3"/>
      <c r="AE853" s="3"/>
      <c r="AF853" s="3"/>
      <c r="AG853" s="3"/>
      <c r="AH853" s="3"/>
      <c r="AI853" s="3"/>
      <c r="AJ853" s="3"/>
      <c r="AK853" s="3"/>
      <c r="AL853" s="3"/>
      <c r="AM853" s="3"/>
      <c r="AN853" s="3"/>
      <c r="AO853" s="3"/>
      <c r="AP853" s="3"/>
      <c r="AQ853" s="3"/>
      <c r="AR853" s="3"/>
      <c r="AS853" s="3"/>
      <c r="AT853" s="3"/>
      <c r="AU853" s="3"/>
    </row>
    <row r="854" spans="2:47" ht="14.25" customHeight="1" x14ac:dyDescent="0.3">
      <c r="B854" s="3"/>
      <c r="Q854" s="1"/>
      <c r="R854" s="1"/>
      <c r="S854" s="2"/>
      <c r="T854" s="2">
        <v>740</v>
      </c>
      <c r="U854" s="48" t="s">
        <v>91</v>
      </c>
      <c r="V854" s="2"/>
      <c r="W854" s="2"/>
      <c r="X854" s="2"/>
      <c r="Y854" s="3"/>
      <c r="Z854" s="3"/>
      <c r="AA854" s="3"/>
      <c r="AB854" s="3"/>
      <c r="AC854" s="3"/>
      <c r="AD854" s="3"/>
      <c r="AE854" s="3"/>
      <c r="AF854" s="3"/>
      <c r="AG854" s="3"/>
      <c r="AH854" s="3"/>
      <c r="AI854" s="3"/>
      <c r="AJ854" s="3"/>
      <c r="AK854" s="3"/>
      <c r="AL854" s="3"/>
      <c r="AM854" s="3"/>
      <c r="AN854" s="3"/>
      <c r="AO854" s="3"/>
      <c r="AP854" s="3"/>
      <c r="AQ854" s="3"/>
      <c r="AR854" s="3"/>
      <c r="AS854" s="3"/>
      <c r="AT854" s="3"/>
      <c r="AU854" s="3"/>
    </row>
    <row r="855" spans="2:47" ht="14.25" customHeight="1" x14ac:dyDescent="0.3">
      <c r="B855" s="3"/>
      <c r="Q855" s="1"/>
      <c r="R855" s="1"/>
      <c r="S855" s="2"/>
      <c r="T855" s="2">
        <v>741</v>
      </c>
      <c r="U855" s="48" t="s">
        <v>91</v>
      </c>
      <c r="V855" s="2"/>
      <c r="W855" s="2"/>
      <c r="X855" s="2"/>
      <c r="Y855" s="3"/>
      <c r="Z855" s="3"/>
      <c r="AA855" s="3"/>
      <c r="AB855" s="3"/>
      <c r="AC855" s="3"/>
      <c r="AD855" s="3"/>
      <c r="AE855" s="3"/>
      <c r="AF855" s="3"/>
      <c r="AG855" s="3"/>
      <c r="AH855" s="3"/>
      <c r="AI855" s="3"/>
      <c r="AJ855" s="3"/>
      <c r="AK855" s="3"/>
      <c r="AL855" s="3"/>
      <c r="AM855" s="3"/>
      <c r="AN855" s="3"/>
      <c r="AO855" s="3"/>
      <c r="AP855" s="3"/>
      <c r="AQ855" s="3"/>
      <c r="AR855" s="3"/>
      <c r="AS855" s="3"/>
      <c r="AT855" s="3"/>
      <c r="AU855" s="3"/>
    </row>
    <row r="856" spans="2:47" ht="14.25" customHeight="1" x14ac:dyDescent="0.3">
      <c r="B856" s="3"/>
      <c r="Q856" s="1"/>
      <c r="R856" s="1"/>
      <c r="S856" s="2"/>
      <c r="T856" s="2">
        <v>742</v>
      </c>
      <c r="U856" s="48" t="s">
        <v>91</v>
      </c>
      <c r="V856" s="2"/>
      <c r="W856" s="2"/>
      <c r="X856" s="2"/>
      <c r="Y856" s="3"/>
      <c r="Z856" s="3"/>
      <c r="AA856" s="3"/>
      <c r="AB856" s="3"/>
      <c r="AC856" s="3"/>
      <c r="AD856" s="3"/>
      <c r="AE856" s="3"/>
      <c r="AF856" s="3"/>
      <c r="AG856" s="3"/>
      <c r="AH856" s="3"/>
      <c r="AI856" s="3"/>
      <c r="AJ856" s="3"/>
      <c r="AK856" s="3"/>
      <c r="AL856" s="3"/>
      <c r="AM856" s="3"/>
      <c r="AN856" s="3"/>
      <c r="AO856" s="3"/>
      <c r="AP856" s="3"/>
      <c r="AQ856" s="3"/>
      <c r="AR856" s="3"/>
      <c r="AS856" s="3"/>
      <c r="AT856" s="3"/>
      <c r="AU856" s="3"/>
    </row>
    <row r="857" spans="2:47" ht="14.25" customHeight="1" x14ac:dyDescent="0.3">
      <c r="B857" s="3"/>
      <c r="Q857" s="1"/>
      <c r="R857" s="1"/>
      <c r="S857" s="2"/>
      <c r="T857" s="2">
        <v>743</v>
      </c>
      <c r="U857" s="48" t="s">
        <v>91</v>
      </c>
      <c r="V857" s="2"/>
      <c r="W857" s="2"/>
      <c r="X857" s="2"/>
      <c r="Y857" s="3"/>
      <c r="Z857" s="3"/>
      <c r="AA857" s="3"/>
      <c r="AB857" s="3"/>
      <c r="AC857" s="3"/>
      <c r="AD857" s="3"/>
      <c r="AE857" s="3"/>
      <c r="AF857" s="3"/>
      <c r="AG857" s="3"/>
      <c r="AH857" s="3"/>
      <c r="AI857" s="3"/>
      <c r="AJ857" s="3"/>
      <c r="AK857" s="3"/>
      <c r="AL857" s="3"/>
      <c r="AM857" s="3"/>
      <c r="AN857" s="3"/>
      <c r="AO857" s="3"/>
      <c r="AP857" s="3"/>
      <c r="AQ857" s="3"/>
      <c r="AR857" s="3"/>
      <c r="AS857" s="3"/>
      <c r="AT857" s="3"/>
      <c r="AU857" s="3"/>
    </row>
    <row r="858" spans="2:47" ht="14.25" customHeight="1" x14ac:dyDescent="0.3">
      <c r="B858" s="3"/>
      <c r="Q858" s="1"/>
      <c r="R858" s="1"/>
      <c r="S858" s="2"/>
      <c r="T858" s="2">
        <v>744</v>
      </c>
      <c r="U858" s="48" t="s">
        <v>91</v>
      </c>
      <c r="V858" s="2"/>
      <c r="W858" s="2"/>
      <c r="X858" s="2"/>
      <c r="Y858" s="3"/>
      <c r="Z858" s="3"/>
      <c r="AA858" s="3"/>
      <c r="AB858" s="3"/>
      <c r="AC858" s="3"/>
      <c r="AD858" s="3"/>
      <c r="AE858" s="3"/>
      <c r="AF858" s="3"/>
      <c r="AG858" s="3"/>
      <c r="AH858" s="3"/>
      <c r="AI858" s="3"/>
      <c r="AJ858" s="3"/>
      <c r="AK858" s="3"/>
      <c r="AL858" s="3"/>
      <c r="AM858" s="3"/>
      <c r="AN858" s="3"/>
      <c r="AO858" s="3"/>
      <c r="AP858" s="3"/>
      <c r="AQ858" s="3"/>
      <c r="AR858" s="3"/>
      <c r="AS858" s="3"/>
      <c r="AT858" s="3"/>
      <c r="AU858" s="3"/>
    </row>
    <row r="859" spans="2:47" ht="14.25" customHeight="1" x14ac:dyDescent="0.3">
      <c r="B859" s="3"/>
      <c r="Q859" s="1"/>
      <c r="R859" s="1"/>
      <c r="S859" s="2"/>
      <c r="T859" s="2">
        <v>745</v>
      </c>
      <c r="U859" s="48" t="s">
        <v>91</v>
      </c>
      <c r="V859" s="2"/>
      <c r="W859" s="2"/>
      <c r="X859" s="2"/>
      <c r="Y859" s="3"/>
      <c r="Z859" s="3"/>
      <c r="AA859" s="3"/>
      <c r="AB859" s="3"/>
      <c r="AC859" s="3"/>
      <c r="AD859" s="3"/>
      <c r="AE859" s="3"/>
      <c r="AF859" s="3"/>
      <c r="AG859" s="3"/>
      <c r="AH859" s="3"/>
      <c r="AI859" s="3"/>
      <c r="AJ859" s="3"/>
      <c r="AK859" s="3"/>
      <c r="AL859" s="3"/>
      <c r="AM859" s="3"/>
      <c r="AN859" s="3"/>
      <c r="AO859" s="3"/>
      <c r="AP859" s="3"/>
      <c r="AQ859" s="3"/>
      <c r="AR859" s="3"/>
      <c r="AS859" s="3"/>
      <c r="AT859" s="3"/>
      <c r="AU859" s="3"/>
    </row>
    <row r="860" spans="2:47" ht="14.25" customHeight="1" x14ac:dyDescent="0.3">
      <c r="B860" s="3"/>
      <c r="Q860" s="1"/>
      <c r="R860" s="1"/>
      <c r="S860" s="2"/>
      <c r="T860" s="2">
        <v>746</v>
      </c>
      <c r="U860" s="48" t="s">
        <v>91</v>
      </c>
      <c r="V860" s="2"/>
      <c r="W860" s="2"/>
      <c r="X860" s="2"/>
      <c r="Y860" s="3"/>
      <c r="Z860" s="3"/>
      <c r="AA860" s="3"/>
      <c r="AB860" s="3"/>
      <c r="AC860" s="3"/>
      <c r="AD860" s="3"/>
      <c r="AE860" s="3"/>
      <c r="AF860" s="3"/>
      <c r="AG860" s="3"/>
      <c r="AH860" s="3"/>
      <c r="AI860" s="3"/>
      <c r="AJ860" s="3"/>
      <c r="AK860" s="3"/>
      <c r="AL860" s="3"/>
      <c r="AM860" s="3"/>
      <c r="AN860" s="3"/>
      <c r="AO860" s="3"/>
      <c r="AP860" s="3"/>
      <c r="AQ860" s="3"/>
      <c r="AR860" s="3"/>
      <c r="AS860" s="3"/>
      <c r="AT860" s="3"/>
      <c r="AU860" s="3"/>
    </row>
    <row r="861" spans="2:47" ht="14.25" customHeight="1" x14ac:dyDescent="0.3">
      <c r="B861" s="3"/>
      <c r="Q861" s="1"/>
      <c r="R861" s="1"/>
      <c r="S861" s="2"/>
      <c r="T861" s="2">
        <v>747</v>
      </c>
      <c r="U861" s="48" t="s">
        <v>91</v>
      </c>
      <c r="V861" s="2"/>
      <c r="W861" s="2"/>
      <c r="X861" s="2"/>
      <c r="Y861" s="3"/>
      <c r="Z861" s="3"/>
      <c r="AA861" s="3"/>
      <c r="AB861" s="3"/>
      <c r="AC861" s="3"/>
      <c r="AD861" s="3"/>
      <c r="AE861" s="3"/>
      <c r="AF861" s="3"/>
      <c r="AG861" s="3"/>
      <c r="AH861" s="3"/>
      <c r="AI861" s="3"/>
      <c r="AJ861" s="3"/>
      <c r="AK861" s="3"/>
      <c r="AL861" s="3"/>
      <c r="AM861" s="3"/>
      <c r="AN861" s="3"/>
      <c r="AO861" s="3"/>
      <c r="AP861" s="3"/>
      <c r="AQ861" s="3"/>
      <c r="AR861" s="3"/>
      <c r="AS861" s="3"/>
      <c r="AT861" s="3"/>
      <c r="AU861" s="3"/>
    </row>
    <row r="862" spans="2:47" ht="14.25" customHeight="1" x14ac:dyDescent="0.3">
      <c r="B862" s="3"/>
      <c r="Q862" s="1"/>
      <c r="R862" s="1"/>
      <c r="S862" s="2"/>
      <c r="T862" s="2">
        <v>748</v>
      </c>
      <c r="U862" s="48" t="s">
        <v>91</v>
      </c>
      <c r="V862" s="2"/>
      <c r="W862" s="2"/>
      <c r="X862" s="2"/>
      <c r="Y862" s="3"/>
      <c r="Z862" s="3"/>
      <c r="AA862" s="3"/>
      <c r="AB862" s="3"/>
      <c r="AC862" s="3"/>
      <c r="AD862" s="3"/>
      <c r="AE862" s="3"/>
      <c r="AF862" s="3"/>
      <c r="AG862" s="3"/>
      <c r="AH862" s="3"/>
      <c r="AI862" s="3"/>
      <c r="AJ862" s="3"/>
      <c r="AK862" s="3"/>
      <c r="AL862" s="3"/>
      <c r="AM862" s="3"/>
      <c r="AN862" s="3"/>
      <c r="AO862" s="3"/>
      <c r="AP862" s="3"/>
      <c r="AQ862" s="3"/>
      <c r="AR862" s="3"/>
      <c r="AS862" s="3"/>
      <c r="AT862" s="3"/>
      <c r="AU862" s="3"/>
    </row>
    <row r="863" spans="2:47" ht="14.25" customHeight="1" x14ac:dyDescent="0.3">
      <c r="B863" s="3"/>
      <c r="Q863" s="1"/>
      <c r="R863" s="1"/>
      <c r="S863" s="2"/>
      <c r="T863" s="2">
        <v>749</v>
      </c>
      <c r="U863" s="48" t="s">
        <v>91</v>
      </c>
      <c r="V863" s="2"/>
      <c r="W863" s="2"/>
      <c r="X863" s="2"/>
      <c r="Y863" s="3"/>
      <c r="Z863" s="3"/>
      <c r="AA863" s="3"/>
      <c r="AB863" s="3"/>
      <c r="AC863" s="3"/>
      <c r="AD863" s="3"/>
      <c r="AE863" s="3"/>
      <c r="AF863" s="3"/>
      <c r="AG863" s="3"/>
      <c r="AH863" s="3"/>
      <c r="AI863" s="3"/>
      <c r="AJ863" s="3"/>
      <c r="AK863" s="3"/>
      <c r="AL863" s="3"/>
      <c r="AM863" s="3"/>
      <c r="AN863" s="3"/>
      <c r="AO863" s="3"/>
      <c r="AP863" s="3"/>
      <c r="AQ863" s="3"/>
      <c r="AR863" s="3"/>
      <c r="AS863" s="3"/>
      <c r="AT863" s="3"/>
      <c r="AU863" s="3"/>
    </row>
    <row r="864" spans="2:47" ht="14.25" customHeight="1" x14ac:dyDescent="0.3">
      <c r="B864" s="3"/>
      <c r="Q864" s="1"/>
      <c r="R864" s="1"/>
      <c r="S864" s="2"/>
      <c r="T864" s="2">
        <v>750</v>
      </c>
      <c r="U864" s="48" t="s">
        <v>91</v>
      </c>
      <c r="V864" s="2"/>
      <c r="W864" s="2"/>
      <c r="X864" s="2"/>
      <c r="Y864" s="3"/>
      <c r="Z864" s="3"/>
      <c r="AA864" s="3"/>
      <c r="AB864" s="3"/>
      <c r="AC864" s="3"/>
      <c r="AD864" s="3"/>
      <c r="AE864" s="3"/>
      <c r="AF864" s="3"/>
      <c r="AG864" s="3"/>
      <c r="AH864" s="3"/>
      <c r="AI864" s="3"/>
      <c r="AJ864" s="3"/>
      <c r="AK864" s="3"/>
      <c r="AL864" s="3"/>
      <c r="AM864" s="3"/>
      <c r="AN864" s="3"/>
      <c r="AO864" s="3"/>
      <c r="AP864" s="3"/>
      <c r="AQ864" s="3"/>
      <c r="AR864" s="3"/>
      <c r="AS864" s="3"/>
      <c r="AT864" s="3"/>
      <c r="AU864" s="3"/>
    </row>
    <row r="865" spans="2:47" ht="14.25" customHeight="1" x14ac:dyDescent="0.3">
      <c r="B865" s="3"/>
      <c r="Q865" s="1"/>
      <c r="R865" s="1"/>
      <c r="S865" s="2"/>
      <c r="T865" s="2">
        <v>751</v>
      </c>
      <c r="U865" s="48" t="s">
        <v>91</v>
      </c>
      <c r="V865" s="2"/>
      <c r="W865" s="2"/>
      <c r="X865" s="2"/>
      <c r="Y865" s="3"/>
      <c r="Z865" s="3"/>
      <c r="AA865" s="3"/>
      <c r="AB865" s="3"/>
      <c r="AC865" s="3"/>
      <c r="AD865" s="3"/>
      <c r="AE865" s="3"/>
      <c r="AF865" s="3"/>
      <c r="AG865" s="3"/>
      <c r="AH865" s="3"/>
      <c r="AI865" s="3"/>
      <c r="AJ865" s="3"/>
      <c r="AK865" s="3"/>
      <c r="AL865" s="3"/>
      <c r="AM865" s="3"/>
      <c r="AN865" s="3"/>
      <c r="AO865" s="3"/>
      <c r="AP865" s="3"/>
      <c r="AQ865" s="3"/>
      <c r="AR865" s="3"/>
      <c r="AS865" s="3"/>
      <c r="AT865" s="3"/>
      <c r="AU865" s="3"/>
    </row>
    <row r="866" spans="2:47" ht="14.25" customHeight="1" x14ac:dyDescent="0.3">
      <c r="B866" s="3"/>
      <c r="Q866" s="1"/>
      <c r="R866" s="1"/>
      <c r="S866" s="2"/>
      <c r="T866" s="2">
        <v>752</v>
      </c>
      <c r="U866" s="48" t="s">
        <v>91</v>
      </c>
      <c r="V866" s="2"/>
      <c r="W866" s="2"/>
      <c r="X866" s="2"/>
      <c r="Y866" s="3"/>
      <c r="Z866" s="3"/>
      <c r="AA866" s="3"/>
      <c r="AB866" s="3"/>
      <c r="AC866" s="3"/>
      <c r="AD866" s="3"/>
      <c r="AE866" s="3"/>
      <c r="AF866" s="3"/>
      <c r="AG866" s="3"/>
      <c r="AH866" s="3"/>
      <c r="AI866" s="3"/>
      <c r="AJ866" s="3"/>
      <c r="AK866" s="3"/>
      <c r="AL866" s="3"/>
      <c r="AM866" s="3"/>
      <c r="AN866" s="3"/>
      <c r="AO866" s="3"/>
      <c r="AP866" s="3"/>
      <c r="AQ866" s="3"/>
      <c r="AR866" s="3"/>
      <c r="AS866" s="3"/>
      <c r="AT866" s="3"/>
      <c r="AU866" s="3"/>
    </row>
    <row r="867" spans="2:47" ht="14.25" customHeight="1" x14ac:dyDescent="0.3">
      <c r="B867" s="3"/>
      <c r="Q867" s="1"/>
      <c r="R867" s="1"/>
      <c r="S867" s="2"/>
      <c r="T867" s="2">
        <v>753</v>
      </c>
      <c r="U867" s="48" t="s">
        <v>91</v>
      </c>
      <c r="V867" s="2"/>
      <c r="W867" s="2"/>
      <c r="X867" s="2"/>
      <c r="Y867" s="3"/>
      <c r="Z867" s="3"/>
      <c r="AA867" s="3"/>
      <c r="AB867" s="3"/>
      <c r="AC867" s="3"/>
      <c r="AD867" s="3"/>
      <c r="AE867" s="3"/>
      <c r="AF867" s="3"/>
      <c r="AG867" s="3"/>
      <c r="AH867" s="3"/>
      <c r="AI867" s="3"/>
      <c r="AJ867" s="3"/>
      <c r="AK867" s="3"/>
      <c r="AL867" s="3"/>
      <c r="AM867" s="3"/>
      <c r="AN867" s="3"/>
      <c r="AO867" s="3"/>
      <c r="AP867" s="3"/>
      <c r="AQ867" s="3"/>
      <c r="AR867" s="3"/>
      <c r="AS867" s="3"/>
      <c r="AT867" s="3"/>
      <c r="AU867" s="3"/>
    </row>
    <row r="868" spans="2:47" ht="14.25" customHeight="1" x14ac:dyDescent="0.3">
      <c r="B868" s="3"/>
      <c r="Q868" s="1"/>
      <c r="R868" s="1"/>
      <c r="S868" s="2"/>
      <c r="T868" s="2">
        <v>754</v>
      </c>
      <c r="U868" s="48" t="s">
        <v>91</v>
      </c>
      <c r="V868" s="2"/>
      <c r="W868" s="2"/>
      <c r="X868" s="2"/>
      <c r="Y868" s="3"/>
      <c r="Z868" s="3"/>
      <c r="AA868" s="3"/>
      <c r="AB868" s="3"/>
      <c r="AC868" s="3"/>
      <c r="AD868" s="3"/>
      <c r="AE868" s="3"/>
      <c r="AF868" s="3"/>
      <c r="AG868" s="3"/>
      <c r="AH868" s="3"/>
      <c r="AI868" s="3"/>
      <c r="AJ868" s="3"/>
      <c r="AK868" s="3"/>
      <c r="AL868" s="3"/>
      <c r="AM868" s="3"/>
      <c r="AN868" s="3"/>
      <c r="AO868" s="3"/>
      <c r="AP868" s="3"/>
      <c r="AQ868" s="3"/>
      <c r="AR868" s="3"/>
      <c r="AS868" s="3"/>
      <c r="AT868" s="3"/>
      <c r="AU868" s="3"/>
    </row>
    <row r="869" spans="2:47" ht="14.25" customHeight="1" x14ac:dyDescent="0.3">
      <c r="B869" s="3"/>
      <c r="Q869" s="1"/>
      <c r="R869" s="1"/>
      <c r="S869" s="2"/>
      <c r="T869" s="2">
        <v>755</v>
      </c>
      <c r="U869" s="48" t="s">
        <v>91</v>
      </c>
      <c r="V869" s="2"/>
      <c r="W869" s="2"/>
      <c r="X869" s="2"/>
      <c r="Y869" s="3"/>
      <c r="Z869" s="3"/>
      <c r="AA869" s="3"/>
      <c r="AB869" s="3"/>
      <c r="AC869" s="3"/>
      <c r="AD869" s="3"/>
      <c r="AE869" s="3"/>
      <c r="AF869" s="3"/>
      <c r="AG869" s="3"/>
      <c r="AH869" s="3"/>
      <c r="AI869" s="3"/>
      <c r="AJ869" s="3"/>
      <c r="AK869" s="3"/>
      <c r="AL869" s="3"/>
      <c r="AM869" s="3"/>
      <c r="AN869" s="3"/>
      <c r="AO869" s="3"/>
      <c r="AP869" s="3"/>
      <c r="AQ869" s="3"/>
      <c r="AR869" s="3"/>
      <c r="AS869" s="3"/>
      <c r="AT869" s="3"/>
      <c r="AU869" s="3"/>
    </row>
    <row r="870" spans="2:47" ht="14.25" customHeight="1" x14ac:dyDescent="0.3">
      <c r="B870" s="3"/>
      <c r="Q870" s="1"/>
      <c r="R870" s="1"/>
      <c r="S870" s="2"/>
      <c r="T870" s="2">
        <v>756</v>
      </c>
      <c r="U870" s="48" t="s">
        <v>91</v>
      </c>
      <c r="V870" s="2"/>
      <c r="W870" s="2"/>
      <c r="X870" s="2"/>
      <c r="Y870" s="3"/>
      <c r="Z870" s="3"/>
      <c r="AA870" s="3"/>
      <c r="AB870" s="3"/>
      <c r="AC870" s="3"/>
      <c r="AD870" s="3"/>
      <c r="AE870" s="3"/>
      <c r="AF870" s="3"/>
      <c r="AG870" s="3"/>
      <c r="AH870" s="3"/>
      <c r="AI870" s="3"/>
      <c r="AJ870" s="3"/>
      <c r="AK870" s="3"/>
      <c r="AL870" s="3"/>
      <c r="AM870" s="3"/>
      <c r="AN870" s="3"/>
      <c r="AO870" s="3"/>
      <c r="AP870" s="3"/>
      <c r="AQ870" s="3"/>
      <c r="AR870" s="3"/>
      <c r="AS870" s="3"/>
      <c r="AT870" s="3"/>
      <c r="AU870" s="3"/>
    </row>
    <row r="871" spans="2:47" ht="14.25" customHeight="1" x14ac:dyDescent="0.3">
      <c r="B871" s="3"/>
      <c r="Q871" s="1"/>
      <c r="R871" s="1"/>
      <c r="S871" s="2"/>
      <c r="T871" s="2">
        <v>757</v>
      </c>
      <c r="U871" s="48" t="s">
        <v>91</v>
      </c>
      <c r="V871" s="2"/>
      <c r="W871" s="2"/>
      <c r="X871" s="2"/>
      <c r="Y871" s="3"/>
      <c r="Z871" s="3"/>
      <c r="AA871" s="3"/>
      <c r="AB871" s="3"/>
      <c r="AC871" s="3"/>
      <c r="AD871" s="3"/>
      <c r="AE871" s="3"/>
      <c r="AF871" s="3"/>
      <c r="AG871" s="3"/>
      <c r="AH871" s="3"/>
      <c r="AI871" s="3"/>
      <c r="AJ871" s="3"/>
      <c r="AK871" s="3"/>
      <c r="AL871" s="3"/>
      <c r="AM871" s="3"/>
      <c r="AN871" s="3"/>
      <c r="AO871" s="3"/>
      <c r="AP871" s="3"/>
      <c r="AQ871" s="3"/>
      <c r="AR871" s="3"/>
      <c r="AS871" s="3"/>
      <c r="AT871" s="3"/>
      <c r="AU871" s="3"/>
    </row>
    <row r="872" spans="2:47" ht="14.25" customHeight="1" x14ac:dyDescent="0.3">
      <c r="B872" s="3"/>
      <c r="Q872" s="1"/>
      <c r="R872" s="1"/>
      <c r="S872" s="2"/>
      <c r="T872" s="2">
        <v>758</v>
      </c>
      <c r="U872" s="48" t="s">
        <v>91</v>
      </c>
      <c r="V872" s="2"/>
      <c r="W872" s="2"/>
      <c r="X872" s="2"/>
      <c r="Y872" s="3"/>
      <c r="Z872" s="3"/>
      <c r="AA872" s="3"/>
      <c r="AB872" s="3"/>
      <c r="AC872" s="3"/>
      <c r="AD872" s="3"/>
      <c r="AE872" s="3"/>
      <c r="AF872" s="3"/>
      <c r="AG872" s="3"/>
      <c r="AH872" s="3"/>
      <c r="AI872" s="3"/>
      <c r="AJ872" s="3"/>
      <c r="AK872" s="3"/>
      <c r="AL872" s="3"/>
      <c r="AM872" s="3"/>
      <c r="AN872" s="3"/>
      <c r="AO872" s="3"/>
      <c r="AP872" s="3"/>
      <c r="AQ872" s="3"/>
      <c r="AR872" s="3"/>
      <c r="AS872" s="3"/>
      <c r="AT872" s="3"/>
      <c r="AU872" s="3"/>
    </row>
    <row r="873" spans="2:47" ht="14.25" customHeight="1" x14ac:dyDescent="0.3">
      <c r="B873" s="3"/>
      <c r="Q873" s="1"/>
      <c r="R873" s="1"/>
      <c r="S873" s="2"/>
      <c r="T873" s="2">
        <v>759</v>
      </c>
      <c r="U873" s="48" t="s">
        <v>91</v>
      </c>
      <c r="V873" s="2"/>
      <c r="W873" s="2"/>
      <c r="X873" s="2"/>
      <c r="Y873" s="3"/>
      <c r="Z873" s="3"/>
      <c r="AA873" s="3"/>
      <c r="AB873" s="3"/>
      <c r="AC873" s="3"/>
      <c r="AD873" s="3"/>
      <c r="AE873" s="3"/>
      <c r="AF873" s="3"/>
      <c r="AG873" s="3"/>
      <c r="AH873" s="3"/>
      <c r="AI873" s="3"/>
      <c r="AJ873" s="3"/>
      <c r="AK873" s="3"/>
      <c r="AL873" s="3"/>
      <c r="AM873" s="3"/>
      <c r="AN873" s="3"/>
      <c r="AO873" s="3"/>
      <c r="AP873" s="3"/>
      <c r="AQ873" s="3"/>
      <c r="AR873" s="3"/>
      <c r="AS873" s="3"/>
      <c r="AT873" s="3"/>
      <c r="AU873" s="3"/>
    </row>
    <row r="874" spans="2:47" ht="14.25" customHeight="1" x14ac:dyDescent="0.3">
      <c r="B874" s="3"/>
      <c r="Q874" s="1"/>
      <c r="R874" s="1"/>
      <c r="S874" s="2"/>
      <c r="T874" s="2">
        <v>760</v>
      </c>
      <c r="U874" s="48" t="s">
        <v>91</v>
      </c>
      <c r="V874" s="2"/>
      <c r="W874" s="2"/>
      <c r="X874" s="2"/>
      <c r="Y874" s="3"/>
      <c r="Z874" s="3"/>
      <c r="AA874" s="3"/>
      <c r="AB874" s="3"/>
      <c r="AC874" s="3"/>
      <c r="AD874" s="3"/>
      <c r="AE874" s="3"/>
      <c r="AF874" s="3"/>
      <c r="AG874" s="3"/>
      <c r="AH874" s="3"/>
      <c r="AI874" s="3"/>
      <c r="AJ874" s="3"/>
      <c r="AK874" s="3"/>
      <c r="AL874" s="3"/>
      <c r="AM874" s="3"/>
      <c r="AN874" s="3"/>
      <c r="AO874" s="3"/>
      <c r="AP874" s="3"/>
      <c r="AQ874" s="3"/>
      <c r="AR874" s="3"/>
      <c r="AS874" s="3"/>
      <c r="AT874" s="3"/>
      <c r="AU874" s="3"/>
    </row>
    <row r="875" spans="2:47" ht="14.25" customHeight="1" x14ac:dyDescent="0.3">
      <c r="B875" s="3"/>
      <c r="Q875" s="1"/>
      <c r="R875" s="1"/>
      <c r="S875" s="2"/>
      <c r="T875" s="2">
        <v>761</v>
      </c>
      <c r="U875" s="48" t="s">
        <v>91</v>
      </c>
      <c r="V875" s="2"/>
      <c r="W875" s="2"/>
      <c r="X875" s="2"/>
      <c r="Y875" s="3"/>
      <c r="Z875" s="3"/>
      <c r="AA875" s="3"/>
      <c r="AB875" s="3"/>
      <c r="AC875" s="3"/>
      <c r="AD875" s="3"/>
      <c r="AE875" s="3"/>
      <c r="AF875" s="3"/>
      <c r="AG875" s="3"/>
      <c r="AH875" s="3"/>
      <c r="AI875" s="3"/>
      <c r="AJ875" s="3"/>
      <c r="AK875" s="3"/>
      <c r="AL875" s="3"/>
      <c r="AM875" s="3"/>
      <c r="AN875" s="3"/>
      <c r="AO875" s="3"/>
      <c r="AP875" s="3"/>
      <c r="AQ875" s="3"/>
      <c r="AR875" s="3"/>
      <c r="AS875" s="3"/>
      <c r="AT875" s="3"/>
      <c r="AU875" s="3"/>
    </row>
    <row r="876" spans="2:47" ht="14.25" customHeight="1" x14ac:dyDescent="0.3">
      <c r="B876" s="3"/>
      <c r="Q876" s="1"/>
      <c r="R876" s="1"/>
      <c r="S876" s="2"/>
      <c r="T876" s="2">
        <v>762</v>
      </c>
      <c r="U876" s="48" t="s">
        <v>91</v>
      </c>
      <c r="V876" s="2"/>
      <c r="W876" s="2"/>
      <c r="X876" s="2"/>
      <c r="Y876" s="3"/>
      <c r="Z876" s="3"/>
      <c r="AA876" s="3"/>
      <c r="AB876" s="3"/>
      <c r="AC876" s="3"/>
      <c r="AD876" s="3"/>
      <c r="AE876" s="3"/>
      <c r="AF876" s="3"/>
      <c r="AG876" s="3"/>
      <c r="AH876" s="3"/>
      <c r="AI876" s="3"/>
      <c r="AJ876" s="3"/>
      <c r="AK876" s="3"/>
      <c r="AL876" s="3"/>
      <c r="AM876" s="3"/>
      <c r="AN876" s="3"/>
      <c r="AO876" s="3"/>
      <c r="AP876" s="3"/>
      <c r="AQ876" s="3"/>
      <c r="AR876" s="3"/>
      <c r="AS876" s="3"/>
      <c r="AT876" s="3"/>
      <c r="AU876" s="3"/>
    </row>
    <row r="877" spans="2:47" ht="14.25" customHeight="1" x14ac:dyDescent="0.3">
      <c r="B877" s="3"/>
      <c r="Q877" s="1"/>
      <c r="R877" s="1"/>
      <c r="S877" s="2"/>
      <c r="T877" s="2">
        <v>763</v>
      </c>
      <c r="U877" s="48" t="s">
        <v>91</v>
      </c>
      <c r="V877" s="2"/>
      <c r="W877" s="2"/>
      <c r="X877" s="2"/>
      <c r="Y877" s="3"/>
      <c r="Z877" s="3"/>
      <c r="AA877" s="3"/>
      <c r="AB877" s="3"/>
      <c r="AC877" s="3"/>
      <c r="AD877" s="3"/>
      <c r="AE877" s="3"/>
      <c r="AF877" s="3"/>
      <c r="AG877" s="3"/>
      <c r="AH877" s="3"/>
      <c r="AI877" s="3"/>
      <c r="AJ877" s="3"/>
      <c r="AK877" s="3"/>
      <c r="AL877" s="3"/>
      <c r="AM877" s="3"/>
      <c r="AN877" s="3"/>
      <c r="AO877" s="3"/>
      <c r="AP877" s="3"/>
      <c r="AQ877" s="3"/>
      <c r="AR877" s="3"/>
      <c r="AS877" s="3"/>
      <c r="AT877" s="3"/>
      <c r="AU877" s="3"/>
    </row>
    <row r="878" spans="2:47" ht="14.25" customHeight="1" x14ac:dyDescent="0.3">
      <c r="B878" s="3"/>
      <c r="Q878" s="1"/>
      <c r="R878" s="1"/>
      <c r="S878" s="2"/>
      <c r="T878" s="2">
        <v>764</v>
      </c>
      <c r="U878" s="48" t="s">
        <v>91</v>
      </c>
      <c r="V878" s="2"/>
      <c r="W878" s="2"/>
      <c r="X878" s="2"/>
      <c r="Y878" s="3"/>
      <c r="Z878" s="3"/>
      <c r="AA878" s="3"/>
      <c r="AB878" s="3"/>
      <c r="AC878" s="3"/>
      <c r="AD878" s="3"/>
      <c r="AE878" s="3"/>
      <c r="AF878" s="3"/>
      <c r="AG878" s="3"/>
      <c r="AH878" s="3"/>
      <c r="AI878" s="3"/>
      <c r="AJ878" s="3"/>
      <c r="AK878" s="3"/>
      <c r="AL878" s="3"/>
      <c r="AM878" s="3"/>
      <c r="AN878" s="3"/>
      <c r="AO878" s="3"/>
      <c r="AP878" s="3"/>
      <c r="AQ878" s="3"/>
      <c r="AR878" s="3"/>
      <c r="AS878" s="3"/>
      <c r="AT878" s="3"/>
      <c r="AU878" s="3"/>
    </row>
    <row r="879" spans="2:47" ht="14.25" customHeight="1" x14ac:dyDescent="0.3">
      <c r="B879" s="3"/>
      <c r="Q879" s="1"/>
      <c r="R879" s="1"/>
      <c r="S879" s="2"/>
      <c r="T879" s="2">
        <v>765</v>
      </c>
      <c r="U879" s="48" t="s">
        <v>91</v>
      </c>
      <c r="V879" s="2"/>
      <c r="W879" s="2"/>
      <c r="X879" s="2"/>
      <c r="Y879" s="3"/>
      <c r="Z879" s="3"/>
      <c r="AA879" s="3"/>
      <c r="AB879" s="3"/>
      <c r="AC879" s="3"/>
      <c r="AD879" s="3"/>
      <c r="AE879" s="3"/>
      <c r="AF879" s="3"/>
      <c r="AG879" s="3"/>
      <c r="AH879" s="3"/>
      <c r="AI879" s="3"/>
      <c r="AJ879" s="3"/>
      <c r="AK879" s="3"/>
      <c r="AL879" s="3"/>
      <c r="AM879" s="3"/>
      <c r="AN879" s="3"/>
      <c r="AO879" s="3"/>
      <c r="AP879" s="3"/>
      <c r="AQ879" s="3"/>
      <c r="AR879" s="3"/>
      <c r="AS879" s="3"/>
      <c r="AT879" s="3"/>
      <c r="AU879" s="3"/>
    </row>
    <row r="880" spans="2:47" ht="14.25" customHeight="1" x14ac:dyDescent="0.3">
      <c r="B880" s="3"/>
      <c r="Q880" s="1"/>
      <c r="R880" s="1"/>
      <c r="S880" s="2"/>
      <c r="T880" s="2">
        <v>766</v>
      </c>
      <c r="U880" s="48" t="s">
        <v>91</v>
      </c>
      <c r="V880" s="2"/>
      <c r="W880" s="2"/>
      <c r="X880" s="2"/>
      <c r="Y880" s="3"/>
      <c r="Z880" s="3"/>
      <c r="AA880" s="3"/>
      <c r="AB880" s="3"/>
      <c r="AC880" s="3"/>
      <c r="AD880" s="3"/>
      <c r="AE880" s="3"/>
      <c r="AF880" s="3"/>
      <c r="AG880" s="3"/>
      <c r="AH880" s="3"/>
      <c r="AI880" s="3"/>
      <c r="AJ880" s="3"/>
      <c r="AK880" s="3"/>
      <c r="AL880" s="3"/>
      <c r="AM880" s="3"/>
      <c r="AN880" s="3"/>
      <c r="AO880" s="3"/>
      <c r="AP880" s="3"/>
      <c r="AQ880" s="3"/>
      <c r="AR880" s="3"/>
      <c r="AS880" s="3"/>
      <c r="AT880" s="3"/>
      <c r="AU880" s="3"/>
    </row>
    <row r="881" spans="2:47" ht="14.25" customHeight="1" x14ac:dyDescent="0.3">
      <c r="B881" s="3"/>
      <c r="Q881" s="1"/>
      <c r="R881" s="1"/>
      <c r="S881" s="2"/>
      <c r="T881" s="2">
        <v>767</v>
      </c>
      <c r="U881" s="48" t="s">
        <v>91</v>
      </c>
      <c r="V881" s="2"/>
      <c r="W881" s="2"/>
      <c r="X881" s="2"/>
      <c r="Y881" s="3"/>
      <c r="Z881" s="3"/>
      <c r="AA881" s="3"/>
      <c r="AB881" s="3"/>
      <c r="AC881" s="3"/>
      <c r="AD881" s="3"/>
      <c r="AE881" s="3"/>
      <c r="AF881" s="3"/>
      <c r="AG881" s="3"/>
      <c r="AH881" s="3"/>
      <c r="AI881" s="3"/>
      <c r="AJ881" s="3"/>
      <c r="AK881" s="3"/>
      <c r="AL881" s="3"/>
      <c r="AM881" s="3"/>
      <c r="AN881" s="3"/>
      <c r="AO881" s="3"/>
      <c r="AP881" s="3"/>
      <c r="AQ881" s="3"/>
      <c r="AR881" s="3"/>
      <c r="AS881" s="3"/>
      <c r="AT881" s="3"/>
      <c r="AU881" s="3"/>
    </row>
    <row r="882" spans="2:47" ht="14.25" customHeight="1" x14ac:dyDescent="0.3">
      <c r="B882" s="3"/>
      <c r="Q882" s="1"/>
      <c r="R882" s="1"/>
      <c r="S882" s="2"/>
      <c r="T882" s="2">
        <v>768</v>
      </c>
      <c r="U882" s="48" t="s">
        <v>91</v>
      </c>
      <c r="V882" s="2"/>
      <c r="W882" s="2"/>
      <c r="X882" s="2"/>
      <c r="Y882" s="3"/>
      <c r="Z882" s="3"/>
      <c r="AA882" s="3"/>
      <c r="AB882" s="3"/>
      <c r="AC882" s="3"/>
      <c r="AD882" s="3"/>
      <c r="AE882" s="3"/>
      <c r="AF882" s="3"/>
      <c r="AG882" s="3"/>
      <c r="AH882" s="3"/>
      <c r="AI882" s="3"/>
      <c r="AJ882" s="3"/>
      <c r="AK882" s="3"/>
      <c r="AL882" s="3"/>
      <c r="AM882" s="3"/>
      <c r="AN882" s="3"/>
      <c r="AO882" s="3"/>
      <c r="AP882" s="3"/>
      <c r="AQ882" s="3"/>
      <c r="AR882" s="3"/>
      <c r="AS882" s="3"/>
      <c r="AT882" s="3"/>
      <c r="AU882" s="3"/>
    </row>
    <row r="883" spans="2:47" ht="14.25" customHeight="1" x14ac:dyDescent="0.3">
      <c r="B883" s="3"/>
      <c r="Q883" s="1"/>
      <c r="R883" s="1"/>
      <c r="S883" s="2"/>
      <c r="T883" s="2">
        <v>769</v>
      </c>
      <c r="U883" s="48" t="s">
        <v>91</v>
      </c>
      <c r="V883" s="2"/>
      <c r="W883" s="2"/>
      <c r="X883" s="2"/>
      <c r="Y883" s="3"/>
      <c r="Z883" s="3"/>
      <c r="AA883" s="3"/>
      <c r="AB883" s="3"/>
      <c r="AC883" s="3"/>
      <c r="AD883" s="3"/>
      <c r="AE883" s="3"/>
      <c r="AF883" s="3"/>
      <c r="AG883" s="3"/>
      <c r="AH883" s="3"/>
      <c r="AI883" s="3"/>
      <c r="AJ883" s="3"/>
      <c r="AK883" s="3"/>
      <c r="AL883" s="3"/>
      <c r="AM883" s="3"/>
      <c r="AN883" s="3"/>
      <c r="AO883" s="3"/>
      <c r="AP883" s="3"/>
      <c r="AQ883" s="3"/>
      <c r="AR883" s="3"/>
      <c r="AS883" s="3"/>
      <c r="AT883" s="3"/>
      <c r="AU883" s="3"/>
    </row>
    <row r="884" spans="2:47" ht="14.25" customHeight="1" x14ac:dyDescent="0.3">
      <c r="B884" s="3"/>
      <c r="Q884" s="1"/>
      <c r="R884" s="1"/>
      <c r="S884" s="2"/>
      <c r="T884" s="2">
        <v>770</v>
      </c>
      <c r="U884" s="48" t="s">
        <v>91</v>
      </c>
      <c r="V884" s="2"/>
      <c r="W884" s="2"/>
      <c r="X884" s="2"/>
      <c r="Y884" s="3"/>
      <c r="Z884" s="3"/>
      <c r="AA884" s="3"/>
      <c r="AB884" s="3"/>
      <c r="AC884" s="3"/>
      <c r="AD884" s="3"/>
      <c r="AE884" s="3"/>
      <c r="AF884" s="3"/>
      <c r="AG884" s="3"/>
      <c r="AH884" s="3"/>
      <c r="AI884" s="3"/>
      <c r="AJ884" s="3"/>
      <c r="AK884" s="3"/>
      <c r="AL884" s="3"/>
      <c r="AM884" s="3"/>
      <c r="AN884" s="3"/>
      <c r="AO884" s="3"/>
      <c r="AP884" s="3"/>
      <c r="AQ884" s="3"/>
      <c r="AR884" s="3"/>
      <c r="AS884" s="3"/>
      <c r="AT884" s="3"/>
      <c r="AU884" s="3"/>
    </row>
    <row r="885" spans="2:47" ht="14.25" customHeight="1" x14ac:dyDescent="0.3">
      <c r="B885" s="3"/>
      <c r="Q885" s="1"/>
      <c r="R885" s="1"/>
      <c r="S885" s="2"/>
      <c r="T885" s="2">
        <v>771</v>
      </c>
      <c r="U885" s="48" t="s">
        <v>91</v>
      </c>
      <c r="V885" s="2"/>
      <c r="W885" s="2"/>
      <c r="X885" s="2"/>
      <c r="Y885" s="3"/>
      <c r="Z885" s="3"/>
      <c r="AA885" s="3"/>
      <c r="AB885" s="3"/>
      <c r="AC885" s="3"/>
      <c r="AD885" s="3"/>
      <c r="AE885" s="3"/>
      <c r="AF885" s="3"/>
      <c r="AG885" s="3"/>
      <c r="AH885" s="3"/>
      <c r="AI885" s="3"/>
      <c r="AJ885" s="3"/>
      <c r="AK885" s="3"/>
      <c r="AL885" s="3"/>
      <c r="AM885" s="3"/>
      <c r="AN885" s="3"/>
      <c r="AO885" s="3"/>
      <c r="AP885" s="3"/>
      <c r="AQ885" s="3"/>
      <c r="AR885" s="3"/>
      <c r="AS885" s="3"/>
      <c r="AT885" s="3"/>
      <c r="AU885" s="3"/>
    </row>
    <row r="886" spans="2:47" ht="14.25" customHeight="1" x14ac:dyDescent="0.3">
      <c r="B886" s="3"/>
      <c r="Q886" s="1"/>
      <c r="R886" s="1"/>
      <c r="S886" s="2"/>
      <c r="T886" s="2">
        <v>772</v>
      </c>
      <c r="U886" s="48" t="s">
        <v>91</v>
      </c>
      <c r="V886" s="2"/>
      <c r="W886" s="2"/>
      <c r="X886" s="2"/>
      <c r="Y886" s="3"/>
      <c r="Z886" s="3"/>
      <c r="AA886" s="3"/>
      <c r="AB886" s="3"/>
      <c r="AC886" s="3"/>
      <c r="AD886" s="3"/>
      <c r="AE886" s="3"/>
      <c r="AF886" s="3"/>
      <c r="AG886" s="3"/>
      <c r="AH886" s="3"/>
      <c r="AI886" s="3"/>
      <c r="AJ886" s="3"/>
      <c r="AK886" s="3"/>
      <c r="AL886" s="3"/>
      <c r="AM886" s="3"/>
      <c r="AN886" s="3"/>
      <c r="AO886" s="3"/>
      <c r="AP886" s="3"/>
      <c r="AQ886" s="3"/>
      <c r="AR886" s="3"/>
      <c r="AS886" s="3"/>
      <c r="AT886" s="3"/>
      <c r="AU886" s="3"/>
    </row>
    <row r="887" spans="2:47" ht="14.25" customHeight="1" x14ac:dyDescent="0.3">
      <c r="B887" s="3"/>
      <c r="Q887" s="1"/>
      <c r="R887" s="1"/>
      <c r="S887" s="2"/>
      <c r="T887" s="2">
        <v>773</v>
      </c>
      <c r="U887" s="48" t="s">
        <v>91</v>
      </c>
      <c r="V887" s="2"/>
      <c r="W887" s="2"/>
      <c r="X887" s="2"/>
      <c r="Y887" s="3"/>
      <c r="Z887" s="3"/>
      <c r="AA887" s="3"/>
      <c r="AB887" s="3"/>
      <c r="AC887" s="3"/>
      <c r="AD887" s="3"/>
      <c r="AE887" s="3"/>
      <c r="AF887" s="3"/>
      <c r="AG887" s="3"/>
      <c r="AH887" s="3"/>
      <c r="AI887" s="3"/>
      <c r="AJ887" s="3"/>
      <c r="AK887" s="3"/>
      <c r="AL887" s="3"/>
      <c r="AM887" s="3"/>
      <c r="AN887" s="3"/>
      <c r="AO887" s="3"/>
      <c r="AP887" s="3"/>
      <c r="AQ887" s="3"/>
      <c r="AR887" s="3"/>
      <c r="AS887" s="3"/>
      <c r="AT887" s="3"/>
      <c r="AU887" s="3"/>
    </row>
    <row r="888" spans="2:47" ht="14.25" customHeight="1" x14ac:dyDescent="0.3">
      <c r="B888" s="3"/>
      <c r="Q888" s="1"/>
      <c r="R888" s="1"/>
      <c r="S888" s="2"/>
      <c r="T888" s="2">
        <v>774</v>
      </c>
      <c r="U888" s="48" t="s">
        <v>91</v>
      </c>
      <c r="V888" s="2"/>
      <c r="W888" s="2"/>
      <c r="X888" s="2"/>
      <c r="Y888" s="3"/>
      <c r="Z888" s="3"/>
      <c r="AA888" s="3"/>
      <c r="AB888" s="3"/>
      <c r="AC888" s="3"/>
      <c r="AD888" s="3"/>
      <c r="AE888" s="3"/>
      <c r="AF888" s="3"/>
      <c r="AG888" s="3"/>
      <c r="AH888" s="3"/>
      <c r="AI888" s="3"/>
      <c r="AJ888" s="3"/>
      <c r="AK888" s="3"/>
      <c r="AL888" s="3"/>
      <c r="AM888" s="3"/>
      <c r="AN888" s="3"/>
      <c r="AO888" s="3"/>
      <c r="AP888" s="3"/>
      <c r="AQ888" s="3"/>
      <c r="AR888" s="3"/>
      <c r="AS888" s="3"/>
      <c r="AT888" s="3"/>
      <c r="AU888" s="3"/>
    </row>
    <row r="889" spans="2:47" ht="14.25" customHeight="1" x14ac:dyDescent="0.3">
      <c r="B889" s="3"/>
      <c r="Q889" s="1"/>
      <c r="R889" s="1"/>
      <c r="S889" s="2"/>
      <c r="T889" s="2">
        <v>775</v>
      </c>
      <c r="U889" s="48" t="s">
        <v>91</v>
      </c>
      <c r="V889" s="2"/>
      <c r="W889" s="2"/>
      <c r="X889" s="2"/>
      <c r="Y889" s="3"/>
      <c r="Z889" s="3"/>
      <c r="AA889" s="3"/>
      <c r="AB889" s="3"/>
      <c r="AC889" s="3"/>
      <c r="AD889" s="3"/>
      <c r="AE889" s="3"/>
      <c r="AF889" s="3"/>
      <c r="AG889" s="3"/>
      <c r="AH889" s="3"/>
      <c r="AI889" s="3"/>
      <c r="AJ889" s="3"/>
      <c r="AK889" s="3"/>
      <c r="AL889" s="3"/>
      <c r="AM889" s="3"/>
      <c r="AN889" s="3"/>
      <c r="AO889" s="3"/>
      <c r="AP889" s="3"/>
      <c r="AQ889" s="3"/>
      <c r="AR889" s="3"/>
      <c r="AS889" s="3"/>
      <c r="AT889" s="3"/>
      <c r="AU889" s="3"/>
    </row>
    <row r="890" spans="2:47" ht="14.25" customHeight="1" x14ac:dyDescent="0.3">
      <c r="B890" s="3"/>
      <c r="Q890" s="1"/>
      <c r="R890" s="1"/>
      <c r="S890" s="2"/>
      <c r="T890" s="2">
        <v>776</v>
      </c>
      <c r="U890" s="48" t="s">
        <v>91</v>
      </c>
      <c r="V890" s="2"/>
      <c r="W890" s="2"/>
      <c r="X890" s="2"/>
      <c r="Y890" s="3"/>
      <c r="Z890" s="3"/>
      <c r="AA890" s="3"/>
      <c r="AB890" s="3"/>
      <c r="AC890" s="3"/>
      <c r="AD890" s="3"/>
      <c r="AE890" s="3"/>
      <c r="AF890" s="3"/>
      <c r="AG890" s="3"/>
      <c r="AH890" s="3"/>
      <c r="AI890" s="3"/>
      <c r="AJ890" s="3"/>
      <c r="AK890" s="3"/>
      <c r="AL890" s="3"/>
      <c r="AM890" s="3"/>
      <c r="AN890" s="3"/>
      <c r="AO890" s="3"/>
      <c r="AP890" s="3"/>
      <c r="AQ890" s="3"/>
      <c r="AR890" s="3"/>
      <c r="AS890" s="3"/>
      <c r="AT890" s="3"/>
      <c r="AU890" s="3"/>
    </row>
    <row r="891" spans="2:47" ht="14.25" customHeight="1" x14ac:dyDescent="0.3">
      <c r="B891" s="3"/>
      <c r="Q891" s="1"/>
      <c r="R891" s="1"/>
      <c r="S891" s="2"/>
      <c r="T891" s="2">
        <v>777</v>
      </c>
      <c r="U891" s="48" t="s">
        <v>91</v>
      </c>
      <c r="V891" s="2"/>
      <c r="W891" s="2"/>
      <c r="X891" s="2"/>
      <c r="Y891" s="3"/>
      <c r="Z891" s="3"/>
      <c r="AA891" s="3"/>
      <c r="AB891" s="3"/>
      <c r="AC891" s="3"/>
      <c r="AD891" s="3"/>
      <c r="AE891" s="3"/>
      <c r="AF891" s="3"/>
      <c r="AG891" s="3"/>
      <c r="AH891" s="3"/>
      <c r="AI891" s="3"/>
      <c r="AJ891" s="3"/>
      <c r="AK891" s="3"/>
      <c r="AL891" s="3"/>
      <c r="AM891" s="3"/>
      <c r="AN891" s="3"/>
      <c r="AO891" s="3"/>
      <c r="AP891" s="3"/>
      <c r="AQ891" s="3"/>
      <c r="AR891" s="3"/>
      <c r="AS891" s="3"/>
      <c r="AT891" s="3"/>
      <c r="AU891" s="3"/>
    </row>
    <row r="892" spans="2:47" ht="14.25" customHeight="1" x14ac:dyDescent="0.3">
      <c r="B892" s="3"/>
      <c r="Q892" s="1"/>
      <c r="R892" s="1"/>
      <c r="S892" s="2"/>
      <c r="T892" s="2">
        <v>778</v>
      </c>
      <c r="U892" s="48" t="s">
        <v>91</v>
      </c>
      <c r="V892" s="2"/>
      <c r="W892" s="2"/>
      <c r="X892" s="2"/>
      <c r="Y892" s="3"/>
      <c r="Z892" s="3"/>
      <c r="AA892" s="3"/>
      <c r="AB892" s="3"/>
      <c r="AC892" s="3"/>
      <c r="AD892" s="3"/>
      <c r="AE892" s="3"/>
      <c r="AF892" s="3"/>
      <c r="AG892" s="3"/>
      <c r="AH892" s="3"/>
      <c r="AI892" s="3"/>
      <c r="AJ892" s="3"/>
      <c r="AK892" s="3"/>
      <c r="AL892" s="3"/>
      <c r="AM892" s="3"/>
      <c r="AN892" s="3"/>
      <c r="AO892" s="3"/>
      <c r="AP892" s="3"/>
      <c r="AQ892" s="3"/>
      <c r="AR892" s="3"/>
      <c r="AS892" s="3"/>
      <c r="AT892" s="3"/>
      <c r="AU892" s="3"/>
    </row>
    <row r="893" spans="2:47" ht="14.25" customHeight="1" x14ac:dyDescent="0.3">
      <c r="B893" s="3"/>
      <c r="Q893" s="1"/>
      <c r="R893" s="1"/>
      <c r="S893" s="2"/>
      <c r="T893" s="2">
        <v>779</v>
      </c>
      <c r="U893" s="48" t="s">
        <v>91</v>
      </c>
      <c r="V893" s="2"/>
      <c r="W893" s="2"/>
      <c r="X893" s="2"/>
      <c r="Y893" s="3"/>
      <c r="Z893" s="3"/>
      <c r="AA893" s="3"/>
      <c r="AB893" s="3"/>
      <c r="AC893" s="3"/>
      <c r="AD893" s="3"/>
      <c r="AE893" s="3"/>
      <c r="AF893" s="3"/>
      <c r="AG893" s="3"/>
      <c r="AH893" s="3"/>
      <c r="AI893" s="3"/>
      <c r="AJ893" s="3"/>
      <c r="AK893" s="3"/>
      <c r="AL893" s="3"/>
      <c r="AM893" s="3"/>
      <c r="AN893" s="3"/>
      <c r="AO893" s="3"/>
      <c r="AP893" s="3"/>
      <c r="AQ893" s="3"/>
      <c r="AR893" s="3"/>
      <c r="AS893" s="3"/>
      <c r="AT893" s="3"/>
      <c r="AU893" s="3"/>
    </row>
    <row r="894" spans="2:47" ht="14.25" customHeight="1" x14ac:dyDescent="0.3">
      <c r="B894" s="3"/>
      <c r="Q894" s="1"/>
      <c r="R894" s="1"/>
      <c r="S894" s="2"/>
      <c r="T894" s="2">
        <v>780</v>
      </c>
      <c r="U894" s="48" t="s">
        <v>91</v>
      </c>
      <c r="V894" s="2"/>
      <c r="W894" s="2"/>
      <c r="X894" s="2"/>
      <c r="Y894" s="3"/>
      <c r="Z894" s="3"/>
      <c r="AA894" s="3"/>
      <c r="AB894" s="3"/>
      <c r="AC894" s="3"/>
      <c r="AD894" s="3"/>
      <c r="AE894" s="3"/>
      <c r="AF894" s="3"/>
      <c r="AG894" s="3"/>
      <c r="AH894" s="3"/>
      <c r="AI894" s="3"/>
      <c r="AJ894" s="3"/>
      <c r="AK894" s="3"/>
      <c r="AL894" s="3"/>
      <c r="AM894" s="3"/>
      <c r="AN894" s="3"/>
      <c r="AO894" s="3"/>
      <c r="AP894" s="3"/>
      <c r="AQ894" s="3"/>
      <c r="AR894" s="3"/>
      <c r="AS894" s="3"/>
      <c r="AT894" s="3"/>
      <c r="AU894" s="3"/>
    </row>
    <row r="895" spans="2:47" ht="14.25" customHeight="1" x14ac:dyDescent="0.3">
      <c r="B895" s="3"/>
      <c r="Q895" s="1"/>
      <c r="R895" s="1"/>
      <c r="S895" s="2"/>
      <c r="T895" s="2">
        <v>781</v>
      </c>
      <c r="U895" s="48" t="s">
        <v>91</v>
      </c>
      <c r="V895" s="2"/>
      <c r="W895" s="2"/>
      <c r="X895" s="2"/>
      <c r="Y895" s="3"/>
      <c r="Z895" s="3"/>
      <c r="AA895" s="3"/>
      <c r="AB895" s="3"/>
      <c r="AC895" s="3"/>
      <c r="AD895" s="3"/>
      <c r="AE895" s="3"/>
      <c r="AF895" s="3"/>
      <c r="AG895" s="3"/>
      <c r="AH895" s="3"/>
      <c r="AI895" s="3"/>
      <c r="AJ895" s="3"/>
      <c r="AK895" s="3"/>
      <c r="AL895" s="3"/>
      <c r="AM895" s="3"/>
      <c r="AN895" s="3"/>
      <c r="AO895" s="3"/>
      <c r="AP895" s="3"/>
      <c r="AQ895" s="3"/>
      <c r="AR895" s="3"/>
      <c r="AS895" s="3"/>
      <c r="AT895" s="3"/>
      <c r="AU895" s="3"/>
    </row>
    <row r="896" spans="2:47" ht="14.25" customHeight="1" x14ac:dyDescent="0.3">
      <c r="B896" s="3"/>
      <c r="Q896" s="1"/>
      <c r="R896" s="1"/>
      <c r="S896" s="2"/>
      <c r="T896" s="2">
        <v>782</v>
      </c>
      <c r="U896" s="48" t="s">
        <v>91</v>
      </c>
      <c r="V896" s="2"/>
      <c r="W896" s="2"/>
      <c r="X896" s="2"/>
      <c r="Y896" s="3"/>
      <c r="Z896" s="3"/>
      <c r="AA896" s="3"/>
      <c r="AB896" s="3"/>
      <c r="AC896" s="3"/>
      <c r="AD896" s="3"/>
      <c r="AE896" s="3"/>
      <c r="AF896" s="3"/>
      <c r="AG896" s="3"/>
      <c r="AH896" s="3"/>
      <c r="AI896" s="3"/>
      <c r="AJ896" s="3"/>
      <c r="AK896" s="3"/>
      <c r="AL896" s="3"/>
      <c r="AM896" s="3"/>
      <c r="AN896" s="3"/>
      <c r="AO896" s="3"/>
      <c r="AP896" s="3"/>
      <c r="AQ896" s="3"/>
      <c r="AR896" s="3"/>
      <c r="AS896" s="3"/>
      <c r="AT896" s="3"/>
      <c r="AU896" s="3"/>
    </row>
    <row r="897" spans="2:47" ht="14.25" customHeight="1" x14ac:dyDescent="0.3">
      <c r="B897" s="3"/>
      <c r="Q897" s="1"/>
      <c r="R897" s="1"/>
      <c r="S897" s="2"/>
      <c r="T897" s="2">
        <v>783</v>
      </c>
      <c r="U897" s="48" t="s">
        <v>91</v>
      </c>
      <c r="V897" s="2"/>
      <c r="W897" s="2"/>
      <c r="X897" s="2"/>
      <c r="Y897" s="3"/>
      <c r="Z897" s="3"/>
      <c r="AA897" s="3"/>
      <c r="AB897" s="3"/>
      <c r="AC897" s="3"/>
      <c r="AD897" s="3"/>
      <c r="AE897" s="3"/>
      <c r="AF897" s="3"/>
      <c r="AG897" s="3"/>
      <c r="AH897" s="3"/>
      <c r="AI897" s="3"/>
      <c r="AJ897" s="3"/>
      <c r="AK897" s="3"/>
      <c r="AL897" s="3"/>
      <c r="AM897" s="3"/>
      <c r="AN897" s="3"/>
      <c r="AO897" s="3"/>
      <c r="AP897" s="3"/>
      <c r="AQ897" s="3"/>
      <c r="AR897" s="3"/>
      <c r="AS897" s="3"/>
      <c r="AT897" s="3"/>
      <c r="AU897" s="3"/>
    </row>
    <row r="898" spans="2:47" ht="14.25" customHeight="1" x14ac:dyDescent="0.3">
      <c r="B898" s="3"/>
      <c r="Q898" s="1"/>
      <c r="R898" s="1"/>
      <c r="S898" s="2"/>
      <c r="T898" s="2">
        <v>784</v>
      </c>
      <c r="U898" s="48" t="s">
        <v>91</v>
      </c>
      <c r="V898" s="2"/>
      <c r="W898" s="2"/>
      <c r="X898" s="2"/>
      <c r="Y898" s="3"/>
      <c r="Z898" s="3"/>
      <c r="AA898" s="3"/>
      <c r="AB898" s="3"/>
      <c r="AC898" s="3"/>
      <c r="AD898" s="3"/>
      <c r="AE898" s="3"/>
      <c r="AF898" s="3"/>
      <c r="AG898" s="3"/>
      <c r="AH898" s="3"/>
      <c r="AI898" s="3"/>
      <c r="AJ898" s="3"/>
      <c r="AK898" s="3"/>
      <c r="AL898" s="3"/>
      <c r="AM898" s="3"/>
      <c r="AN898" s="3"/>
      <c r="AO898" s="3"/>
      <c r="AP898" s="3"/>
      <c r="AQ898" s="3"/>
      <c r="AR898" s="3"/>
      <c r="AS898" s="3"/>
      <c r="AT898" s="3"/>
      <c r="AU898" s="3"/>
    </row>
    <row r="899" spans="2:47" ht="14.25" customHeight="1" x14ac:dyDescent="0.3">
      <c r="B899" s="3"/>
      <c r="Q899" s="1"/>
      <c r="R899" s="1"/>
      <c r="S899" s="2"/>
      <c r="T899" s="2">
        <v>785</v>
      </c>
      <c r="U899" s="48" t="s">
        <v>91</v>
      </c>
      <c r="V899" s="2"/>
      <c r="W899" s="2"/>
      <c r="X899" s="2"/>
      <c r="Y899" s="3"/>
      <c r="Z899" s="3"/>
      <c r="AA899" s="3"/>
      <c r="AB899" s="3"/>
      <c r="AC899" s="3"/>
      <c r="AD899" s="3"/>
      <c r="AE899" s="3"/>
      <c r="AF899" s="3"/>
      <c r="AG899" s="3"/>
      <c r="AH899" s="3"/>
      <c r="AI899" s="3"/>
      <c r="AJ899" s="3"/>
      <c r="AK899" s="3"/>
      <c r="AL899" s="3"/>
      <c r="AM899" s="3"/>
      <c r="AN899" s="3"/>
      <c r="AO899" s="3"/>
      <c r="AP899" s="3"/>
      <c r="AQ899" s="3"/>
      <c r="AR899" s="3"/>
      <c r="AS899" s="3"/>
      <c r="AT899" s="3"/>
      <c r="AU899" s="3"/>
    </row>
    <row r="900" spans="2:47" ht="14.25" customHeight="1" x14ac:dyDescent="0.3">
      <c r="B900" s="3"/>
      <c r="Q900" s="1"/>
      <c r="R900" s="1"/>
      <c r="S900" s="2"/>
      <c r="T900" s="2">
        <v>786</v>
      </c>
      <c r="U900" s="48" t="s">
        <v>91</v>
      </c>
      <c r="V900" s="2"/>
      <c r="W900" s="2"/>
      <c r="X900" s="2"/>
      <c r="Y900" s="3"/>
      <c r="Z900" s="3"/>
      <c r="AA900" s="3"/>
      <c r="AB900" s="3"/>
      <c r="AC900" s="3"/>
      <c r="AD900" s="3"/>
      <c r="AE900" s="3"/>
      <c r="AF900" s="3"/>
      <c r="AG900" s="3"/>
      <c r="AH900" s="3"/>
      <c r="AI900" s="3"/>
      <c r="AJ900" s="3"/>
      <c r="AK900" s="3"/>
      <c r="AL900" s="3"/>
      <c r="AM900" s="3"/>
      <c r="AN900" s="3"/>
      <c r="AO900" s="3"/>
      <c r="AP900" s="3"/>
      <c r="AQ900" s="3"/>
      <c r="AR900" s="3"/>
      <c r="AS900" s="3"/>
      <c r="AT900" s="3"/>
      <c r="AU900" s="3"/>
    </row>
    <row r="901" spans="2:47" ht="14.25" customHeight="1" x14ac:dyDescent="0.3">
      <c r="B901" s="3"/>
      <c r="Q901" s="1"/>
      <c r="R901" s="1"/>
      <c r="S901" s="2"/>
      <c r="T901" s="2">
        <v>787</v>
      </c>
      <c r="U901" s="48" t="s">
        <v>91</v>
      </c>
      <c r="V901" s="2"/>
      <c r="W901" s="2"/>
      <c r="X901" s="2"/>
      <c r="Y901" s="3"/>
      <c r="Z901" s="3"/>
      <c r="AA901" s="3"/>
      <c r="AB901" s="3"/>
      <c r="AC901" s="3"/>
      <c r="AD901" s="3"/>
      <c r="AE901" s="3"/>
      <c r="AF901" s="3"/>
      <c r="AG901" s="3"/>
      <c r="AH901" s="3"/>
      <c r="AI901" s="3"/>
      <c r="AJ901" s="3"/>
      <c r="AK901" s="3"/>
      <c r="AL901" s="3"/>
      <c r="AM901" s="3"/>
      <c r="AN901" s="3"/>
      <c r="AO901" s="3"/>
      <c r="AP901" s="3"/>
      <c r="AQ901" s="3"/>
      <c r="AR901" s="3"/>
      <c r="AS901" s="3"/>
      <c r="AT901" s="3"/>
      <c r="AU901" s="3"/>
    </row>
    <row r="902" spans="2:47" ht="14.25" customHeight="1" x14ac:dyDescent="0.3">
      <c r="B902" s="3"/>
      <c r="Q902" s="1"/>
      <c r="R902" s="1"/>
      <c r="S902" s="2"/>
      <c r="T902" s="2">
        <v>788</v>
      </c>
      <c r="U902" s="48" t="s">
        <v>91</v>
      </c>
      <c r="V902" s="2"/>
      <c r="W902" s="2"/>
      <c r="X902" s="2"/>
      <c r="Y902" s="3"/>
      <c r="Z902" s="3"/>
      <c r="AA902" s="3"/>
      <c r="AB902" s="3"/>
      <c r="AC902" s="3"/>
      <c r="AD902" s="3"/>
      <c r="AE902" s="3"/>
      <c r="AF902" s="3"/>
      <c r="AG902" s="3"/>
      <c r="AH902" s="3"/>
      <c r="AI902" s="3"/>
      <c r="AJ902" s="3"/>
      <c r="AK902" s="3"/>
      <c r="AL902" s="3"/>
      <c r="AM902" s="3"/>
      <c r="AN902" s="3"/>
      <c r="AO902" s="3"/>
      <c r="AP902" s="3"/>
      <c r="AQ902" s="3"/>
      <c r="AR902" s="3"/>
      <c r="AS902" s="3"/>
      <c r="AT902" s="3"/>
      <c r="AU902" s="3"/>
    </row>
    <row r="903" spans="2:47" ht="14.25" customHeight="1" x14ac:dyDescent="0.3">
      <c r="B903" s="3"/>
      <c r="Q903" s="1"/>
      <c r="R903" s="1"/>
      <c r="S903" s="2"/>
      <c r="T903" s="2">
        <v>789</v>
      </c>
      <c r="U903" s="48" t="s">
        <v>91</v>
      </c>
      <c r="V903" s="2"/>
      <c r="W903" s="2"/>
      <c r="X903" s="2"/>
      <c r="Y903" s="3"/>
      <c r="Z903" s="3"/>
      <c r="AA903" s="3"/>
      <c r="AB903" s="3"/>
      <c r="AC903" s="3"/>
      <c r="AD903" s="3"/>
      <c r="AE903" s="3"/>
      <c r="AF903" s="3"/>
      <c r="AG903" s="3"/>
      <c r="AH903" s="3"/>
      <c r="AI903" s="3"/>
      <c r="AJ903" s="3"/>
      <c r="AK903" s="3"/>
      <c r="AL903" s="3"/>
      <c r="AM903" s="3"/>
      <c r="AN903" s="3"/>
      <c r="AO903" s="3"/>
      <c r="AP903" s="3"/>
      <c r="AQ903" s="3"/>
      <c r="AR903" s="3"/>
      <c r="AS903" s="3"/>
      <c r="AT903" s="3"/>
      <c r="AU903" s="3"/>
    </row>
    <row r="904" spans="2:47" ht="14.25" customHeight="1" x14ac:dyDescent="0.3">
      <c r="B904" s="3"/>
      <c r="Q904" s="1"/>
      <c r="R904" s="1"/>
      <c r="S904" s="2"/>
      <c r="T904" s="2">
        <v>790</v>
      </c>
      <c r="U904" s="48" t="s">
        <v>91</v>
      </c>
      <c r="V904" s="2"/>
      <c r="W904" s="2"/>
      <c r="X904" s="2"/>
      <c r="Y904" s="3"/>
      <c r="Z904" s="3"/>
      <c r="AA904" s="3"/>
      <c r="AB904" s="3"/>
      <c r="AC904" s="3"/>
      <c r="AD904" s="3"/>
      <c r="AE904" s="3"/>
      <c r="AF904" s="3"/>
      <c r="AG904" s="3"/>
      <c r="AH904" s="3"/>
      <c r="AI904" s="3"/>
      <c r="AJ904" s="3"/>
      <c r="AK904" s="3"/>
      <c r="AL904" s="3"/>
      <c r="AM904" s="3"/>
      <c r="AN904" s="3"/>
      <c r="AO904" s="3"/>
      <c r="AP904" s="3"/>
      <c r="AQ904" s="3"/>
      <c r="AR904" s="3"/>
      <c r="AS904" s="3"/>
      <c r="AT904" s="3"/>
      <c r="AU904" s="3"/>
    </row>
    <row r="905" spans="2:47" ht="14.25" customHeight="1" x14ac:dyDescent="0.3">
      <c r="B905" s="3"/>
      <c r="Q905" s="1"/>
      <c r="R905" s="1"/>
      <c r="S905" s="2"/>
      <c r="T905" s="2">
        <v>791</v>
      </c>
      <c r="U905" s="48" t="s">
        <v>91</v>
      </c>
      <c r="V905" s="2"/>
      <c r="W905" s="2"/>
      <c r="X905" s="2"/>
      <c r="Y905" s="3"/>
      <c r="Z905" s="3"/>
      <c r="AA905" s="3"/>
      <c r="AB905" s="3"/>
      <c r="AC905" s="3"/>
      <c r="AD905" s="3"/>
      <c r="AE905" s="3"/>
      <c r="AF905" s="3"/>
      <c r="AG905" s="3"/>
      <c r="AH905" s="3"/>
      <c r="AI905" s="3"/>
      <c r="AJ905" s="3"/>
      <c r="AK905" s="3"/>
      <c r="AL905" s="3"/>
      <c r="AM905" s="3"/>
      <c r="AN905" s="3"/>
      <c r="AO905" s="3"/>
      <c r="AP905" s="3"/>
      <c r="AQ905" s="3"/>
      <c r="AR905" s="3"/>
      <c r="AS905" s="3"/>
      <c r="AT905" s="3"/>
      <c r="AU905" s="3"/>
    </row>
    <row r="906" spans="2:47" ht="14.25" customHeight="1" x14ac:dyDescent="0.3">
      <c r="B906" s="3"/>
      <c r="Q906" s="1"/>
      <c r="R906" s="1"/>
      <c r="S906" s="2"/>
      <c r="T906" s="2">
        <v>792</v>
      </c>
      <c r="U906" s="48" t="s">
        <v>91</v>
      </c>
      <c r="V906" s="2"/>
      <c r="W906" s="2"/>
      <c r="X906" s="2"/>
      <c r="Y906" s="3"/>
      <c r="Z906" s="3"/>
      <c r="AA906" s="3"/>
      <c r="AB906" s="3"/>
      <c r="AC906" s="3"/>
      <c r="AD906" s="3"/>
      <c r="AE906" s="3"/>
      <c r="AF906" s="3"/>
      <c r="AG906" s="3"/>
      <c r="AH906" s="3"/>
      <c r="AI906" s="3"/>
      <c r="AJ906" s="3"/>
      <c r="AK906" s="3"/>
      <c r="AL906" s="3"/>
      <c r="AM906" s="3"/>
      <c r="AN906" s="3"/>
      <c r="AO906" s="3"/>
      <c r="AP906" s="3"/>
      <c r="AQ906" s="3"/>
      <c r="AR906" s="3"/>
      <c r="AS906" s="3"/>
      <c r="AT906" s="3"/>
      <c r="AU906" s="3"/>
    </row>
    <row r="907" spans="2:47" ht="14.25" customHeight="1" x14ac:dyDescent="0.3">
      <c r="B907" s="3"/>
      <c r="Q907" s="1"/>
      <c r="R907" s="1"/>
      <c r="S907" s="2"/>
      <c r="T907" s="2">
        <v>793</v>
      </c>
      <c r="U907" s="48" t="s">
        <v>91</v>
      </c>
      <c r="V907" s="2"/>
      <c r="W907" s="2"/>
      <c r="X907" s="2"/>
      <c r="Y907" s="3"/>
      <c r="Z907" s="3"/>
      <c r="AA907" s="3"/>
      <c r="AB907" s="3"/>
      <c r="AC907" s="3"/>
      <c r="AD907" s="3"/>
      <c r="AE907" s="3"/>
      <c r="AF907" s="3"/>
      <c r="AG907" s="3"/>
      <c r="AH907" s="3"/>
      <c r="AI907" s="3"/>
      <c r="AJ907" s="3"/>
      <c r="AK907" s="3"/>
      <c r="AL907" s="3"/>
      <c r="AM907" s="3"/>
      <c r="AN907" s="3"/>
      <c r="AO907" s="3"/>
      <c r="AP907" s="3"/>
      <c r="AQ907" s="3"/>
      <c r="AR907" s="3"/>
      <c r="AS907" s="3"/>
      <c r="AT907" s="3"/>
      <c r="AU907" s="3"/>
    </row>
    <row r="908" spans="2:47" ht="14.25" customHeight="1" x14ac:dyDescent="0.3">
      <c r="B908" s="3"/>
      <c r="Q908" s="1"/>
      <c r="R908" s="1"/>
      <c r="S908" s="2"/>
      <c r="T908" s="2">
        <v>794</v>
      </c>
      <c r="U908" s="48" t="s">
        <v>91</v>
      </c>
      <c r="V908" s="2"/>
      <c r="W908" s="2"/>
      <c r="X908" s="2"/>
      <c r="Y908" s="3"/>
      <c r="Z908" s="3"/>
      <c r="AA908" s="3"/>
      <c r="AB908" s="3"/>
      <c r="AC908" s="3"/>
      <c r="AD908" s="3"/>
      <c r="AE908" s="3"/>
      <c r="AF908" s="3"/>
      <c r="AG908" s="3"/>
      <c r="AH908" s="3"/>
      <c r="AI908" s="3"/>
      <c r="AJ908" s="3"/>
      <c r="AK908" s="3"/>
      <c r="AL908" s="3"/>
      <c r="AM908" s="3"/>
      <c r="AN908" s="3"/>
      <c r="AO908" s="3"/>
      <c r="AP908" s="3"/>
      <c r="AQ908" s="3"/>
      <c r="AR908" s="3"/>
      <c r="AS908" s="3"/>
      <c r="AT908" s="3"/>
      <c r="AU908" s="3"/>
    </row>
    <row r="909" spans="2:47" ht="14.25" customHeight="1" x14ac:dyDescent="0.3">
      <c r="B909" s="3"/>
      <c r="Q909" s="1"/>
      <c r="R909" s="1"/>
      <c r="S909" s="2"/>
      <c r="T909" s="2">
        <v>795</v>
      </c>
      <c r="U909" s="48" t="s">
        <v>91</v>
      </c>
      <c r="V909" s="2"/>
      <c r="W909" s="2"/>
      <c r="X909" s="2"/>
      <c r="Y909" s="3"/>
      <c r="Z909" s="3"/>
      <c r="AA909" s="3"/>
      <c r="AB909" s="3"/>
      <c r="AC909" s="3"/>
      <c r="AD909" s="3"/>
      <c r="AE909" s="3"/>
      <c r="AF909" s="3"/>
      <c r="AG909" s="3"/>
      <c r="AH909" s="3"/>
      <c r="AI909" s="3"/>
      <c r="AJ909" s="3"/>
      <c r="AK909" s="3"/>
      <c r="AL909" s="3"/>
      <c r="AM909" s="3"/>
      <c r="AN909" s="3"/>
      <c r="AO909" s="3"/>
      <c r="AP909" s="3"/>
      <c r="AQ909" s="3"/>
      <c r="AR909" s="3"/>
      <c r="AS909" s="3"/>
      <c r="AT909" s="3"/>
      <c r="AU909" s="3"/>
    </row>
    <row r="910" spans="2:47" ht="14.25" customHeight="1" x14ac:dyDescent="0.3">
      <c r="B910" s="3"/>
      <c r="Q910" s="1"/>
      <c r="R910" s="1"/>
      <c r="S910" s="2"/>
      <c r="T910" s="2">
        <v>796</v>
      </c>
      <c r="U910" s="48" t="s">
        <v>91</v>
      </c>
      <c r="V910" s="2"/>
      <c r="W910" s="2"/>
      <c r="X910" s="2"/>
      <c r="Y910" s="3"/>
      <c r="Z910" s="3"/>
      <c r="AA910" s="3"/>
      <c r="AB910" s="3"/>
      <c r="AC910" s="3"/>
      <c r="AD910" s="3"/>
      <c r="AE910" s="3"/>
      <c r="AF910" s="3"/>
      <c r="AG910" s="3"/>
      <c r="AH910" s="3"/>
      <c r="AI910" s="3"/>
      <c r="AJ910" s="3"/>
      <c r="AK910" s="3"/>
      <c r="AL910" s="3"/>
      <c r="AM910" s="3"/>
      <c r="AN910" s="3"/>
      <c r="AO910" s="3"/>
      <c r="AP910" s="3"/>
      <c r="AQ910" s="3"/>
      <c r="AR910" s="3"/>
      <c r="AS910" s="3"/>
      <c r="AT910" s="3"/>
      <c r="AU910" s="3"/>
    </row>
    <row r="911" spans="2:47" ht="14.25" customHeight="1" x14ac:dyDescent="0.3">
      <c r="B911" s="3"/>
      <c r="Q911" s="1"/>
      <c r="R911" s="1"/>
      <c r="S911" s="2"/>
      <c r="T911" s="2">
        <v>797</v>
      </c>
      <c r="U911" s="48" t="s">
        <v>91</v>
      </c>
      <c r="V911" s="2"/>
      <c r="W911" s="2"/>
      <c r="X911" s="2"/>
      <c r="Y911" s="3"/>
      <c r="Z911" s="3"/>
      <c r="AA911" s="3"/>
      <c r="AB911" s="3"/>
      <c r="AC911" s="3"/>
      <c r="AD911" s="3"/>
      <c r="AE911" s="3"/>
      <c r="AF911" s="3"/>
      <c r="AG911" s="3"/>
      <c r="AH911" s="3"/>
      <c r="AI911" s="3"/>
      <c r="AJ911" s="3"/>
      <c r="AK911" s="3"/>
      <c r="AL911" s="3"/>
      <c r="AM911" s="3"/>
      <c r="AN911" s="3"/>
      <c r="AO911" s="3"/>
      <c r="AP911" s="3"/>
      <c r="AQ911" s="3"/>
      <c r="AR911" s="3"/>
      <c r="AS911" s="3"/>
      <c r="AT911" s="3"/>
      <c r="AU911" s="3"/>
    </row>
    <row r="912" spans="2:47" ht="14.25" customHeight="1" x14ac:dyDescent="0.3">
      <c r="B912" s="3"/>
      <c r="Q912" s="1"/>
      <c r="R912" s="1"/>
      <c r="S912" s="2"/>
      <c r="T912" s="2">
        <v>798</v>
      </c>
      <c r="U912" s="48" t="s">
        <v>91</v>
      </c>
      <c r="V912" s="2"/>
      <c r="W912" s="2"/>
      <c r="X912" s="2"/>
      <c r="Y912" s="3"/>
      <c r="Z912" s="3"/>
      <c r="AA912" s="3"/>
      <c r="AB912" s="3"/>
      <c r="AC912" s="3"/>
      <c r="AD912" s="3"/>
      <c r="AE912" s="3"/>
      <c r="AF912" s="3"/>
      <c r="AG912" s="3"/>
      <c r="AH912" s="3"/>
      <c r="AI912" s="3"/>
      <c r="AJ912" s="3"/>
      <c r="AK912" s="3"/>
      <c r="AL912" s="3"/>
      <c r="AM912" s="3"/>
      <c r="AN912" s="3"/>
      <c r="AO912" s="3"/>
      <c r="AP912" s="3"/>
      <c r="AQ912" s="3"/>
      <c r="AR912" s="3"/>
      <c r="AS912" s="3"/>
      <c r="AT912" s="3"/>
      <c r="AU912" s="3"/>
    </row>
    <row r="913" spans="2:47" ht="14.25" customHeight="1" x14ac:dyDescent="0.3">
      <c r="B913" s="3"/>
      <c r="Q913" s="1"/>
      <c r="R913" s="1"/>
      <c r="S913" s="2"/>
      <c r="T913" s="2">
        <v>799</v>
      </c>
      <c r="U913" s="48" t="s">
        <v>91</v>
      </c>
      <c r="V913" s="2"/>
      <c r="W913" s="2"/>
      <c r="X913" s="2"/>
      <c r="Y913" s="3"/>
      <c r="Z913" s="3"/>
      <c r="AA913" s="3"/>
      <c r="AB913" s="3"/>
      <c r="AC913" s="3"/>
      <c r="AD913" s="3"/>
      <c r="AE913" s="3"/>
      <c r="AF913" s="3"/>
      <c r="AG913" s="3"/>
      <c r="AH913" s="3"/>
      <c r="AI913" s="3"/>
      <c r="AJ913" s="3"/>
      <c r="AK913" s="3"/>
      <c r="AL913" s="3"/>
      <c r="AM913" s="3"/>
      <c r="AN913" s="3"/>
      <c r="AO913" s="3"/>
      <c r="AP913" s="3"/>
      <c r="AQ913" s="3"/>
      <c r="AR913" s="3"/>
      <c r="AS913" s="3"/>
      <c r="AT913" s="3"/>
      <c r="AU913" s="3"/>
    </row>
    <row r="914" spans="2:47" ht="14.25" customHeight="1" x14ac:dyDescent="0.3">
      <c r="B914" s="3"/>
      <c r="Q914" s="1"/>
      <c r="R914" s="1"/>
      <c r="S914" s="2"/>
      <c r="T914" s="2">
        <v>800</v>
      </c>
      <c r="U914" s="48" t="s">
        <v>91</v>
      </c>
      <c r="V914" s="2"/>
      <c r="W914" s="2"/>
      <c r="X914" s="2"/>
      <c r="Y914" s="3"/>
      <c r="Z914" s="3"/>
      <c r="AA914" s="3"/>
      <c r="AB914" s="3"/>
      <c r="AC914" s="3"/>
      <c r="AD914" s="3"/>
      <c r="AE914" s="3"/>
      <c r="AF914" s="3"/>
      <c r="AG914" s="3"/>
      <c r="AH914" s="3"/>
      <c r="AI914" s="3"/>
      <c r="AJ914" s="3"/>
      <c r="AK914" s="3"/>
      <c r="AL914" s="3"/>
      <c r="AM914" s="3"/>
      <c r="AN914" s="3"/>
      <c r="AO914" s="3"/>
      <c r="AP914" s="3"/>
      <c r="AQ914" s="3"/>
      <c r="AR914" s="3"/>
      <c r="AS914" s="3"/>
      <c r="AT914" s="3"/>
      <c r="AU914" s="3"/>
    </row>
    <row r="915" spans="2:47" ht="14.25" customHeight="1" x14ac:dyDescent="0.3">
      <c r="B915" s="3"/>
      <c r="Q915" s="1"/>
      <c r="R915" s="1"/>
      <c r="S915" s="2"/>
      <c r="T915" s="2">
        <v>801</v>
      </c>
      <c r="U915" s="48" t="s">
        <v>91</v>
      </c>
      <c r="V915" s="2"/>
      <c r="W915" s="2"/>
      <c r="X915" s="2"/>
      <c r="Y915" s="3"/>
      <c r="Z915" s="3"/>
      <c r="AA915" s="3"/>
      <c r="AB915" s="3"/>
      <c r="AC915" s="3"/>
      <c r="AD915" s="3"/>
      <c r="AE915" s="3"/>
      <c r="AF915" s="3"/>
      <c r="AG915" s="3"/>
      <c r="AH915" s="3"/>
      <c r="AI915" s="3"/>
      <c r="AJ915" s="3"/>
      <c r="AK915" s="3"/>
      <c r="AL915" s="3"/>
      <c r="AM915" s="3"/>
      <c r="AN915" s="3"/>
      <c r="AO915" s="3"/>
      <c r="AP915" s="3"/>
      <c r="AQ915" s="3"/>
      <c r="AR915" s="3"/>
      <c r="AS915" s="3"/>
      <c r="AT915" s="3"/>
      <c r="AU915" s="3"/>
    </row>
    <row r="916" spans="2:47" ht="14.25" customHeight="1" x14ac:dyDescent="0.3">
      <c r="B916" s="3"/>
      <c r="Q916" s="1"/>
      <c r="R916" s="1"/>
      <c r="S916" s="2"/>
      <c r="T916" s="2">
        <v>802</v>
      </c>
      <c r="U916" s="48" t="s">
        <v>91</v>
      </c>
      <c r="V916" s="2"/>
      <c r="W916" s="2"/>
      <c r="X916" s="2"/>
      <c r="Y916" s="3"/>
      <c r="Z916" s="3"/>
      <c r="AA916" s="3"/>
      <c r="AB916" s="3"/>
      <c r="AC916" s="3"/>
      <c r="AD916" s="3"/>
      <c r="AE916" s="3"/>
      <c r="AF916" s="3"/>
      <c r="AG916" s="3"/>
      <c r="AH916" s="3"/>
      <c r="AI916" s="3"/>
      <c r="AJ916" s="3"/>
      <c r="AK916" s="3"/>
      <c r="AL916" s="3"/>
      <c r="AM916" s="3"/>
      <c r="AN916" s="3"/>
      <c r="AO916" s="3"/>
      <c r="AP916" s="3"/>
      <c r="AQ916" s="3"/>
      <c r="AR916" s="3"/>
      <c r="AS916" s="3"/>
      <c r="AT916" s="3"/>
      <c r="AU916" s="3"/>
    </row>
    <row r="917" spans="2:47" ht="14.25" customHeight="1" x14ac:dyDescent="0.3">
      <c r="B917" s="3"/>
      <c r="Q917" s="1"/>
      <c r="R917" s="1"/>
      <c r="S917" s="2"/>
      <c r="T917" s="2">
        <v>803</v>
      </c>
      <c r="U917" s="48" t="s">
        <v>91</v>
      </c>
      <c r="V917" s="2"/>
      <c r="W917" s="2"/>
      <c r="X917" s="2"/>
      <c r="Y917" s="3"/>
      <c r="Z917" s="3"/>
      <c r="AA917" s="3"/>
      <c r="AB917" s="3"/>
      <c r="AC917" s="3"/>
      <c r="AD917" s="3"/>
      <c r="AE917" s="3"/>
      <c r="AF917" s="3"/>
      <c r="AG917" s="3"/>
      <c r="AH917" s="3"/>
      <c r="AI917" s="3"/>
      <c r="AJ917" s="3"/>
      <c r="AK917" s="3"/>
      <c r="AL917" s="3"/>
      <c r="AM917" s="3"/>
      <c r="AN917" s="3"/>
      <c r="AO917" s="3"/>
      <c r="AP917" s="3"/>
      <c r="AQ917" s="3"/>
      <c r="AR917" s="3"/>
      <c r="AS917" s="3"/>
      <c r="AT917" s="3"/>
      <c r="AU917" s="3"/>
    </row>
    <row r="918" spans="2:47" ht="14.25" customHeight="1" x14ac:dyDescent="0.3">
      <c r="B918" s="3"/>
      <c r="Q918" s="1"/>
      <c r="R918" s="1"/>
      <c r="S918" s="2"/>
      <c r="T918" s="2">
        <v>804</v>
      </c>
      <c r="U918" s="48" t="s">
        <v>91</v>
      </c>
      <c r="V918" s="2"/>
      <c r="W918" s="2"/>
      <c r="X918" s="2"/>
      <c r="Y918" s="3"/>
      <c r="Z918" s="3"/>
      <c r="AA918" s="3"/>
      <c r="AB918" s="3"/>
      <c r="AC918" s="3"/>
      <c r="AD918" s="3"/>
      <c r="AE918" s="3"/>
      <c r="AF918" s="3"/>
      <c r="AG918" s="3"/>
      <c r="AH918" s="3"/>
      <c r="AI918" s="3"/>
      <c r="AJ918" s="3"/>
      <c r="AK918" s="3"/>
      <c r="AL918" s="3"/>
      <c r="AM918" s="3"/>
      <c r="AN918" s="3"/>
      <c r="AO918" s="3"/>
      <c r="AP918" s="3"/>
      <c r="AQ918" s="3"/>
      <c r="AR918" s="3"/>
      <c r="AS918" s="3"/>
      <c r="AT918" s="3"/>
      <c r="AU918" s="3"/>
    </row>
    <row r="919" spans="2:47" ht="14.25" customHeight="1" x14ac:dyDescent="0.3">
      <c r="B919" s="3"/>
      <c r="Q919" s="1"/>
      <c r="R919" s="1"/>
      <c r="S919" s="2"/>
      <c r="T919" s="2">
        <v>805</v>
      </c>
      <c r="U919" s="48" t="s">
        <v>91</v>
      </c>
      <c r="V919" s="2"/>
      <c r="W919" s="2"/>
      <c r="X919" s="2"/>
      <c r="Y919" s="3"/>
      <c r="Z919" s="3"/>
      <c r="AA919" s="3"/>
      <c r="AB919" s="3"/>
      <c r="AC919" s="3"/>
      <c r="AD919" s="3"/>
      <c r="AE919" s="3"/>
      <c r="AF919" s="3"/>
      <c r="AG919" s="3"/>
      <c r="AH919" s="3"/>
      <c r="AI919" s="3"/>
      <c r="AJ919" s="3"/>
      <c r="AK919" s="3"/>
      <c r="AL919" s="3"/>
      <c r="AM919" s="3"/>
      <c r="AN919" s="3"/>
      <c r="AO919" s="3"/>
      <c r="AP919" s="3"/>
      <c r="AQ919" s="3"/>
      <c r="AR919" s="3"/>
      <c r="AS919" s="3"/>
      <c r="AT919" s="3"/>
      <c r="AU919" s="3"/>
    </row>
    <row r="920" spans="2:47" ht="14.25" customHeight="1" x14ac:dyDescent="0.3">
      <c r="B920" s="3"/>
      <c r="Q920" s="1"/>
      <c r="R920" s="1"/>
      <c r="S920" s="2"/>
      <c r="T920" s="2">
        <v>806</v>
      </c>
      <c r="U920" s="48" t="s">
        <v>91</v>
      </c>
      <c r="V920" s="2"/>
      <c r="W920" s="2"/>
      <c r="X920" s="2"/>
      <c r="Y920" s="3"/>
      <c r="Z920" s="3"/>
      <c r="AA920" s="3"/>
      <c r="AB920" s="3"/>
      <c r="AC920" s="3"/>
      <c r="AD920" s="3"/>
      <c r="AE920" s="3"/>
      <c r="AF920" s="3"/>
      <c r="AG920" s="3"/>
      <c r="AH920" s="3"/>
      <c r="AI920" s="3"/>
      <c r="AJ920" s="3"/>
      <c r="AK920" s="3"/>
      <c r="AL920" s="3"/>
      <c r="AM920" s="3"/>
      <c r="AN920" s="3"/>
      <c r="AO920" s="3"/>
      <c r="AP920" s="3"/>
      <c r="AQ920" s="3"/>
      <c r="AR920" s="3"/>
      <c r="AS920" s="3"/>
      <c r="AT920" s="3"/>
      <c r="AU920" s="3"/>
    </row>
    <row r="921" spans="2:47" ht="14.25" customHeight="1" x14ac:dyDescent="0.3">
      <c r="B921" s="3"/>
      <c r="Q921" s="1"/>
      <c r="R921" s="1"/>
      <c r="S921" s="2"/>
      <c r="T921" s="2">
        <v>807</v>
      </c>
      <c r="U921" s="48" t="s">
        <v>91</v>
      </c>
      <c r="V921" s="2"/>
      <c r="W921" s="2"/>
      <c r="X921" s="2"/>
      <c r="Y921" s="3"/>
      <c r="Z921" s="3"/>
      <c r="AA921" s="3"/>
      <c r="AB921" s="3"/>
      <c r="AC921" s="3"/>
      <c r="AD921" s="3"/>
      <c r="AE921" s="3"/>
      <c r="AF921" s="3"/>
      <c r="AG921" s="3"/>
      <c r="AH921" s="3"/>
      <c r="AI921" s="3"/>
      <c r="AJ921" s="3"/>
      <c r="AK921" s="3"/>
      <c r="AL921" s="3"/>
      <c r="AM921" s="3"/>
      <c r="AN921" s="3"/>
      <c r="AO921" s="3"/>
      <c r="AP921" s="3"/>
      <c r="AQ921" s="3"/>
      <c r="AR921" s="3"/>
      <c r="AS921" s="3"/>
      <c r="AT921" s="3"/>
      <c r="AU921" s="3"/>
    </row>
    <row r="922" spans="2:47" ht="14.25" customHeight="1" x14ac:dyDescent="0.3">
      <c r="B922" s="3"/>
      <c r="Q922" s="1"/>
      <c r="R922" s="1"/>
      <c r="S922" s="2"/>
      <c r="T922" s="2">
        <v>808</v>
      </c>
      <c r="U922" s="48" t="s">
        <v>91</v>
      </c>
      <c r="V922" s="2"/>
      <c r="W922" s="2"/>
      <c r="X922" s="2"/>
      <c r="Y922" s="3"/>
      <c r="Z922" s="3"/>
      <c r="AA922" s="3"/>
      <c r="AB922" s="3"/>
      <c r="AC922" s="3"/>
      <c r="AD922" s="3"/>
      <c r="AE922" s="3"/>
      <c r="AF922" s="3"/>
      <c r="AG922" s="3"/>
      <c r="AH922" s="3"/>
      <c r="AI922" s="3"/>
      <c r="AJ922" s="3"/>
      <c r="AK922" s="3"/>
      <c r="AL922" s="3"/>
      <c r="AM922" s="3"/>
      <c r="AN922" s="3"/>
      <c r="AO922" s="3"/>
      <c r="AP922" s="3"/>
      <c r="AQ922" s="3"/>
      <c r="AR922" s="3"/>
      <c r="AS922" s="3"/>
      <c r="AT922" s="3"/>
      <c r="AU922" s="3"/>
    </row>
    <row r="923" spans="2:47" ht="14.25" customHeight="1" x14ac:dyDescent="0.3">
      <c r="B923" s="3"/>
      <c r="Q923" s="1"/>
      <c r="R923" s="1"/>
      <c r="S923" s="2"/>
      <c r="T923" s="2">
        <v>809</v>
      </c>
      <c r="U923" s="48" t="s">
        <v>91</v>
      </c>
      <c r="V923" s="2"/>
      <c r="W923" s="2"/>
      <c r="X923" s="2"/>
      <c r="Y923" s="3"/>
      <c r="Z923" s="3"/>
      <c r="AA923" s="3"/>
      <c r="AB923" s="3"/>
      <c r="AC923" s="3"/>
      <c r="AD923" s="3"/>
      <c r="AE923" s="3"/>
      <c r="AF923" s="3"/>
      <c r="AG923" s="3"/>
      <c r="AH923" s="3"/>
      <c r="AI923" s="3"/>
      <c r="AJ923" s="3"/>
      <c r="AK923" s="3"/>
      <c r="AL923" s="3"/>
      <c r="AM923" s="3"/>
      <c r="AN923" s="3"/>
      <c r="AO923" s="3"/>
      <c r="AP923" s="3"/>
      <c r="AQ923" s="3"/>
      <c r="AR923" s="3"/>
      <c r="AS923" s="3"/>
      <c r="AT923" s="3"/>
      <c r="AU923" s="3"/>
    </row>
    <row r="924" spans="2:47" ht="14.25" customHeight="1" x14ac:dyDescent="0.3">
      <c r="B924" s="3"/>
      <c r="Q924" s="1"/>
      <c r="R924" s="1"/>
      <c r="S924" s="2"/>
      <c r="T924" s="2">
        <v>810</v>
      </c>
      <c r="U924" s="48" t="s">
        <v>91</v>
      </c>
      <c r="V924" s="2"/>
      <c r="W924" s="2"/>
      <c r="X924" s="2"/>
      <c r="Y924" s="3"/>
      <c r="Z924" s="3"/>
      <c r="AA924" s="3"/>
      <c r="AB924" s="3"/>
      <c r="AC924" s="3"/>
      <c r="AD924" s="3"/>
      <c r="AE924" s="3"/>
      <c r="AF924" s="3"/>
      <c r="AG924" s="3"/>
      <c r="AH924" s="3"/>
      <c r="AI924" s="3"/>
      <c r="AJ924" s="3"/>
      <c r="AK924" s="3"/>
      <c r="AL924" s="3"/>
      <c r="AM924" s="3"/>
      <c r="AN924" s="3"/>
      <c r="AO924" s="3"/>
      <c r="AP924" s="3"/>
      <c r="AQ924" s="3"/>
      <c r="AR924" s="3"/>
      <c r="AS924" s="3"/>
      <c r="AT924" s="3"/>
      <c r="AU924" s="3"/>
    </row>
    <row r="925" spans="2:47" ht="14.25" customHeight="1" x14ac:dyDescent="0.3">
      <c r="B925" s="3"/>
      <c r="Q925" s="1"/>
      <c r="R925" s="1"/>
      <c r="S925" s="2"/>
      <c r="T925" s="2">
        <v>811</v>
      </c>
      <c r="U925" s="48" t="s">
        <v>91</v>
      </c>
      <c r="V925" s="2"/>
      <c r="W925" s="2"/>
      <c r="X925" s="2"/>
      <c r="Y925" s="3"/>
      <c r="Z925" s="3"/>
      <c r="AA925" s="3"/>
      <c r="AB925" s="3"/>
      <c r="AC925" s="3"/>
      <c r="AD925" s="3"/>
      <c r="AE925" s="3"/>
      <c r="AF925" s="3"/>
      <c r="AG925" s="3"/>
      <c r="AH925" s="3"/>
      <c r="AI925" s="3"/>
      <c r="AJ925" s="3"/>
      <c r="AK925" s="3"/>
      <c r="AL925" s="3"/>
      <c r="AM925" s="3"/>
      <c r="AN925" s="3"/>
      <c r="AO925" s="3"/>
      <c r="AP925" s="3"/>
      <c r="AQ925" s="3"/>
      <c r="AR925" s="3"/>
      <c r="AS925" s="3"/>
      <c r="AT925" s="3"/>
      <c r="AU925" s="3"/>
    </row>
    <row r="926" spans="2:47" ht="14.25" customHeight="1" x14ac:dyDescent="0.3">
      <c r="B926" s="3"/>
      <c r="Q926" s="1"/>
      <c r="R926" s="1"/>
      <c r="S926" s="2"/>
      <c r="T926" s="2">
        <v>812</v>
      </c>
      <c r="U926" s="48" t="s">
        <v>91</v>
      </c>
      <c r="V926" s="2"/>
      <c r="W926" s="2"/>
      <c r="X926" s="2"/>
      <c r="Y926" s="3"/>
      <c r="Z926" s="3"/>
      <c r="AA926" s="3"/>
      <c r="AB926" s="3"/>
      <c r="AC926" s="3"/>
      <c r="AD926" s="3"/>
      <c r="AE926" s="3"/>
      <c r="AF926" s="3"/>
      <c r="AG926" s="3"/>
      <c r="AH926" s="3"/>
      <c r="AI926" s="3"/>
      <c r="AJ926" s="3"/>
      <c r="AK926" s="3"/>
      <c r="AL926" s="3"/>
      <c r="AM926" s="3"/>
      <c r="AN926" s="3"/>
      <c r="AO926" s="3"/>
      <c r="AP926" s="3"/>
      <c r="AQ926" s="3"/>
      <c r="AR926" s="3"/>
      <c r="AS926" s="3"/>
      <c r="AT926" s="3"/>
      <c r="AU926" s="3"/>
    </row>
    <row r="927" spans="2:47" ht="14.25" customHeight="1" x14ac:dyDescent="0.3">
      <c r="B927" s="3"/>
      <c r="Q927" s="1"/>
      <c r="R927" s="1"/>
      <c r="S927" s="2"/>
      <c r="T927" s="2">
        <v>813</v>
      </c>
      <c r="U927" s="48" t="s">
        <v>91</v>
      </c>
      <c r="V927" s="2"/>
      <c r="W927" s="2"/>
      <c r="X927" s="2"/>
      <c r="Y927" s="3"/>
      <c r="Z927" s="3"/>
      <c r="AA927" s="3"/>
      <c r="AB927" s="3"/>
      <c r="AC927" s="3"/>
      <c r="AD927" s="3"/>
      <c r="AE927" s="3"/>
      <c r="AF927" s="3"/>
      <c r="AG927" s="3"/>
      <c r="AH927" s="3"/>
      <c r="AI927" s="3"/>
      <c r="AJ927" s="3"/>
      <c r="AK927" s="3"/>
      <c r="AL927" s="3"/>
      <c r="AM927" s="3"/>
      <c r="AN927" s="3"/>
      <c r="AO927" s="3"/>
      <c r="AP927" s="3"/>
      <c r="AQ927" s="3"/>
      <c r="AR927" s="3"/>
      <c r="AS927" s="3"/>
      <c r="AT927" s="3"/>
      <c r="AU927" s="3"/>
    </row>
    <row r="928" spans="2:47" ht="14.25" customHeight="1" x14ac:dyDescent="0.3">
      <c r="B928" s="3"/>
      <c r="Q928" s="1"/>
      <c r="R928" s="1"/>
      <c r="S928" s="2"/>
      <c r="T928" s="2">
        <v>814</v>
      </c>
      <c r="U928" s="48" t="s">
        <v>91</v>
      </c>
      <c r="V928" s="2"/>
      <c r="W928" s="2"/>
      <c r="X928" s="2"/>
      <c r="Y928" s="3"/>
      <c r="Z928" s="3"/>
      <c r="AA928" s="3"/>
      <c r="AB928" s="3"/>
      <c r="AC928" s="3"/>
      <c r="AD928" s="3"/>
      <c r="AE928" s="3"/>
      <c r="AF928" s="3"/>
      <c r="AG928" s="3"/>
      <c r="AH928" s="3"/>
      <c r="AI928" s="3"/>
      <c r="AJ928" s="3"/>
      <c r="AK928" s="3"/>
      <c r="AL928" s="3"/>
      <c r="AM928" s="3"/>
      <c r="AN928" s="3"/>
      <c r="AO928" s="3"/>
      <c r="AP928" s="3"/>
      <c r="AQ928" s="3"/>
      <c r="AR928" s="3"/>
      <c r="AS928" s="3"/>
      <c r="AT928" s="3"/>
      <c r="AU928" s="3"/>
    </row>
    <row r="929" spans="2:47" ht="14.25" customHeight="1" x14ac:dyDescent="0.3">
      <c r="B929" s="3"/>
      <c r="Q929" s="1"/>
      <c r="R929" s="1"/>
      <c r="S929" s="2"/>
      <c r="T929" s="2">
        <v>815</v>
      </c>
      <c r="U929" s="48" t="s">
        <v>91</v>
      </c>
      <c r="V929" s="2"/>
      <c r="W929" s="2"/>
      <c r="X929" s="2"/>
      <c r="Y929" s="3"/>
      <c r="Z929" s="3"/>
      <c r="AA929" s="3"/>
      <c r="AB929" s="3"/>
      <c r="AC929" s="3"/>
      <c r="AD929" s="3"/>
      <c r="AE929" s="3"/>
      <c r="AF929" s="3"/>
      <c r="AG929" s="3"/>
      <c r="AH929" s="3"/>
      <c r="AI929" s="3"/>
      <c r="AJ929" s="3"/>
      <c r="AK929" s="3"/>
      <c r="AL929" s="3"/>
      <c r="AM929" s="3"/>
      <c r="AN929" s="3"/>
      <c r="AO929" s="3"/>
      <c r="AP929" s="3"/>
      <c r="AQ929" s="3"/>
      <c r="AR929" s="3"/>
      <c r="AS929" s="3"/>
      <c r="AT929" s="3"/>
      <c r="AU929" s="3"/>
    </row>
    <row r="930" spans="2:47" ht="14.25" customHeight="1" x14ac:dyDescent="0.3">
      <c r="B930" s="3"/>
      <c r="Q930" s="1"/>
      <c r="R930" s="1"/>
      <c r="S930" s="2"/>
      <c r="T930" s="2">
        <v>816</v>
      </c>
      <c r="U930" s="48" t="s">
        <v>91</v>
      </c>
      <c r="V930" s="2"/>
      <c r="W930" s="2"/>
      <c r="X930" s="2"/>
      <c r="Y930" s="3"/>
      <c r="Z930" s="3"/>
      <c r="AA930" s="3"/>
      <c r="AB930" s="3"/>
      <c r="AC930" s="3"/>
      <c r="AD930" s="3"/>
      <c r="AE930" s="3"/>
      <c r="AF930" s="3"/>
      <c r="AG930" s="3"/>
      <c r="AH930" s="3"/>
      <c r="AI930" s="3"/>
      <c r="AJ930" s="3"/>
      <c r="AK930" s="3"/>
      <c r="AL930" s="3"/>
      <c r="AM930" s="3"/>
      <c r="AN930" s="3"/>
      <c r="AO930" s="3"/>
      <c r="AP930" s="3"/>
      <c r="AQ930" s="3"/>
      <c r="AR930" s="3"/>
      <c r="AS930" s="3"/>
      <c r="AT930" s="3"/>
      <c r="AU930" s="3"/>
    </row>
    <row r="931" spans="2:47" ht="14.25" customHeight="1" x14ac:dyDescent="0.3">
      <c r="B931" s="3"/>
      <c r="Q931" s="1"/>
      <c r="R931" s="1"/>
      <c r="S931" s="2"/>
      <c r="T931" s="2">
        <v>817</v>
      </c>
      <c r="U931" s="48" t="s">
        <v>91</v>
      </c>
      <c r="V931" s="2"/>
      <c r="W931" s="2"/>
      <c r="X931" s="2"/>
      <c r="Y931" s="3"/>
      <c r="Z931" s="3"/>
      <c r="AA931" s="3"/>
      <c r="AB931" s="3"/>
      <c r="AC931" s="3"/>
      <c r="AD931" s="3"/>
      <c r="AE931" s="3"/>
      <c r="AF931" s="3"/>
      <c r="AG931" s="3"/>
      <c r="AH931" s="3"/>
      <c r="AI931" s="3"/>
      <c r="AJ931" s="3"/>
      <c r="AK931" s="3"/>
      <c r="AL931" s="3"/>
      <c r="AM931" s="3"/>
      <c r="AN931" s="3"/>
      <c r="AO931" s="3"/>
      <c r="AP931" s="3"/>
      <c r="AQ931" s="3"/>
      <c r="AR931" s="3"/>
      <c r="AS931" s="3"/>
      <c r="AT931" s="3"/>
      <c r="AU931" s="3"/>
    </row>
    <row r="932" spans="2:47" ht="14.25" customHeight="1" x14ac:dyDescent="0.3">
      <c r="B932" s="3"/>
      <c r="Q932" s="1"/>
      <c r="R932" s="1"/>
      <c r="S932" s="2"/>
      <c r="T932" s="2">
        <v>818</v>
      </c>
      <c r="U932" s="48" t="s">
        <v>91</v>
      </c>
      <c r="V932" s="2"/>
      <c r="W932" s="2"/>
      <c r="X932" s="2"/>
      <c r="Y932" s="3"/>
      <c r="Z932" s="3"/>
      <c r="AA932" s="3"/>
      <c r="AB932" s="3"/>
      <c r="AC932" s="3"/>
      <c r="AD932" s="3"/>
      <c r="AE932" s="3"/>
      <c r="AF932" s="3"/>
      <c r="AG932" s="3"/>
      <c r="AH932" s="3"/>
      <c r="AI932" s="3"/>
      <c r="AJ932" s="3"/>
      <c r="AK932" s="3"/>
      <c r="AL932" s="3"/>
      <c r="AM932" s="3"/>
      <c r="AN932" s="3"/>
      <c r="AO932" s="3"/>
      <c r="AP932" s="3"/>
      <c r="AQ932" s="3"/>
      <c r="AR932" s="3"/>
      <c r="AS932" s="3"/>
      <c r="AT932" s="3"/>
      <c r="AU932" s="3"/>
    </row>
    <row r="933" spans="2:47" ht="14.25" customHeight="1" x14ac:dyDescent="0.3">
      <c r="B933" s="3"/>
      <c r="Q933" s="1"/>
      <c r="R933" s="1"/>
      <c r="S933" s="2"/>
      <c r="T933" s="2">
        <v>819</v>
      </c>
      <c r="U933" s="48" t="s">
        <v>91</v>
      </c>
      <c r="V933" s="2"/>
      <c r="W933" s="2"/>
      <c r="X933" s="2"/>
      <c r="Y933" s="3"/>
      <c r="Z933" s="3"/>
      <c r="AA933" s="3"/>
      <c r="AB933" s="3"/>
      <c r="AC933" s="3"/>
      <c r="AD933" s="3"/>
      <c r="AE933" s="3"/>
      <c r="AF933" s="3"/>
      <c r="AG933" s="3"/>
      <c r="AH933" s="3"/>
      <c r="AI933" s="3"/>
      <c r="AJ933" s="3"/>
      <c r="AK933" s="3"/>
      <c r="AL933" s="3"/>
      <c r="AM933" s="3"/>
      <c r="AN933" s="3"/>
      <c r="AO933" s="3"/>
      <c r="AP933" s="3"/>
      <c r="AQ933" s="3"/>
      <c r="AR933" s="3"/>
      <c r="AS933" s="3"/>
      <c r="AT933" s="3"/>
      <c r="AU933" s="3"/>
    </row>
    <row r="934" spans="2:47" ht="14.25" customHeight="1" x14ac:dyDescent="0.3">
      <c r="B934" s="3"/>
      <c r="Q934" s="1"/>
      <c r="R934" s="1"/>
      <c r="S934" s="2"/>
      <c r="T934" s="2">
        <v>820</v>
      </c>
      <c r="U934" s="48" t="s">
        <v>91</v>
      </c>
      <c r="V934" s="2"/>
      <c r="W934" s="2"/>
      <c r="X934" s="2"/>
      <c r="Y934" s="3"/>
      <c r="Z934" s="3"/>
      <c r="AA934" s="3"/>
      <c r="AB934" s="3"/>
      <c r="AC934" s="3"/>
      <c r="AD934" s="3"/>
      <c r="AE934" s="3"/>
      <c r="AF934" s="3"/>
      <c r="AG934" s="3"/>
      <c r="AH934" s="3"/>
      <c r="AI934" s="3"/>
      <c r="AJ934" s="3"/>
      <c r="AK934" s="3"/>
      <c r="AL934" s="3"/>
      <c r="AM934" s="3"/>
      <c r="AN934" s="3"/>
      <c r="AO934" s="3"/>
      <c r="AP934" s="3"/>
      <c r="AQ934" s="3"/>
      <c r="AR934" s="3"/>
      <c r="AS934" s="3"/>
      <c r="AT934" s="3"/>
      <c r="AU934" s="3"/>
    </row>
    <row r="935" spans="2:47" ht="14.25" customHeight="1" x14ac:dyDescent="0.3">
      <c r="B935" s="3"/>
      <c r="Q935" s="1"/>
      <c r="R935" s="1"/>
      <c r="S935" s="2"/>
      <c r="T935" s="2">
        <v>821</v>
      </c>
      <c r="U935" s="48" t="s">
        <v>91</v>
      </c>
      <c r="V935" s="2"/>
      <c r="W935" s="2"/>
      <c r="X935" s="2"/>
      <c r="Y935" s="3"/>
      <c r="Z935" s="3"/>
      <c r="AA935" s="3"/>
      <c r="AB935" s="3"/>
      <c r="AC935" s="3"/>
      <c r="AD935" s="3"/>
      <c r="AE935" s="3"/>
      <c r="AF935" s="3"/>
      <c r="AG935" s="3"/>
      <c r="AH935" s="3"/>
      <c r="AI935" s="3"/>
      <c r="AJ935" s="3"/>
      <c r="AK935" s="3"/>
      <c r="AL935" s="3"/>
      <c r="AM935" s="3"/>
      <c r="AN935" s="3"/>
      <c r="AO935" s="3"/>
      <c r="AP935" s="3"/>
      <c r="AQ935" s="3"/>
      <c r="AR935" s="3"/>
      <c r="AS935" s="3"/>
      <c r="AT935" s="3"/>
      <c r="AU935" s="3"/>
    </row>
    <row r="936" spans="2:47" ht="14.25" customHeight="1" x14ac:dyDescent="0.3">
      <c r="B936" s="3"/>
      <c r="Q936" s="1"/>
      <c r="R936" s="1"/>
      <c r="S936" s="2"/>
      <c r="T936" s="2">
        <v>822</v>
      </c>
      <c r="U936" s="48" t="s">
        <v>91</v>
      </c>
      <c r="V936" s="2"/>
      <c r="W936" s="2"/>
      <c r="X936" s="2"/>
      <c r="Y936" s="3"/>
      <c r="Z936" s="3"/>
      <c r="AA936" s="3"/>
      <c r="AB936" s="3"/>
      <c r="AC936" s="3"/>
      <c r="AD936" s="3"/>
      <c r="AE936" s="3"/>
      <c r="AF936" s="3"/>
      <c r="AG936" s="3"/>
      <c r="AH936" s="3"/>
      <c r="AI936" s="3"/>
      <c r="AJ936" s="3"/>
      <c r="AK936" s="3"/>
      <c r="AL936" s="3"/>
      <c r="AM936" s="3"/>
      <c r="AN936" s="3"/>
      <c r="AO936" s="3"/>
      <c r="AP936" s="3"/>
      <c r="AQ936" s="3"/>
      <c r="AR936" s="3"/>
      <c r="AS936" s="3"/>
      <c r="AT936" s="3"/>
      <c r="AU936" s="3"/>
    </row>
    <row r="937" spans="2:47" ht="14.25" customHeight="1" x14ac:dyDescent="0.3">
      <c r="B937" s="3"/>
      <c r="Q937" s="1"/>
      <c r="R937" s="1"/>
      <c r="S937" s="2"/>
      <c r="T937" s="2">
        <v>823</v>
      </c>
      <c r="U937" s="48" t="s">
        <v>91</v>
      </c>
      <c r="V937" s="2"/>
      <c r="W937" s="2"/>
      <c r="X937" s="2"/>
      <c r="Y937" s="3"/>
      <c r="Z937" s="3"/>
      <c r="AA937" s="3"/>
      <c r="AB937" s="3"/>
      <c r="AC937" s="3"/>
      <c r="AD937" s="3"/>
      <c r="AE937" s="3"/>
      <c r="AF937" s="3"/>
      <c r="AG937" s="3"/>
      <c r="AH937" s="3"/>
      <c r="AI937" s="3"/>
      <c r="AJ937" s="3"/>
      <c r="AK937" s="3"/>
      <c r="AL937" s="3"/>
      <c r="AM937" s="3"/>
      <c r="AN937" s="3"/>
      <c r="AO937" s="3"/>
      <c r="AP937" s="3"/>
      <c r="AQ937" s="3"/>
      <c r="AR937" s="3"/>
      <c r="AS937" s="3"/>
      <c r="AT937" s="3"/>
      <c r="AU937" s="3"/>
    </row>
    <row r="938" spans="2:47" ht="14.25" customHeight="1" x14ac:dyDescent="0.3">
      <c r="B938" s="3"/>
      <c r="Q938" s="1"/>
      <c r="R938" s="1"/>
      <c r="S938" s="2"/>
      <c r="T938" s="2">
        <v>824</v>
      </c>
      <c r="U938" s="48" t="s">
        <v>91</v>
      </c>
      <c r="V938" s="2"/>
      <c r="W938" s="2"/>
      <c r="X938" s="2"/>
      <c r="Y938" s="3"/>
      <c r="Z938" s="3"/>
      <c r="AA938" s="3"/>
      <c r="AB938" s="3"/>
      <c r="AC938" s="3"/>
      <c r="AD938" s="3"/>
      <c r="AE938" s="3"/>
      <c r="AF938" s="3"/>
      <c r="AG938" s="3"/>
      <c r="AH938" s="3"/>
      <c r="AI938" s="3"/>
      <c r="AJ938" s="3"/>
      <c r="AK938" s="3"/>
      <c r="AL938" s="3"/>
      <c r="AM938" s="3"/>
      <c r="AN938" s="3"/>
      <c r="AO938" s="3"/>
      <c r="AP938" s="3"/>
      <c r="AQ938" s="3"/>
      <c r="AR938" s="3"/>
      <c r="AS938" s="3"/>
      <c r="AT938" s="3"/>
      <c r="AU938" s="3"/>
    </row>
    <row r="939" spans="2:47" ht="14.25" customHeight="1" x14ac:dyDescent="0.3">
      <c r="B939" s="3"/>
      <c r="Q939" s="1"/>
      <c r="R939" s="1"/>
      <c r="S939" s="2"/>
      <c r="T939" s="2">
        <v>825</v>
      </c>
      <c r="U939" s="48" t="s">
        <v>91</v>
      </c>
      <c r="V939" s="2"/>
      <c r="W939" s="2"/>
      <c r="X939" s="2"/>
      <c r="Y939" s="3"/>
      <c r="Z939" s="3"/>
      <c r="AA939" s="3"/>
      <c r="AB939" s="3"/>
      <c r="AC939" s="3"/>
      <c r="AD939" s="3"/>
      <c r="AE939" s="3"/>
      <c r="AF939" s="3"/>
      <c r="AG939" s="3"/>
      <c r="AH939" s="3"/>
      <c r="AI939" s="3"/>
      <c r="AJ939" s="3"/>
      <c r="AK939" s="3"/>
      <c r="AL939" s="3"/>
      <c r="AM939" s="3"/>
      <c r="AN939" s="3"/>
      <c r="AO939" s="3"/>
      <c r="AP939" s="3"/>
      <c r="AQ939" s="3"/>
      <c r="AR939" s="3"/>
      <c r="AS939" s="3"/>
      <c r="AT939" s="3"/>
      <c r="AU939" s="3"/>
    </row>
    <row r="940" spans="2:47" ht="14.25" customHeight="1" x14ac:dyDescent="0.3">
      <c r="B940" s="3"/>
      <c r="Q940" s="1"/>
      <c r="R940" s="1"/>
      <c r="S940" s="2"/>
      <c r="T940" s="2">
        <v>826</v>
      </c>
      <c r="U940" s="48" t="s">
        <v>91</v>
      </c>
      <c r="V940" s="2"/>
      <c r="W940" s="2"/>
      <c r="X940" s="2"/>
      <c r="Y940" s="3"/>
      <c r="Z940" s="3"/>
      <c r="AA940" s="3"/>
      <c r="AB940" s="3"/>
      <c r="AC940" s="3"/>
      <c r="AD940" s="3"/>
      <c r="AE940" s="3"/>
      <c r="AF940" s="3"/>
      <c r="AG940" s="3"/>
      <c r="AH940" s="3"/>
      <c r="AI940" s="3"/>
      <c r="AJ940" s="3"/>
      <c r="AK940" s="3"/>
      <c r="AL940" s="3"/>
      <c r="AM940" s="3"/>
      <c r="AN940" s="3"/>
      <c r="AO940" s="3"/>
      <c r="AP940" s="3"/>
      <c r="AQ940" s="3"/>
      <c r="AR940" s="3"/>
      <c r="AS940" s="3"/>
      <c r="AT940" s="3"/>
      <c r="AU940" s="3"/>
    </row>
    <row r="941" spans="2:47" ht="14.25" customHeight="1" x14ac:dyDescent="0.3">
      <c r="B941" s="3"/>
      <c r="Q941" s="1"/>
      <c r="R941" s="1"/>
      <c r="S941" s="2"/>
      <c r="T941" s="2">
        <v>827</v>
      </c>
      <c r="U941" s="48" t="s">
        <v>91</v>
      </c>
      <c r="V941" s="2"/>
      <c r="W941" s="2"/>
      <c r="X941" s="2"/>
      <c r="Y941" s="3"/>
      <c r="Z941" s="3"/>
      <c r="AA941" s="3"/>
      <c r="AB941" s="3"/>
      <c r="AC941" s="3"/>
      <c r="AD941" s="3"/>
      <c r="AE941" s="3"/>
      <c r="AF941" s="3"/>
      <c r="AG941" s="3"/>
      <c r="AH941" s="3"/>
      <c r="AI941" s="3"/>
      <c r="AJ941" s="3"/>
      <c r="AK941" s="3"/>
      <c r="AL941" s="3"/>
      <c r="AM941" s="3"/>
      <c r="AN941" s="3"/>
      <c r="AO941" s="3"/>
      <c r="AP941" s="3"/>
      <c r="AQ941" s="3"/>
      <c r="AR941" s="3"/>
      <c r="AS941" s="3"/>
      <c r="AT941" s="3"/>
      <c r="AU941" s="3"/>
    </row>
    <row r="942" spans="2:47" ht="14.25" customHeight="1" x14ac:dyDescent="0.3">
      <c r="B942" s="3"/>
      <c r="Q942" s="1"/>
      <c r="R942" s="1"/>
      <c r="S942" s="2"/>
      <c r="T942" s="2">
        <v>828</v>
      </c>
      <c r="U942" s="48" t="s">
        <v>91</v>
      </c>
      <c r="V942" s="2"/>
      <c r="W942" s="2"/>
      <c r="X942" s="2"/>
      <c r="Y942" s="3"/>
      <c r="Z942" s="3"/>
      <c r="AA942" s="3"/>
      <c r="AB942" s="3"/>
      <c r="AC942" s="3"/>
      <c r="AD942" s="3"/>
      <c r="AE942" s="3"/>
      <c r="AF942" s="3"/>
      <c r="AG942" s="3"/>
      <c r="AH942" s="3"/>
      <c r="AI942" s="3"/>
      <c r="AJ942" s="3"/>
      <c r="AK942" s="3"/>
      <c r="AL942" s="3"/>
      <c r="AM942" s="3"/>
      <c r="AN942" s="3"/>
      <c r="AO942" s="3"/>
      <c r="AP942" s="3"/>
      <c r="AQ942" s="3"/>
      <c r="AR942" s="3"/>
      <c r="AS942" s="3"/>
      <c r="AT942" s="3"/>
      <c r="AU942" s="3"/>
    </row>
    <row r="943" spans="2:47" ht="14.25" customHeight="1" x14ac:dyDescent="0.3">
      <c r="B943" s="3"/>
      <c r="Q943" s="1"/>
      <c r="R943" s="1"/>
      <c r="S943" s="2"/>
      <c r="T943" s="2">
        <v>829</v>
      </c>
      <c r="U943" s="48" t="s">
        <v>91</v>
      </c>
      <c r="V943" s="2"/>
      <c r="W943" s="2"/>
      <c r="X943" s="2"/>
      <c r="Y943" s="3"/>
      <c r="Z943" s="3"/>
      <c r="AA943" s="3"/>
      <c r="AB943" s="3"/>
      <c r="AC943" s="3"/>
      <c r="AD943" s="3"/>
      <c r="AE943" s="3"/>
      <c r="AF943" s="3"/>
      <c r="AG943" s="3"/>
      <c r="AH943" s="3"/>
      <c r="AI943" s="3"/>
      <c r="AJ943" s="3"/>
      <c r="AK943" s="3"/>
      <c r="AL943" s="3"/>
      <c r="AM943" s="3"/>
      <c r="AN943" s="3"/>
      <c r="AO943" s="3"/>
      <c r="AP943" s="3"/>
      <c r="AQ943" s="3"/>
      <c r="AR943" s="3"/>
      <c r="AS943" s="3"/>
      <c r="AT943" s="3"/>
      <c r="AU943" s="3"/>
    </row>
    <row r="944" spans="2:47" ht="14.25" customHeight="1" x14ac:dyDescent="0.3">
      <c r="B944" s="3"/>
      <c r="Q944" s="1"/>
      <c r="R944" s="1"/>
      <c r="S944" s="2"/>
      <c r="T944" s="2">
        <v>830</v>
      </c>
      <c r="U944" s="48" t="s">
        <v>91</v>
      </c>
      <c r="V944" s="2"/>
      <c r="W944" s="2"/>
      <c r="X944" s="2"/>
      <c r="Y944" s="3"/>
      <c r="Z944" s="3"/>
      <c r="AA944" s="3"/>
      <c r="AB944" s="3"/>
      <c r="AC944" s="3"/>
      <c r="AD944" s="3"/>
      <c r="AE944" s="3"/>
      <c r="AF944" s="3"/>
      <c r="AG944" s="3"/>
      <c r="AH944" s="3"/>
      <c r="AI944" s="3"/>
      <c r="AJ944" s="3"/>
      <c r="AK944" s="3"/>
      <c r="AL944" s="3"/>
      <c r="AM944" s="3"/>
      <c r="AN944" s="3"/>
      <c r="AO944" s="3"/>
      <c r="AP944" s="3"/>
      <c r="AQ944" s="3"/>
      <c r="AR944" s="3"/>
      <c r="AS944" s="3"/>
      <c r="AT944" s="3"/>
      <c r="AU944" s="3"/>
    </row>
    <row r="945" spans="2:47" ht="14.25" customHeight="1" x14ac:dyDescent="0.3">
      <c r="B945" s="3"/>
      <c r="Q945" s="1"/>
      <c r="R945" s="1"/>
      <c r="S945" s="2"/>
      <c r="T945" s="2">
        <v>831</v>
      </c>
      <c r="U945" s="48" t="s">
        <v>91</v>
      </c>
      <c r="V945" s="2"/>
      <c r="W945" s="2"/>
      <c r="X945" s="2"/>
      <c r="Y945" s="3"/>
      <c r="Z945" s="3"/>
      <c r="AA945" s="3"/>
      <c r="AB945" s="3"/>
      <c r="AC945" s="3"/>
      <c r="AD945" s="3"/>
      <c r="AE945" s="3"/>
      <c r="AF945" s="3"/>
      <c r="AG945" s="3"/>
      <c r="AH945" s="3"/>
      <c r="AI945" s="3"/>
      <c r="AJ945" s="3"/>
      <c r="AK945" s="3"/>
      <c r="AL945" s="3"/>
      <c r="AM945" s="3"/>
      <c r="AN945" s="3"/>
      <c r="AO945" s="3"/>
      <c r="AP945" s="3"/>
      <c r="AQ945" s="3"/>
      <c r="AR945" s="3"/>
      <c r="AS945" s="3"/>
      <c r="AT945" s="3"/>
      <c r="AU945" s="3"/>
    </row>
    <row r="946" spans="2:47" ht="14.25" customHeight="1" x14ac:dyDescent="0.3">
      <c r="B946" s="3"/>
      <c r="Q946" s="1"/>
      <c r="R946" s="1"/>
      <c r="S946" s="2"/>
      <c r="T946" s="2">
        <v>832</v>
      </c>
      <c r="U946" s="48" t="s">
        <v>91</v>
      </c>
      <c r="V946" s="2"/>
      <c r="W946" s="2"/>
      <c r="X946" s="2"/>
      <c r="Y946" s="3"/>
      <c r="Z946" s="3"/>
      <c r="AA946" s="3"/>
      <c r="AB946" s="3"/>
      <c r="AC946" s="3"/>
      <c r="AD946" s="3"/>
      <c r="AE946" s="3"/>
      <c r="AF946" s="3"/>
      <c r="AG946" s="3"/>
      <c r="AH946" s="3"/>
      <c r="AI946" s="3"/>
      <c r="AJ946" s="3"/>
      <c r="AK946" s="3"/>
      <c r="AL946" s="3"/>
      <c r="AM946" s="3"/>
      <c r="AN946" s="3"/>
      <c r="AO946" s="3"/>
      <c r="AP946" s="3"/>
      <c r="AQ946" s="3"/>
      <c r="AR946" s="3"/>
      <c r="AS946" s="3"/>
      <c r="AT946" s="3"/>
      <c r="AU946" s="3"/>
    </row>
    <row r="947" spans="2:47" ht="14.25" customHeight="1" x14ac:dyDescent="0.3">
      <c r="B947" s="3"/>
      <c r="Q947" s="1"/>
      <c r="R947" s="1"/>
      <c r="S947" s="2"/>
      <c r="T947" s="2">
        <v>833</v>
      </c>
      <c r="U947" s="48" t="s">
        <v>91</v>
      </c>
      <c r="V947" s="2"/>
      <c r="W947" s="2"/>
      <c r="X947" s="2"/>
      <c r="Y947" s="3"/>
      <c r="Z947" s="3"/>
      <c r="AA947" s="3"/>
      <c r="AB947" s="3"/>
      <c r="AC947" s="3"/>
      <c r="AD947" s="3"/>
      <c r="AE947" s="3"/>
      <c r="AF947" s="3"/>
      <c r="AG947" s="3"/>
      <c r="AH947" s="3"/>
      <c r="AI947" s="3"/>
      <c r="AJ947" s="3"/>
      <c r="AK947" s="3"/>
      <c r="AL947" s="3"/>
      <c r="AM947" s="3"/>
      <c r="AN947" s="3"/>
      <c r="AO947" s="3"/>
      <c r="AP947" s="3"/>
      <c r="AQ947" s="3"/>
      <c r="AR947" s="3"/>
      <c r="AS947" s="3"/>
      <c r="AT947" s="3"/>
      <c r="AU947" s="3"/>
    </row>
    <row r="948" spans="2:47" ht="14.25" customHeight="1" x14ac:dyDescent="0.3">
      <c r="B948" s="3"/>
      <c r="Q948" s="1"/>
      <c r="R948" s="1"/>
      <c r="S948" s="2"/>
      <c r="T948" s="2">
        <v>834</v>
      </c>
      <c r="U948" s="48" t="s">
        <v>91</v>
      </c>
      <c r="V948" s="2"/>
      <c r="W948" s="2"/>
      <c r="X948" s="2"/>
      <c r="Y948" s="3"/>
      <c r="Z948" s="3"/>
      <c r="AA948" s="3"/>
      <c r="AB948" s="3"/>
      <c r="AC948" s="3"/>
      <c r="AD948" s="3"/>
      <c r="AE948" s="3"/>
      <c r="AF948" s="3"/>
      <c r="AG948" s="3"/>
      <c r="AH948" s="3"/>
      <c r="AI948" s="3"/>
      <c r="AJ948" s="3"/>
      <c r="AK948" s="3"/>
      <c r="AL948" s="3"/>
      <c r="AM948" s="3"/>
      <c r="AN948" s="3"/>
      <c r="AO948" s="3"/>
      <c r="AP948" s="3"/>
      <c r="AQ948" s="3"/>
      <c r="AR948" s="3"/>
      <c r="AS948" s="3"/>
      <c r="AT948" s="3"/>
      <c r="AU948" s="3"/>
    </row>
    <row r="949" spans="2:47" ht="14.25" customHeight="1" x14ac:dyDescent="0.3">
      <c r="B949" s="3"/>
      <c r="Q949" s="1"/>
      <c r="R949" s="1"/>
      <c r="S949" s="2"/>
      <c r="T949" s="2">
        <v>835</v>
      </c>
      <c r="U949" s="48" t="s">
        <v>91</v>
      </c>
      <c r="V949" s="2"/>
      <c r="W949" s="2"/>
      <c r="X949" s="2"/>
      <c r="Y949" s="3"/>
      <c r="Z949" s="3"/>
      <c r="AA949" s="3"/>
      <c r="AB949" s="3"/>
      <c r="AC949" s="3"/>
      <c r="AD949" s="3"/>
      <c r="AE949" s="3"/>
      <c r="AF949" s="3"/>
      <c r="AG949" s="3"/>
      <c r="AH949" s="3"/>
      <c r="AI949" s="3"/>
      <c r="AJ949" s="3"/>
      <c r="AK949" s="3"/>
      <c r="AL949" s="3"/>
      <c r="AM949" s="3"/>
      <c r="AN949" s="3"/>
      <c r="AO949" s="3"/>
      <c r="AP949" s="3"/>
      <c r="AQ949" s="3"/>
      <c r="AR949" s="3"/>
      <c r="AS949" s="3"/>
      <c r="AT949" s="3"/>
      <c r="AU949" s="3"/>
    </row>
    <row r="950" spans="2:47" ht="14.25" customHeight="1" x14ac:dyDescent="0.3">
      <c r="B950" s="3"/>
      <c r="Q950" s="1"/>
      <c r="R950" s="1"/>
      <c r="S950" s="2"/>
      <c r="T950" s="2">
        <v>836</v>
      </c>
      <c r="U950" s="48" t="s">
        <v>91</v>
      </c>
      <c r="V950" s="2"/>
      <c r="W950" s="2"/>
      <c r="X950" s="2"/>
      <c r="Y950" s="3"/>
      <c r="Z950" s="3"/>
      <c r="AA950" s="3"/>
      <c r="AB950" s="3"/>
      <c r="AC950" s="3"/>
      <c r="AD950" s="3"/>
      <c r="AE950" s="3"/>
      <c r="AF950" s="3"/>
      <c r="AG950" s="3"/>
      <c r="AH950" s="3"/>
      <c r="AI950" s="3"/>
      <c r="AJ950" s="3"/>
      <c r="AK950" s="3"/>
      <c r="AL950" s="3"/>
      <c r="AM950" s="3"/>
      <c r="AN950" s="3"/>
      <c r="AO950" s="3"/>
      <c r="AP950" s="3"/>
      <c r="AQ950" s="3"/>
      <c r="AR950" s="3"/>
      <c r="AS950" s="3"/>
      <c r="AT950" s="3"/>
      <c r="AU950" s="3"/>
    </row>
    <row r="951" spans="2:47" ht="14.25" customHeight="1" x14ac:dyDescent="0.3">
      <c r="B951" s="3"/>
      <c r="Q951" s="1"/>
      <c r="R951" s="1"/>
      <c r="S951" s="2"/>
      <c r="T951" s="2">
        <v>837</v>
      </c>
      <c r="U951" s="48" t="s">
        <v>91</v>
      </c>
      <c r="V951" s="2"/>
      <c r="W951" s="2"/>
      <c r="X951" s="2"/>
      <c r="Y951" s="3"/>
      <c r="Z951" s="3"/>
      <c r="AA951" s="3"/>
      <c r="AB951" s="3"/>
      <c r="AC951" s="3"/>
      <c r="AD951" s="3"/>
      <c r="AE951" s="3"/>
      <c r="AF951" s="3"/>
      <c r="AG951" s="3"/>
      <c r="AH951" s="3"/>
      <c r="AI951" s="3"/>
      <c r="AJ951" s="3"/>
      <c r="AK951" s="3"/>
      <c r="AL951" s="3"/>
      <c r="AM951" s="3"/>
      <c r="AN951" s="3"/>
      <c r="AO951" s="3"/>
      <c r="AP951" s="3"/>
      <c r="AQ951" s="3"/>
      <c r="AR951" s="3"/>
      <c r="AS951" s="3"/>
      <c r="AT951" s="3"/>
      <c r="AU951" s="3"/>
    </row>
    <row r="952" spans="2:47" ht="14.25" customHeight="1" x14ac:dyDescent="0.3">
      <c r="B952" s="3"/>
      <c r="Q952" s="1"/>
      <c r="R952" s="1"/>
      <c r="S952" s="2"/>
      <c r="T952" s="2">
        <v>838</v>
      </c>
      <c r="U952" s="48" t="s">
        <v>91</v>
      </c>
      <c r="V952" s="2"/>
      <c r="W952" s="2"/>
      <c r="X952" s="2"/>
      <c r="Y952" s="3"/>
      <c r="Z952" s="3"/>
      <c r="AA952" s="3"/>
      <c r="AB952" s="3"/>
      <c r="AC952" s="3"/>
      <c r="AD952" s="3"/>
      <c r="AE952" s="3"/>
      <c r="AF952" s="3"/>
      <c r="AG952" s="3"/>
      <c r="AH952" s="3"/>
      <c r="AI952" s="3"/>
      <c r="AJ952" s="3"/>
      <c r="AK952" s="3"/>
      <c r="AL952" s="3"/>
      <c r="AM952" s="3"/>
      <c r="AN952" s="3"/>
      <c r="AO952" s="3"/>
      <c r="AP952" s="3"/>
      <c r="AQ952" s="3"/>
      <c r="AR952" s="3"/>
      <c r="AS952" s="3"/>
      <c r="AT952" s="3"/>
      <c r="AU952" s="3"/>
    </row>
    <row r="953" spans="2:47" ht="14.25" customHeight="1" x14ac:dyDescent="0.3">
      <c r="B953" s="3"/>
      <c r="Q953" s="1"/>
      <c r="R953" s="1"/>
      <c r="S953" s="2"/>
      <c r="T953" s="2">
        <v>839</v>
      </c>
      <c r="U953" s="48" t="s">
        <v>91</v>
      </c>
      <c r="V953" s="2"/>
      <c r="W953" s="2"/>
      <c r="X953" s="2"/>
      <c r="Y953" s="3"/>
      <c r="Z953" s="3"/>
      <c r="AA953" s="3"/>
      <c r="AB953" s="3"/>
      <c r="AC953" s="3"/>
      <c r="AD953" s="3"/>
      <c r="AE953" s="3"/>
      <c r="AF953" s="3"/>
      <c r="AG953" s="3"/>
      <c r="AH953" s="3"/>
      <c r="AI953" s="3"/>
      <c r="AJ953" s="3"/>
      <c r="AK953" s="3"/>
      <c r="AL953" s="3"/>
      <c r="AM953" s="3"/>
      <c r="AN953" s="3"/>
      <c r="AO953" s="3"/>
      <c r="AP953" s="3"/>
      <c r="AQ953" s="3"/>
      <c r="AR953" s="3"/>
      <c r="AS953" s="3"/>
      <c r="AT953" s="3"/>
      <c r="AU953" s="3"/>
    </row>
    <row r="954" spans="2:47" ht="14.25" customHeight="1" x14ac:dyDescent="0.3">
      <c r="B954" s="3"/>
      <c r="Q954" s="1"/>
      <c r="R954" s="1"/>
      <c r="S954" s="2"/>
      <c r="T954" s="2">
        <v>840</v>
      </c>
      <c r="U954" s="48" t="s">
        <v>91</v>
      </c>
      <c r="V954" s="2"/>
      <c r="W954" s="2"/>
      <c r="X954" s="2"/>
      <c r="Y954" s="3"/>
      <c r="Z954" s="3"/>
      <c r="AA954" s="3"/>
      <c r="AB954" s="3"/>
      <c r="AC954" s="3"/>
      <c r="AD954" s="3"/>
      <c r="AE954" s="3"/>
      <c r="AF954" s="3"/>
      <c r="AG954" s="3"/>
      <c r="AH954" s="3"/>
      <c r="AI954" s="3"/>
      <c r="AJ954" s="3"/>
      <c r="AK954" s="3"/>
      <c r="AL954" s="3"/>
      <c r="AM954" s="3"/>
      <c r="AN954" s="3"/>
      <c r="AO954" s="3"/>
      <c r="AP954" s="3"/>
      <c r="AQ954" s="3"/>
      <c r="AR954" s="3"/>
      <c r="AS954" s="3"/>
      <c r="AT954" s="3"/>
      <c r="AU954" s="3"/>
    </row>
    <row r="955" spans="2:47" ht="14.25" customHeight="1" x14ac:dyDescent="0.3">
      <c r="B955" s="3"/>
      <c r="Q955" s="1"/>
      <c r="R955" s="1"/>
      <c r="S955" s="2"/>
      <c r="T955" s="2">
        <v>841</v>
      </c>
      <c r="U955" s="48" t="s">
        <v>91</v>
      </c>
      <c r="V955" s="2"/>
      <c r="W955" s="2"/>
      <c r="X955" s="2"/>
      <c r="Y955" s="3"/>
      <c r="Z955" s="3"/>
      <c r="AA955" s="3"/>
      <c r="AB955" s="3"/>
      <c r="AC955" s="3"/>
      <c r="AD955" s="3"/>
      <c r="AE955" s="3"/>
      <c r="AF955" s="3"/>
      <c r="AG955" s="3"/>
      <c r="AH955" s="3"/>
      <c r="AI955" s="3"/>
      <c r="AJ955" s="3"/>
      <c r="AK955" s="3"/>
      <c r="AL955" s="3"/>
      <c r="AM955" s="3"/>
      <c r="AN955" s="3"/>
      <c r="AO955" s="3"/>
      <c r="AP955" s="3"/>
      <c r="AQ955" s="3"/>
      <c r="AR955" s="3"/>
      <c r="AS955" s="3"/>
      <c r="AT955" s="3"/>
      <c r="AU955" s="3"/>
    </row>
    <row r="956" spans="2:47" ht="14.25" customHeight="1" x14ac:dyDescent="0.3">
      <c r="B956" s="3"/>
      <c r="Q956" s="1"/>
      <c r="R956" s="1"/>
      <c r="S956" s="2"/>
      <c r="T956" s="2">
        <v>842</v>
      </c>
      <c r="U956" s="48" t="s">
        <v>91</v>
      </c>
      <c r="V956" s="2"/>
      <c r="W956" s="2"/>
      <c r="X956" s="2"/>
      <c r="Y956" s="3"/>
      <c r="Z956" s="3"/>
      <c r="AA956" s="3"/>
      <c r="AB956" s="3"/>
      <c r="AC956" s="3"/>
      <c r="AD956" s="3"/>
      <c r="AE956" s="3"/>
      <c r="AF956" s="3"/>
      <c r="AG956" s="3"/>
      <c r="AH956" s="3"/>
      <c r="AI956" s="3"/>
      <c r="AJ956" s="3"/>
      <c r="AK956" s="3"/>
      <c r="AL956" s="3"/>
      <c r="AM956" s="3"/>
      <c r="AN956" s="3"/>
      <c r="AO956" s="3"/>
      <c r="AP956" s="3"/>
      <c r="AQ956" s="3"/>
      <c r="AR956" s="3"/>
      <c r="AS956" s="3"/>
      <c r="AT956" s="3"/>
      <c r="AU956" s="3"/>
    </row>
    <row r="957" spans="2:47" ht="14.25" customHeight="1" x14ac:dyDescent="0.3">
      <c r="B957" s="3"/>
      <c r="Q957" s="1"/>
      <c r="R957" s="1"/>
      <c r="S957" s="2"/>
      <c r="T957" s="2">
        <v>843</v>
      </c>
      <c r="U957" s="48" t="s">
        <v>91</v>
      </c>
      <c r="V957" s="2"/>
      <c r="W957" s="2"/>
      <c r="X957" s="2"/>
      <c r="Y957" s="3"/>
      <c r="Z957" s="3"/>
      <c r="AA957" s="3"/>
      <c r="AB957" s="3"/>
      <c r="AC957" s="3"/>
      <c r="AD957" s="3"/>
      <c r="AE957" s="3"/>
      <c r="AF957" s="3"/>
      <c r="AG957" s="3"/>
      <c r="AH957" s="3"/>
      <c r="AI957" s="3"/>
      <c r="AJ957" s="3"/>
      <c r="AK957" s="3"/>
      <c r="AL957" s="3"/>
      <c r="AM957" s="3"/>
      <c r="AN957" s="3"/>
      <c r="AO957" s="3"/>
      <c r="AP957" s="3"/>
      <c r="AQ957" s="3"/>
      <c r="AR957" s="3"/>
      <c r="AS957" s="3"/>
      <c r="AT957" s="3"/>
      <c r="AU957" s="3"/>
    </row>
    <row r="958" spans="2:47" ht="14.25" customHeight="1" x14ac:dyDescent="0.3">
      <c r="B958" s="3"/>
      <c r="Q958" s="1"/>
      <c r="R958" s="1"/>
      <c r="S958" s="2"/>
      <c r="T958" s="2">
        <v>844</v>
      </c>
      <c r="U958" s="48" t="s">
        <v>91</v>
      </c>
      <c r="V958" s="2"/>
      <c r="W958" s="2"/>
      <c r="X958" s="2"/>
      <c r="Y958" s="3"/>
      <c r="Z958" s="3"/>
      <c r="AA958" s="3"/>
      <c r="AB958" s="3"/>
      <c r="AC958" s="3"/>
      <c r="AD958" s="3"/>
      <c r="AE958" s="3"/>
      <c r="AF958" s="3"/>
      <c r="AG958" s="3"/>
      <c r="AH958" s="3"/>
      <c r="AI958" s="3"/>
      <c r="AJ958" s="3"/>
      <c r="AK958" s="3"/>
      <c r="AL958" s="3"/>
      <c r="AM958" s="3"/>
      <c r="AN958" s="3"/>
      <c r="AO958" s="3"/>
      <c r="AP958" s="3"/>
      <c r="AQ958" s="3"/>
      <c r="AR958" s="3"/>
      <c r="AS958" s="3"/>
      <c r="AT958" s="3"/>
      <c r="AU958" s="3"/>
    </row>
    <row r="959" spans="2:47" ht="14.25" customHeight="1" x14ac:dyDescent="0.3">
      <c r="B959" s="3"/>
      <c r="Q959" s="1"/>
      <c r="R959" s="1"/>
      <c r="S959" s="2"/>
      <c r="T959" s="2">
        <v>845</v>
      </c>
      <c r="U959" s="48" t="s">
        <v>91</v>
      </c>
      <c r="V959" s="2"/>
      <c r="W959" s="2"/>
      <c r="X959" s="2"/>
      <c r="Y959" s="3"/>
      <c r="Z959" s="3"/>
      <c r="AA959" s="3"/>
      <c r="AB959" s="3"/>
      <c r="AC959" s="3"/>
      <c r="AD959" s="3"/>
      <c r="AE959" s="3"/>
      <c r="AF959" s="3"/>
      <c r="AG959" s="3"/>
      <c r="AH959" s="3"/>
      <c r="AI959" s="3"/>
      <c r="AJ959" s="3"/>
      <c r="AK959" s="3"/>
      <c r="AL959" s="3"/>
      <c r="AM959" s="3"/>
      <c r="AN959" s="3"/>
      <c r="AO959" s="3"/>
      <c r="AP959" s="3"/>
      <c r="AQ959" s="3"/>
      <c r="AR959" s="3"/>
      <c r="AS959" s="3"/>
      <c r="AT959" s="3"/>
      <c r="AU959" s="3"/>
    </row>
    <row r="960" spans="2:47" ht="14.25" customHeight="1" x14ac:dyDescent="0.3">
      <c r="B960" s="3"/>
      <c r="Q960" s="1"/>
      <c r="R960" s="1"/>
      <c r="S960" s="2"/>
      <c r="T960" s="2">
        <v>846</v>
      </c>
      <c r="U960" s="48" t="s">
        <v>91</v>
      </c>
      <c r="V960" s="2"/>
      <c r="W960" s="2"/>
      <c r="X960" s="2"/>
      <c r="Y960" s="3"/>
      <c r="Z960" s="3"/>
      <c r="AA960" s="3"/>
      <c r="AB960" s="3"/>
      <c r="AC960" s="3"/>
      <c r="AD960" s="3"/>
      <c r="AE960" s="3"/>
      <c r="AF960" s="3"/>
      <c r="AG960" s="3"/>
      <c r="AH960" s="3"/>
      <c r="AI960" s="3"/>
      <c r="AJ960" s="3"/>
      <c r="AK960" s="3"/>
      <c r="AL960" s="3"/>
      <c r="AM960" s="3"/>
      <c r="AN960" s="3"/>
      <c r="AO960" s="3"/>
      <c r="AP960" s="3"/>
      <c r="AQ960" s="3"/>
      <c r="AR960" s="3"/>
      <c r="AS960" s="3"/>
      <c r="AT960" s="3"/>
      <c r="AU960" s="3"/>
    </row>
    <row r="961" spans="2:47" ht="14.25" customHeight="1" x14ac:dyDescent="0.3">
      <c r="B961" s="3"/>
      <c r="Q961" s="1"/>
      <c r="R961" s="1"/>
      <c r="S961" s="2"/>
      <c r="T961" s="2">
        <v>847</v>
      </c>
      <c r="U961" s="48" t="s">
        <v>91</v>
      </c>
      <c r="V961" s="2"/>
      <c r="W961" s="2"/>
      <c r="X961" s="2"/>
      <c r="Y961" s="3"/>
      <c r="Z961" s="3"/>
      <c r="AA961" s="3"/>
      <c r="AB961" s="3"/>
      <c r="AC961" s="3"/>
      <c r="AD961" s="3"/>
      <c r="AE961" s="3"/>
      <c r="AF961" s="3"/>
      <c r="AG961" s="3"/>
      <c r="AH961" s="3"/>
      <c r="AI961" s="3"/>
      <c r="AJ961" s="3"/>
      <c r="AK961" s="3"/>
      <c r="AL961" s="3"/>
      <c r="AM961" s="3"/>
      <c r="AN961" s="3"/>
      <c r="AO961" s="3"/>
      <c r="AP961" s="3"/>
      <c r="AQ961" s="3"/>
      <c r="AR961" s="3"/>
      <c r="AS961" s="3"/>
      <c r="AT961" s="3"/>
      <c r="AU961" s="3"/>
    </row>
    <row r="962" spans="2:47" ht="14.25" customHeight="1" x14ac:dyDescent="0.3">
      <c r="B962" s="3"/>
      <c r="Q962" s="1"/>
      <c r="R962" s="1"/>
      <c r="S962" s="2"/>
      <c r="T962" s="2">
        <v>848</v>
      </c>
      <c r="U962" s="48" t="s">
        <v>91</v>
      </c>
      <c r="V962" s="2"/>
      <c r="W962" s="2"/>
      <c r="X962" s="2"/>
      <c r="Y962" s="3"/>
      <c r="Z962" s="3"/>
      <c r="AA962" s="3"/>
      <c r="AB962" s="3"/>
      <c r="AC962" s="3"/>
      <c r="AD962" s="3"/>
      <c r="AE962" s="3"/>
      <c r="AF962" s="3"/>
      <c r="AG962" s="3"/>
      <c r="AH962" s="3"/>
      <c r="AI962" s="3"/>
      <c r="AJ962" s="3"/>
      <c r="AK962" s="3"/>
      <c r="AL962" s="3"/>
      <c r="AM962" s="3"/>
      <c r="AN962" s="3"/>
      <c r="AO962" s="3"/>
      <c r="AP962" s="3"/>
      <c r="AQ962" s="3"/>
      <c r="AR962" s="3"/>
      <c r="AS962" s="3"/>
      <c r="AT962" s="3"/>
      <c r="AU962" s="3"/>
    </row>
    <row r="963" spans="2:47" ht="14.25" customHeight="1" x14ac:dyDescent="0.3">
      <c r="B963" s="3"/>
      <c r="Q963" s="1"/>
      <c r="R963" s="1"/>
      <c r="S963" s="2"/>
      <c r="T963" s="2">
        <v>849</v>
      </c>
      <c r="U963" s="48" t="s">
        <v>91</v>
      </c>
      <c r="V963" s="2"/>
      <c r="W963" s="2"/>
      <c r="X963" s="2"/>
      <c r="Y963" s="3"/>
      <c r="Z963" s="3"/>
      <c r="AA963" s="3"/>
      <c r="AB963" s="3"/>
      <c r="AC963" s="3"/>
      <c r="AD963" s="3"/>
      <c r="AE963" s="3"/>
      <c r="AF963" s="3"/>
      <c r="AG963" s="3"/>
      <c r="AH963" s="3"/>
      <c r="AI963" s="3"/>
      <c r="AJ963" s="3"/>
      <c r="AK963" s="3"/>
      <c r="AL963" s="3"/>
      <c r="AM963" s="3"/>
      <c r="AN963" s="3"/>
      <c r="AO963" s="3"/>
      <c r="AP963" s="3"/>
      <c r="AQ963" s="3"/>
      <c r="AR963" s="3"/>
      <c r="AS963" s="3"/>
      <c r="AT963" s="3"/>
      <c r="AU963" s="3"/>
    </row>
    <row r="964" spans="2:47" ht="14.25" customHeight="1" x14ac:dyDescent="0.3">
      <c r="B964" s="3"/>
      <c r="Q964" s="1"/>
      <c r="R964" s="1"/>
      <c r="S964" s="2"/>
      <c r="T964" s="2">
        <v>850</v>
      </c>
      <c r="U964" s="48" t="s">
        <v>91</v>
      </c>
      <c r="V964" s="2"/>
      <c r="W964" s="2"/>
      <c r="X964" s="2"/>
      <c r="Y964" s="3"/>
      <c r="Z964" s="3"/>
      <c r="AA964" s="3"/>
      <c r="AB964" s="3"/>
      <c r="AC964" s="3"/>
      <c r="AD964" s="3"/>
      <c r="AE964" s="3"/>
      <c r="AF964" s="3"/>
      <c r="AG964" s="3"/>
      <c r="AH964" s="3"/>
      <c r="AI964" s="3"/>
      <c r="AJ964" s="3"/>
      <c r="AK964" s="3"/>
      <c r="AL964" s="3"/>
      <c r="AM964" s="3"/>
      <c r="AN964" s="3"/>
      <c r="AO964" s="3"/>
      <c r="AP964" s="3"/>
      <c r="AQ964" s="3"/>
      <c r="AR964" s="3"/>
      <c r="AS964" s="3"/>
      <c r="AT964" s="3"/>
      <c r="AU964" s="3"/>
    </row>
    <row r="965" spans="2:47" ht="14.25" customHeight="1" x14ac:dyDescent="0.3">
      <c r="B965" s="3"/>
      <c r="Q965" s="1"/>
      <c r="R965" s="1"/>
      <c r="S965" s="2"/>
      <c r="T965" s="2">
        <v>851</v>
      </c>
      <c r="U965" s="48" t="s">
        <v>91</v>
      </c>
      <c r="V965" s="2"/>
      <c r="W965" s="2"/>
      <c r="X965" s="2"/>
      <c r="Y965" s="3"/>
      <c r="Z965" s="3"/>
      <c r="AA965" s="3"/>
      <c r="AB965" s="3"/>
      <c r="AC965" s="3"/>
      <c r="AD965" s="3"/>
      <c r="AE965" s="3"/>
      <c r="AF965" s="3"/>
      <c r="AG965" s="3"/>
      <c r="AH965" s="3"/>
      <c r="AI965" s="3"/>
      <c r="AJ965" s="3"/>
      <c r="AK965" s="3"/>
      <c r="AL965" s="3"/>
      <c r="AM965" s="3"/>
      <c r="AN965" s="3"/>
      <c r="AO965" s="3"/>
      <c r="AP965" s="3"/>
      <c r="AQ965" s="3"/>
      <c r="AR965" s="3"/>
      <c r="AS965" s="3"/>
      <c r="AT965" s="3"/>
      <c r="AU965" s="3"/>
    </row>
    <row r="966" spans="2:47" ht="14.25" customHeight="1" x14ac:dyDescent="0.3">
      <c r="B966" s="3"/>
      <c r="Q966" s="1"/>
      <c r="R966" s="1"/>
      <c r="S966" s="2"/>
      <c r="T966" s="2">
        <v>852</v>
      </c>
      <c r="U966" s="48" t="s">
        <v>91</v>
      </c>
      <c r="V966" s="2"/>
      <c r="W966" s="2"/>
      <c r="X966" s="2"/>
      <c r="Y966" s="3"/>
      <c r="Z966" s="3"/>
      <c r="AA966" s="3"/>
      <c r="AB966" s="3"/>
      <c r="AC966" s="3"/>
      <c r="AD966" s="3"/>
      <c r="AE966" s="3"/>
      <c r="AF966" s="3"/>
      <c r="AG966" s="3"/>
      <c r="AH966" s="3"/>
      <c r="AI966" s="3"/>
      <c r="AJ966" s="3"/>
      <c r="AK966" s="3"/>
      <c r="AL966" s="3"/>
      <c r="AM966" s="3"/>
      <c r="AN966" s="3"/>
      <c r="AO966" s="3"/>
      <c r="AP966" s="3"/>
      <c r="AQ966" s="3"/>
      <c r="AR966" s="3"/>
      <c r="AS966" s="3"/>
      <c r="AT966" s="3"/>
      <c r="AU966" s="3"/>
    </row>
    <row r="967" spans="2:47" ht="14.25" customHeight="1" x14ac:dyDescent="0.3">
      <c r="B967" s="3"/>
      <c r="Q967" s="1"/>
      <c r="R967" s="1"/>
      <c r="S967" s="2"/>
      <c r="T967" s="2">
        <v>853</v>
      </c>
      <c r="U967" s="48" t="s">
        <v>91</v>
      </c>
      <c r="V967" s="2"/>
      <c r="W967" s="2"/>
      <c r="X967" s="2"/>
      <c r="Y967" s="3"/>
      <c r="Z967" s="3"/>
      <c r="AA967" s="3"/>
      <c r="AB967" s="3"/>
      <c r="AC967" s="3"/>
      <c r="AD967" s="3"/>
      <c r="AE967" s="3"/>
      <c r="AF967" s="3"/>
      <c r="AG967" s="3"/>
      <c r="AH967" s="3"/>
      <c r="AI967" s="3"/>
      <c r="AJ967" s="3"/>
      <c r="AK967" s="3"/>
      <c r="AL967" s="3"/>
      <c r="AM967" s="3"/>
      <c r="AN967" s="3"/>
      <c r="AO967" s="3"/>
      <c r="AP967" s="3"/>
      <c r="AQ967" s="3"/>
      <c r="AR967" s="3"/>
      <c r="AS967" s="3"/>
      <c r="AT967" s="3"/>
      <c r="AU967" s="3"/>
    </row>
    <row r="968" spans="2:47" ht="14.25" customHeight="1" x14ac:dyDescent="0.3">
      <c r="B968" s="3"/>
      <c r="Q968" s="1"/>
      <c r="R968" s="1"/>
      <c r="S968" s="2"/>
      <c r="T968" s="2">
        <v>854</v>
      </c>
      <c r="U968" s="48" t="s">
        <v>91</v>
      </c>
      <c r="V968" s="2"/>
      <c r="W968" s="2"/>
      <c r="X968" s="2"/>
      <c r="Y968" s="3"/>
      <c r="Z968" s="3"/>
      <c r="AA968" s="3"/>
      <c r="AB968" s="3"/>
      <c r="AC968" s="3"/>
      <c r="AD968" s="3"/>
      <c r="AE968" s="3"/>
      <c r="AF968" s="3"/>
      <c r="AG968" s="3"/>
      <c r="AH968" s="3"/>
      <c r="AI968" s="3"/>
      <c r="AJ968" s="3"/>
      <c r="AK968" s="3"/>
      <c r="AL968" s="3"/>
      <c r="AM968" s="3"/>
      <c r="AN968" s="3"/>
      <c r="AO968" s="3"/>
      <c r="AP968" s="3"/>
      <c r="AQ968" s="3"/>
      <c r="AR968" s="3"/>
      <c r="AS968" s="3"/>
      <c r="AT968" s="3"/>
      <c r="AU968" s="3"/>
    </row>
    <row r="969" spans="2:47" ht="14.25" customHeight="1" x14ac:dyDescent="0.3">
      <c r="B969" s="3"/>
      <c r="Q969" s="1"/>
      <c r="R969" s="1"/>
      <c r="S969" s="2"/>
      <c r="T969" s="2">
        <v>855</v>
      </c>
      <c r="U969" s="48" t="s">
        <v>91</v>
      </c>
      <c r="V969" s="2"/>
      <c r="W969" s="2"/>
      <c r="X969" s="2"/>
      <c r="Y969" s="3"/>
      <c r="Z969" s="3"/>
      <c r="AA969" s="3"/>
      <c r="AB969" s="3"/>
      <c r="AC969" s="3"/>
      <c r="AD969" s="3"/>
      <c r="AE969" s="3"/>
      <c r="AF969" s="3"/>
      <c r="AG969" s="3"/>
      <c r="AH969" s="3"/>
      <c r="AI969" s="3"/>
      <c r="AJ969" s="3"/>
      <c r="AK969" s="3"/>
      <c r="AL969" s="3"/>
      <c r="AM969" s="3"/>
      <c r="AN969" s="3"/>
      <c r="AO969" s="3"/>
      <c r="AP969" s="3"/>
      <c r="AQ969" s="3"/>
      <c r="AR969" s="3"/>
      <c r="AS969" s="3"/>
      <c r="AT969" s="3"/>
      <c r="AU969" s="3"/>
    </row>
    <row r="970" spans="2:47" ht="14.25" customHeight="1" x14ac:dyDescent="0.3">
      <c r="B970" s="3"/>
      <c r="Q970" s="1"/>
      <c r="R970" s="1"/>
      <c r="S970" s="2"/>
      <c r="T970" s="2">
        <v>856</v>
      </c>
      <c r="U970" s="48" t="s">
        <v>91</v>
      </c>
      <c r="V970" s="2"/>
      <c r="W970" s="2"/>
      <c r="X970" s="2"/>
      <c r="Y970" s="3"/>
      <c r="Z970" s="3"/>
      <c r="AA970" s="3"/>
      <c r="AB970" s="3"/>
      <c r="AC970" s="3"/>
      <c r="AD970" s="3"/>
      <c r="AE970" s="3"/>
      <c r="AF970" s="3"/>
      <c r="AG970" s="3"/>
      <c r="AH970" s="3"/>
      <c r="AI970" s="3"/>
      <c r="AJ970" s="3"/>
      <c r="AK970" s="3"/>
      <c r="AL970" s="3"/>
      <c r="AM970" s="3"/>
      <c r="AN970" s="3"/>
      <c r="AO970" s="3"/>
      <c r="AP970" s="3"/>
      <c r="AQ970" s="3"/>
      <c r="AR970" s="3"/>
      <c r="AS970" s="3"/>
      <c r="AT970" s="3"/>
      <c r="AU970" s="3"/>
    </row>
    <row r="971" spans="2:47" ht="14.25" customHeight="1" x14ac:dyDescent="0.3">
      <c r="B971" s="3"/>
      <c r="Q971" s="1"/>
      <c r="R971" s="1"/>
      <c r="S971" s="2"/>
      <c r="T971" s="2">
        <v>857</v>
      </c>
      <c r="U971" s="48" t="s">
        <v>91</v>
      </c>
      <c r="V971" s="2"/>
      <c r="W971" s="2"/>
      <c r="X971" s="2"/>
      <c r="Y971" s="3"/>
      <c r="Z971" s="3"/>
      <c r="AA971" s="3"/>
      <c r="AB971" s="3"/>
      <c r="AC971" s="3"/>
      <c r="AD971" s="3"/>
      <c r="AE971" s="3"/>
      <c r="AF971" s="3"/>
      <c r="AG971" s="3"/>
      <c r="AH971" s="3"/>
      <c r="AI971" s="3"/>
      <c r="AJ971" s="3"/>
      <c r="AK971" s="3"/>
      <c r="AL971" s="3"/>
      <c r="AM971" s="3"/>
      <c r="AN971" s="3"/>
      <c r="AO971" s="3"/>
      <c r="AP971" s="3"/>
      <c r="AQ971" s="3"/>
      <c r="AR971" s="3"/>
      <c r="AS971" s="3"/>
      <c r="AT971" s="3"/>
      <c r="AU971" s="3"/>
    </row>
    <row r="972" spans="2:47" ht="14.25" customHeight="1" x14ac:dyDescent="0.3">
      <c r="B972" s="3"/>
      <c r="Q972" s="1"/>
      <c r="R972" s="1"/>
      <c r="S972" s="2"/>
      <c r="T972" s="2">
        <v>858</v>
      </c>
      <c r="U972" s="48" t="s">
        <v>91</v>
      </c>
      <c r="V972" s="2"/>
      <c r="W972" s="2"/>
      <c r="X972" s="2"/>
      <c r="Y972" s="3"/>
      <c r="Z972" s="3"/>
      <c r="AA972" s="3"/>
      <c r="AB972" s="3"/>
      <c r="AC972" s="3"/>
      <c r="AD972" s="3"/>
      <c r="AE972" s="3"/>
      <c r="AF972" s="3"/>
      <c r="AG972" s="3"/>
      <c r="AH972" s="3"/>
      <c r="AI972" s="3"/>
      <c r="AJ972" s="3"/>
      <c r="AK972" s="3"/>
      <c r="AL972" s="3"/>
      <c r="AM972" s="3"/>
      <c r="AN972" s="3"/>
      <c r="AO972" s="3"/>
      <c r="AP972" s="3"/>
      <c r="AQ972" s="3"/>
      <c r="AR972" s="3"/>
      <c r="AS972" s="3"/>
      <c r="AT972" s="3"/>
      <c r="AU972" s="3"/>
    </row>
    <row r="973" spans="2:47" ht="14.25" customHeight="1" x14ac:dyDescent="0.3">
      <c r="B973" s="3"/>
      <c r="Q973" s="1"/>
      <c r="R973" s="1"/>
      <c r="S973" s="2"/>
      <c r="T973" s="2">
        <v>859</v>
      </c>
      <c r="U973" s="48" t="s">
        <v>91</v>
      </c>
      <c r="V973" s="2"/>
      <c r="W973" s="2"/>
      <c r="X973" s="2"/>
      <c r="Y973" s="3"/>
      <c r="Z973" s="3"/>
      <c r="AA973" s="3"/>
      <c r="AB973" s="3"/>
      <c r="AC973" s="3"/>
      <c r="AD973" s="3"/>
      <c r="AE973" s="3"/>
      <c r="AF973" s="3"/>
      <c r="AG973" s="3"/>
      <c r="AH973" s="3"/>
      <c r="AI973" s="3"/>
      <c r="AJ973" s="3"/>
      <c r="AK973" s="3"/>
      <c r="AL973" s="3"/>
      <c r="AM973" s="3"/>
      <c r="AN973" s="3"/>
      <c r="AO973" s="3"/>
      <c r="AP973" s="3"/>
      <c r="AQ973" s="3"/>
      <c r="AR973" s="3"/>
      <c r="AS973" s="3"/>
      <c r="AT973" s="3"/>
      <c r="AU973" s="3"/>
    </row>
    <row r="974" spans="2:47" ht="14.25" customHeight="1" x14ac:dyDescent="0.3">
      <c r="B974" s="3"/>
      <c r="Q974" s="1"/>
      <c r="R974" s="1"/>
      <c r="S974" s="2"/>
      <c r="T974" s="2">
        <v>860</v>
      </c>
      <c r="U974" s="48" t="s">
        <v>91</v>
      </c>
      <c r="V974" s="2"/>
      <c r="W974" s="2"/>
      <c r="X974" s="2"/>
      <c r="Y974" s="3"/>
      <c r="Z974" s="3"/>
      <c r="AA974" s="3"/>
      <c r="AB974" s="3"/>
      <c r="AC974" s="3"/>
      <c r="AD974" s="3"/>
      <c r="AE974" s="3"/>
      <c r="AF974" s="3"/>
      <c r="AG974" s="3"/>
      <c r="AH974" s="3"/>
      <c r="AI974" s="3"/>
      <c r="AJ974" s="3"/>
      <c r="AK974" s="3"/>
      <c r="AL974" s="3"/>
      <c r="AM974" s="3"/>
      <c r="AN974" s="3"/>
      <c r="AO974" s="3"/>
      <c r="AP974" s="3"/>
      <c r="AQ974" s="3"/>
      <c r="AR974" s="3"/>
      <c r="AS974" s="3"/>
      <c r="AT974" s="3"/>
      <c r="AU974" s="3"/>
    </row>
    <row r="975" spans="2:47" ht="14.25" customHeight="1" x14ac:dyDescent="0.3">
      <c r="B975" s="3"/>
      <c r="Q975" s="1"/>
      <c r="R975" s="1"/>
      <c r="S975" s="2"/>
      <c r="T975" s="2">
        <v>861</v>
      </c>
      <c r="U975" s="48" t="s">
        <v>91</v>
      </c>
      <c r="V975" s="2"/>
      <c r="W975" s="2"/>
      <c r="X975" s="2"/>
      <c r="Y975" s="3"/>
      <c r="Z975" s="3"/>
      <c r="AA975" s="3"/>
      <c r="AB975" s="3"/>
      <c r="AC975" s="3"/>
      <c r="AD975" s="3"/>
      <c r="AE975" s="3"/>
      <c r="AF975" s="3"/>
      <c r="AG975" s="3"/>
      <c r="AH975" s="3"/>
      <c r="AI975" s="3"/>
      <c r="AJ975" s="3"/>
      <c r="AK975" s="3"/>
      <c r="AL975" s="3"/>
      <c r="AM975" s="3"/>
      <c r="AN975" s="3"/>
      <c r="AO975" s="3"/>
      <c r="AP975" s="3"/>
      <c r="AQ975" s="3"/>
      <c r="AR975" s="3"/>
      <c r="AS975" s="3"/>
      <c r="AT975" s="3"/>
      <c r="AU975" s="3"/>
    </row>
    <row r="976" spans="2:47" ht="14.25" customHeight="1" x14ac:dyDescent="0.3">
      <c r="B976" s="3"/>
      <c r="Q976" s="1"/>
      <c r="R976" s="1"/>
      <c r="S976" s="2"/>
      <c r="T976" s="2">
        <v>862</v>
      </c>
      <c r="U976" s="48" t="s">
        <v>91</v>
      </c>
      <c r="V976" s="2"/>
      <c r="W976" s="2"/>
      <c r="X976" s="2"/>
      <c r="Y976" s="3"/>
      <c r="Z976" s="3"/>
      <c r="AA976" s="3"/>
      <c r="AB976" s="3"/>
      <c r="AC976" s="3"/>
      <c r="AD976" s="3"/>
      <c r="AE976" s="3"/>
      <c r="AF976" s="3"/>
      <c r="AG976" s="3"/>
      <c r="AH976" s="3"/>
      <c r="AI976" s="3"/>
      <c r="AJ976" s="3"/>
      <c r="AK976" s="3"/>
      <c r="AL976" s="3"/>
      <c r="AM976" s="3"/>
      <c r="AN976" s="3"/>
      <c r="AO976" s="3"/>
      <c r="AP976" s="3"/>
      <c r="AQ976" s="3"/>
      <c r="AR976" s="3"/>
      <c r="AS976" s="3"/>
      <c r="AT976" s="3"/>
      <c r="AU976" s="3"/>
    </row>
    <row r="977" spans="2:47" ht="14.25" customHeight="1" x14ac:dyDescent="0.3">
      <c r="B977" s="3"/>
      <c r="Q977" s="1"/>
      <c r="R977" s="1"/>
      <c r="S977" s="2"/>
      <c r="T977" s="2">
        <v>863</v>
      </c>
      <c r="U977" s="48" t="s">
        <v>91</v>
      </c>
      <c r="V977" s="2"/>
      <c r="W977" s="2"/>
      <c r="X977" s="2"/>
      <c r="Y977" s="3"/>
      <c r="Z977" s="3"/>
      <c r="AA977" s="3"/>
      <c r="AB977" s="3"/>
      <c r="AC977" s="3"/>
      <c r="AD977" s="3"/>
      <c r="AE977" s="3"/>
      <c r="AF977" s="3"/>
      <c r="AG977" s="3"/>
      <c r="AH977" s="3"/>
      <c r="AI977" s="3"/>
      <c r="AJ977" s="3"/>
      <c r="AK977" s="3"/>
      <c r="AL977" s="3"/>
      <c r="AM977" s="3"/>
      <c r="AN977" s="3"/>
      <c r="AO977" s="3"/>
      <c r="AP977" s="3"/>
      <c r="AQ977" s="3"/>
      <c r="AR977" s="3"/>
      <c r="AS977" s="3"/>
      <c r="AT977" s="3"/>
      <c r="AU977" s="3"/>
    </row>
    <row r="978" spans="2:47" ht="14.25" customHeight="1" x14ac:dyDescent="0.3">
      <c r="B978" s="3"/>
      <c r="Q978" s="1"/>
      <c r="R978" s="1"/>
      <c r="S978" s="2"/>
      <c r="T978" s="2">
        <v>864</v>
      </c>
      <c r="U978" s="48" t="s">
        <v>91</v>
      </c>
      <c r="V978" s="2"/>
      <c r="W978" s="2"/>
      <c r="X978" s="2"/>
      <c r="Y978" s="3"/>
      <c r="Z978" s="3"/>
      <c r="AA978" s="3"/>
      <c r="AB978" s="3"/>
      <c r="AC978" s="3"/>
      <c r="AD978" s="3"/>
      <c r="AE978" s="3"/>
      <c r="AF978" s="3"/>
      <c r="AG978" s="3"/>
      <c r="AH978" s="3"/>
      <c r="AI978" s="3"/>
      <c r="AJ978" s="3"/>
      <c r="AK978" s="3"/>
      <c r="AL978" s="3"/>
      <c r="AM978" s="3"/>
      <c r="AN978" s="3"/>
      <c r="AO978" s="3"/>
      <c r="AP978" s="3"/>
      <c r="AQ978" s="3"/>
      <c r="AR978" s="3"/>
      <c r="AS978" s="3"/>
      <c r="AT978" s="3"/>
      <c r="AU978" s="3"/>
    </row>
    <row r="979" spans="2:47" ht="14.25" customHeight="1" x14ac:dyDescent="0.3">
      <c r="B979" s="3"/>
      <c r="Q979" s="1"/>
      <c r="R979" s="1"/>
      <c r="S979" s="2"/>
      <c r="T979" s="2">
        <v>865</v>
      </c>
      <c r="U979" s="48" t="s">
        <v>91</v>
      </c>
      <c r="V979" s="2"/>
      <c r="W979" s="2"/>
      <c r="X979" s="2"/>
      <c r="Y979" s="3"/>
      <c r="Z979" s="3"/>
      <c r="AA979" s="3"/>
      <c r="AB979" s="3"/>
      <c r="AC979" s="3"/>
      <c r="AD979" s="3"/>
      <c r="AE979" s="3"/>
      <c r="AF979" s="3"/>
      <c r="AG979" s="3"/>
      <c r="AH979" s="3"/>
      <c r="AI979" s="3"/>
      <c r="AJ979" s="3"/>
      <c r="AK979" s="3"/>
      <c r="AL979" s="3"/>
      <c r="AM979" s="3"/>
      <c r="AN979" s="3"/>
      <c r="AO979" s="3"/>
      <c r="AP979" s="3"/>
      <c r="AQ979" s="3"/>
      <c r="AR979" s="3"/>
      <c r="AS979" s="3"/>
      <c r="AT979" s="3"/>
      <c r="AU979" s="3"/>
    </row>
    <row r="980" spans="2:47" ht="14.25" customHeight="1" x14ac:dyDescent="0.3">
      <c r="B980" s="3"/>
      <c r="Q980" s="1"/>
      <c r="R980" s="1"/>
      <c r="S980" s="2"/>
      <c r="T980" s="2">
        <v>866</v>
      </c>
      <c r="U980" s="48" t="s">
        <v>91</v>
      </c>
      <c r="V980" s="2"/>
      <c r="W980" s="2"/>
      <c r="X980" s="2"/>
      <c r="Y980" s="3"/>
      <c r="Z980" s="3"/>
      <c r="AA980" s="3"/>
      <c r="AB980" s="3"/>
      <c r="AC980" s="3"/>
      <c r="AD980" s="3"/>
      <c r="AE980" s="3"/>
      <c r="AF980" s="3"/>
      <c r="AG980" s="3"/>
      <c r="AH980" s="3"/>
      <c r="AI980" s="3"/>
      <c r="AJ980" s="3"/>
      <c r="AK980" s="3"/>
      <c r="AL980" s="3"/>
      <c r="AM980" s="3"/>
      <c r="AN980" s="3"/>
      <c r="AO980" s="3"/>
      <c r="AP980" s="3"/>
      <c r="AQ980" s="3"/>
      <c r="AR980" s="3"/>
      <c r="AS980" s="3"/>
      <c r="AT980" s="3"/>
      <c r="AU980" s="3"/>
    </row>
    <row r="981" spans="2:47" ht="14.25" customHeight="1" x14ac:dyDescent="0.3">
      <c r="B981" s="3"/>
      <c r="Q981" s="1"/>
      <c r="R981" s="1"/>
      <c r="S981" s="2"/>
      <c r="T981" s="2">
        <v>867</v>
      </c>
      <c r="U981" s="48" t="s">
        <v>91</v>
      </c>
      <c r="V981" s="2"/>
      <c r="W981" s="2"/>
      <c r="X981" s="2"/>
      <c r="Y981" s="3"/>
      <c r="Z981" s="3"/>
      <c r="AA981" s="3"/>
      <c r="AB981" s="3"/>
      <c r="AC981" s="3"/>
      <c r="AD981" s="3"/>
      <c r="AE981" s="3"/>
      <c r="AF981" s="3"/>
      <c r="AG981" s="3"/>
      <c r="AH981" s="3"/>
      <c r="AI981" s="3"/>
      <c r="AJ981" s="3"/>
      <c r="AK981" s="3"/>
      <c r="AL981" s="3"/>
      <c r="AM981" s="3"/>
      <c r="AN981" s="3"/>
      <c r="AO981" s="3"/>
      <c r="AP981" s="3"/>
      <c r="AQ981" s="3"/>
      <c r="AR981" s="3"/>
      <c r="AS981" s="3"/>
      <c r="AT981" s="3"/>
      <c r="AU981" s="3"/>
    </row>
    <row r="982" spans="2:47" ht="14.25" customHeight="1" x14ac:dyDescent="0.3">
      <c r="B982" s="3"/>
      <c r="Q982" s="1"/>
      <c r="R982" s="1"/>
      <c r="S982" s="2"/>
      <c r="T982" s="2">
        <v>868</v>
      </c>
      <c r="U982" s="48" t="s">
        <v>91</v>
      </c>
      <c r="V982" s="2"/>
      <c r="W982" s="2"/>
      <c r="X982" s="2"/>
      <c r="Y982" s="3"/>
      <c r="Z982" s="3"/>
      <c r="AA982" s="3"/>
      <c r="AB982" s="3"/>
      <c r="AC982" s="3"/>
      <c r="AD982" s="3"/>
      <c r="AE982" s="3"/>
      <c r="AF982" s="3"/>
      <c r="AG982" s="3"/>
      <c r="AH982" s="3"/>
      <c r="AI982" s="3"/>
      <c r="AJ982" s="3"/>
      <c r="AK982" s="3"/>
      <c r="AL982" s="3"/>
      <c r="AM982" s="3"/>
      <c r="AN982" s="3"/>
      <c r="AO982" s="3"/>
      <c r="AP982" s="3"/>
      <c r="AQ982" s="3"/>
      <c r="AR982" s="3"/>
      <c r="AS982" s="3"/>
      <c r="AT982" s="3"/>
      <c r="AU982" s="3"/>
    </row>
    <row r="983" spans="2:47" ht="14.25" customHeight="1" x14ac:dyDescent="0.3">
      <c r="B983" s="3"/>
      <c r="Q983" s="1"/>
      <c r="R983" s="1"/>
      <c r="S983" s="2"/>
      <c r="T983" s="2">
        <v>869</v>
      </c>
      <c r="U983" s="48" t="s">
        <v>91</v>
      </c>
      <c r="V983" s="2"/>
      <c r="W983" s="2"/>
      <c r="X983" s="2"/>
      <c r="Y983" s="3"/>
      <c r="Z983" s="3"/>
      <c r="AA983" s="3"/>
      <c r="AB983" s="3"/>
      <c r="AC983" s="3"/>
      <c r="AD983" s="3"/>
      <c r="AE983" s="3"/>
      <c r="AF983" s="3"/>
      <c r="AG983" s="3"/>
      <c r="AH983" s="3"/>
      <c r="AI983" s="3"/>
      <c r="AJ983" s="3"/>
      <c r="AK983" s="3"/>
      <c r="AL983" s="3"/>
      <c r="AM983" s="3"/>
      <c r="AN983" s="3"/>
      <c r="AO983" s="3"/>
      <c r="AP983" s="3"/>
      <c r="AQ983" s="3"/>
      <c r="AR983" s="3"/>
      <c r="AS983" s="3"/>
      <c r="AT983" s="3"/>
      <c r="AU983" s="3"/>
    </row>
    <row r="984" spans="2:47" ht="14.25" customHeight="1" x14ac:dyDescent="0.3">
      <c r="B984" s="3"/>
      <c r="Q984" s="1"/>
      <c r="R984" s="1"/>
      <c r="S984" s="2"/>
      <c r="T984" s="2">
        <v>870</v>
      </c>
      <c r="U984" s="48" t="s">
        <v>91</v>
      </c>
      <c r="V984" s="2"/>
      <c r="W984" s="2"/>
      <c r="X984" s="2"/>
      <c r="Y984" s="3"/>
      <c r="Z984" s="3"/>
      <c r="AA984" s="3"/>
      <c r="AB984" s="3"/>
      <c r="AC984" s="3"/>
      <c r="AD984" s="3"/>
      <c r="AE984" s="3"/>
      <c r="AF984" s="3"/>
      <c r="AG984" s="3"/>
      <c r="AH984" s="3"/>
      <c r="AI984" s="3"/>
      <c r="AJ984" s="3"/>
      <c r="AK984" s="3"/>
      <c r="AL984" s="3"/>
      <c r="AM984" s="3"/>
      <c r="AN984" s="3"/>
      <c r="AO984" s="3"/>
      <c r="AP984" s="3"/>
      <c r="AQ984" s="3"/>
      <c r="AR984" s="3"/>
      <c r="AS984" s="3"/>
      <c r="AT984" s="3"/>
      <c r="AU984" s="3"/>
    </row>
    <row r="985" spans="2:47" ht="14.25" customHeight="1" x14ac:dyDescent="0.3">
      <c r="B985" s="3"/>
      <c r="Q985" s="1"/>
      <c r="R985" s="1"/>
      <c r="S985" s="2"/>
      <c r="T985" s="2">
        <v>871</v>
      </c>
      <c r="U985" s="48" t="s">
        <v>91</v>
      </c>
      <c r="V985" s="2"/>
      <c r="W985" s="2"/>
      <c r="X985" s="2"/>
      <c r="Y985" s="3"/>
      <c r="Z985" s="3"/>
      <c r="AA985" s="3"/>
      <c r="AB985" s="3"/>
      <c r="AC985" s="3"/>
      <c r="AD985" s="3"/>
      <c r="AE985" s="3"/>
      <c r="AF985" s="3"/>
      <c r="AG985" s="3"/>
      <c r="AH985" s="3"/>
      <c r="AI985" s="3"/>
      <c r="AJ985" s="3"/>
      <c r="AK985" s="3"/>
      <c r="AL985" s="3"/>
      <c r="AM985" s="3"/>
      <c r="AN985" s="3"/>
      <c r="AO985" s="3"/>
      <c r="AP985" s="3"/>
      <c r="AQ985" s="3"/>
      <c r="AR985" s="3"/>
      <c r="AS985" s="3"/>
      <c r="AT985" s="3"/>
      <c r="AU985" s="3"/>
    </row>
    <row r="986" spans="2:47" ht="14.25" customHeight="1" x14ac:dyDescent="0.3">
      <c r="B986" s="3"/>
      <c r="Q986" s="1"/>
      <c r="R986" s="1"/>
      <c r="S986" s="2"/>
      <c r="T986" s="2">
        <v>872</v>
      </c>
      <c r="U986" s="48" t="s">
        <v>91</v>
      </c>
      <c r="V986" s="2"/>
      <c r="W986" s="2"/>
      <c r="X986" s="2"/>
      <c r="Y986" s="3"/>
      <c r="Z986" s="3"/>
      <c r="AA986" s="3"/>
      <c r="AB986" s="3"/>
      <c r="AC986" s="3"/>
      <c r="AD986" s="3"/>
      <c r="AE986" s="3"/>
      <c r="AF986" s="3"/>
      <c r="AG986" s="3"/>
      <c r="AH986" s="3"/>
      <c r="AI986" s="3"/>
      <c r="AJ986" s="3"/>
      <c r="AK986" s="3"/>
      <c r="AL986" s="3"/>
      <c r="AM986" s="3"/>
      <c r="AN986" s="3"/>
      <c r="AO986" s="3"/>
      <c r="AP986" s="3"/>
      <c r="AQ986" s="3"/>
      <c r="AR986" s="3"/>
      <c r="AS986" s="3"/>
      <c r="AT986" s="3"/>
      <c r="AU986" s="3"/>
    </row>
    <row r="987" spans="2:47" ht="14.25" customHeight="1" x14ac:dyDescent="0.3">
      <c r="B987" s="3"/>
      <c r="Q987" s="1"/>
      <c r="R987" s="1"/>
      <c r="S987" s="2"/>
      <c r="T987" s="2">
        <v>873</v>
      </c>
      <c r="U987" s="48" t="s">
        <v>91</v>
      </c>
      <c r="V987" s="2"/>
      <c r="W987" s="2"/>
      <c r="X987" s="2"/>
      <c r="Y987" s="3"/>
      <c r="Z987" s="3"/>
      <c r="AA987" s="3"/>
      <c r="AB987" s="3"/>
      <c r="AC987" s="3"/>
      <c r="AD987" s="3"/>
      <c r="AE987" s="3"/>
      <c r="AF987" s="3"/>
      <c r="AG987" s="3"/>
      <c r="AH987" s="3"/>
      <c r="AI987" s="3"/>
      <c r="AJ987" s="3"/>
      <c r="AK987" s="3"/>
      <c r="AL987" s="3"/>
      <c r="AM987" s="3"/>
      <c r="AN987" s="3"/>
      <c r="AO987" s="3"/>
      <c r="AP987" s="3"/>
      <c r="AQ987" s="3"/>
      <c r="AR987" s="3"/>
      <c r="AS987" s="3"/>
      <c r="AT987" s="3"/>
      <c r="AU987" s="3"/>
    </row>
    <row r="988" spans="2:47" ht="14.25" customHeight="1" x14ac:dyDescent="0.3">
      <c r="B988" s="3"/>
      <c r="Q988" s="1"/>
      <c r="R988" s="1"/>
      <c r="S988" s="2"/>
      <c r="T988" s="2">
        <v>874</v>
      </c>
      <c r="U988" s="48" t="s">
        <v>91</v>
      </c>
      <c r="V988" s="2"/>
      <c r="W988" s="2"/>
      <c r="X988" s="2"/>
      <c r="Y988" s="3"/>
      <c r="Z988" s="3"/>
      <c r="AA988" s="3"/>
      <c r="AB988" s="3"/>
      <c r="AC988" s="3"/>
      <c r="AD988" s="3"/>
      <c r="AE988" s="3"/>
      <c r="AF988" s="3"/>
      <c r="AG988" s="3"/>
      <c r="AH988" s="3"/>
      <c r="AI988" s="3"/>
      <c r="AJ988" s="3"/>
      <c r="AK988" s="3"/>
      <c r="AL988" s="3"/>
      <c r="AM988" s="3"/>
      <c r="AN988" s="3"/>
      <c r="AO988" s="3"/>
      <c r="AP988" s="3"/>
      <c r="AQ988" s="3"/>
      <c r="AR988" s="3"/>
      <c r="AS988" s="3"/>
      <c r="AT988" s="3"/>
      <c r="AU988" s="3"/>
    </row>
    <row r="989" spans="2:47" ht="14.25" customHeight="1" x14ac:dyDescent="0.3">
      <c r="B989" s="3"/>
      <c r="Q989" s="1"/>
      <c r="R989" s="1"/>
      <c r="S989" s="2"/>
      <c r="T989" s="2">
        <v>875</v>
      </c>
      <c r="U989" s="48" t="s">
        <v>91</v>
      </c>
      <c r="V989" s="2"/>
      <c r="W989" s="2"/>
      <c r="X989" s="2"/>
      <c r="Y989" s="3"/>
      <c r="Z989" s="3"/>
      <c r="AA989" s="3"/>
      <c r="AB989" s="3"/>
      <c r="AC989" s="3"/>
      <c r="AD989" s="3"/>
      <c r="AE989" s="3"/>
      <c r="AF989" s="3"/>
      <c r="AG989" s="3"/>
      <c r="AH989" s="3"/>
      <c r="AI989" s="3"/>
      <c r="AJ989" s="3"/>
      <c r="AK989" s="3"/>
      <c r="AL989" s="3"/>
      <c r="AM989" s="3"/>
      <c r="AN989" s="3"/>
      <c r="AO989" s="3"/>
      <c r="AP989" s="3"/>
      <c r="AQ989" s="3"/>
      <c r="AR989" s="3"/>
      <c r="AS989" s="3"/>
      <c r="AT989" s="3"/>
      <c r="AU989" s="3"/>
    </row>
    <row r="990" spans="2:47" ht="14.25" customHeight="1" x14ac:dyDescent="0.3">
      <c r="B990" s="3"/>
      <c r="Q990" s="1"/>
      <c r="R990" s="1"/>
      <c r="S990" s="2"/>
      <c r="T990" s="2">
        <v>876</v>
      </c>
      <c r="U990" s="48" t="s">
        <v>91</v>
      </c>
      <c r="V990" s="2"/>
      <c r="W990" s="2"/>
      <c r="X990" s="2"/>
      <c r="Y990" s="3"/>
      <c r="Z990" s="3"/>
      <c r="AA990" s="3"/>
      <c r="AB990" s="3"/>
      <c r="AC990" s="3"/>
      <c r="AD990" s="3"/>
      <c r="AE990" s="3"/>
      <c r="AF990" s="3"/>
      <c r="AG990" s="3"/>
      <c r="AH990" s="3"/>
      <c r="AI990" s="3"/>
      <c r="AJ990" s="3"/>
      <c r="AK990" s="3"/>
      <c r="AL990" s="3"/>
      <c r="AM990" s="3"/>
      <c r="AN990" s="3"/>
      <c r="AO990" s="3"/>
      <c r="AP990" s="3"/>
      <c r="AQ990" s="3"/>
      <c r="AR990" s="3"/>
      <c r="AS990" s="3"/>
      <c r="AT990" s="3"/>
      <c r="AU990" s="3"/>
    </row>
    <row r="991" spans="2:47" ht="14.25" customHeight="1" x14ac:dyDescent="0.3">
      <c r="B991" s="3"/>
      <c r="Q991" s="1"/>
      <c r="R991" s="1"/>
      <c r="S991" s="2"/>
      <c r="T991" s="2">
        <v>877</v>
      </c>
      <c r="U991" s="48" t="s">
        <v>91</v>
      </c>
      <c r="V991" s="2"/>
      <c r="W991" s="2"/>
      <c r="X991" s="2"/>
      <c r="Y991" s="3"/>
      <c r="Z991" s="3"/>
      <c r="AA991" s="3"/>
      <c r="AB991" s="3"/>
      <c r="AC991" s="3"/>
      <c r="AD991" s="3"/>
      <c r="AE991" s="3"/>
      <c r="AF991" s="3"/>
      <c r="AG991" s="3"/>
      <c r="AH991" s="3"/>
      <c r="AI991" s="3"/>
      <c r="AJ991" s="3"/>
      <c r="AK991" s="3"/>
      <c r="AL991" s="3"/>
      <c r="AM991" s="3"/>
      <c r="AN991" s="3"/>
      <c r="AO991" s="3"/>
      <c r="AP991" s="3"/>
      <c r="AQ991" s="3"/>
      <c r="AR991" s="3"/>
      <c r="AS991" s="3"/>
      <c r="AT991" s="3"/>
      <c r="AU991" s="3"/>
    </row>
    <row r="992" spans="2:47" ht="14.25" customHeight="1" x14ac:dyDescent="0.3">
      <c r="B992" s="3"/>
      <c r="Q992" s="1"/>
      <c r="R992" s="1"/>
      <c r="S992" s="2"/>
      <c r="T992" s="2">
        <v>878</v>
      </c>
      <c r="U992" s="48" t="s">
        <v>91</v>
      </c>
      <c r="V992" s="2"/>
      <c r="W992" s="2"/>
      <c r="X992" s="2"/>
      <c r="Y992" s="3"/>
      <c r="Z992" s="3"/>
      <c r="AA992" s="3"/>
      <c r="AB992" s="3"/>
      <c r="AC992" s="3"/>
      <c r="AD992" s="3"/>
      <c r="AE992" s="3"/>
      <c r="AF992" s="3"/>
      <c r="AG992" s="3"/>
      <c r="AH992" s="3"/>
      <c r="AI992" s="3"/>
      <c r="AJ992" s="3"/>
      <c r="AK992" s="3"/>
      <c r="AL992" s="3"/>
      <c r="AM992" s="3"/>
      <c r="AN992" s="3"/>
      <c r="AO992" s="3"/>
      <c r="AP992" s="3"/>
      <c r="AQ992" s="3"/>
      <c r="AR992" s="3"/>
      <c r="AS992" s="3"/>
      <c r="AT992" s="3"/>
      <c r="AU992" s="3"/>
    </row>
    <row r="993" spans="2:47" ht="14.25" customHeight="1" x14ac:dyDescent="0.3">
      <c r="B993" s="3"/>
      <c r="Q993" s="1"/>
      <c r="R993" s="1"/>
      <c r="S993" s="2"/>
      <c r="T993" s="2">
        <v>879</v>
      </c>
      <c r="U993" s="48" t="s">
        <v>91</v>
      </c>
      <c r="V993" s="2"/>
      <c r="W993" s="2"/>
      <c r="X993" s="2"/>
      <c r="Y993" s="3"/>
      <c r="Z993" s="3"/>
      <c r="AA993" s="3"/>
      <c r="AB993" s="3"/>
      <c r="AC993" s="3"/>
      <c r="AD993" s="3"/>
      <c r="AE993" s="3"/>
      <c r="AF993" s="3"/>
      <c r="AG993" s="3"/>
      <c r="AH993" s="3"/>
      <c r="AI993" s="3"/>
      <c r="AJ993" s="3"/>
      <c r="AK993" s="3"/>
      <c r="AL993" s="3"/>
      <c r="AM993" s="3"/>
      <c r="AN993" s="3"/>
      <c r="AO993" s="3"/>
      <c r="AP993" s="3"/>
      <c r="AQ993" s="3"/>
      <c r="AR993" s="3"/>
      <c r="AS993" s="3"/>
      <c r="AT993" s="3"/>
      <c r="AU993" s="3"/>
    </row>
    <row r="994" spans="2:47" ht="14.25" customHeight="1" x14ac:dyDescent="0.3">
      <c r="B994" s="3"/>
      <c r="Q994" s="1"/>
      <c r="R994" s="1"/>
      <c r="S994" s="2"/>
      <c r="T994" s="2">
        <v>880</v>
      </c>
      <c r="U994" s="48" t="s">
        <v>91</v>
      </c>
      <c r="V994" s="2"/>
      <c r="W994" s="2"/>
      <c r="X994" s="2"/>
      <c r="Y994" s="3"/>
      <c r="Z994" s="3"/>
      <c r="AA994" s="3"/>
      <c r="AB994" s="3"/>
      <c r="AC994" s="3"/>
      <c r="AD994" s="3"/>
      <c r="AE994" s="3"/>
      <c r="AF994" s="3"/>
      <c r="AG994" s="3"/>
      <c r="AH994" s="3"/>
      <c r="AI994" s="3"/>
      <c r="AJ994" s="3"/>
      <c r="AK994" s="3"/>
      <c r="AL994" s="3"/>
      <c r="AM994" s="3"/>
      <c r="AN994" s="3"/>
      <c r="AO994" s="3"/>
      <c r="AP994" s="3"/>
      <c r="AQ994" s="3"/>
      <c r="AR994" s="3"/>
      <c r="AS994" s="3"/>
      <c r="AT994" s="3"/>
      <c r="AU994" s="3"/>
    </row>
    <row r="995" spans="2:47" ht="14.25" customHeight="1" x14ac:dyDescent="0.3">
      <c r="B995" s="3"/>
      <c r="Q995" s="1"/>
      <c r="R995" s="1"/>
      <c r="S995" s="2"/>
      <c r="T995" s="2">
        <v>881</v>
      </c>
      <c r="U995" s="48" t="s">
        <v>91</v>
      </c>
      <c r="V995" s="2"/>
      <c r="W995" s="2"/>
      <c r="X995" s="2"/>
      <c r="Y995" s="3"/>
      <c r="Z995" s="3"/>
      <c r="AA995" s="3"/>
      <c r="AB995" s="3"/>
      <c r="AC995" s="3"/>
      <c r="AD995" s="3"/>
      <c r="AE995" s="3"/>
      <c r="AF995" s="3"/>
      <c r="AG995" s="3"/>
      <c r="AH995" s="3"/>
      <c r="AI995" s="3"/>
      <c r="AJ995" s="3"/>
      <c r="AK995" s="3"/>
      <c r="AL995" s="3"/>
      <c r="AM995" s="3"/>
      <c r="AN995" s="3"/>
      <c r="AO995" s="3"/>
      <c r="AP995" s="3"/>
      <c r="AQ995" s="3"/>
      <c r="AR995" s="3"/>
      <c r="AS995" s="3"/>
      <c r="AT995" s="3"/>
      <c r="AU995" s="3"/>
    </row>
    <row r="996" spans="2:47" ht="14.25" customHeight="1" x14ac:dyDescent="0.3">
      <c r="B996" s="3"/>
      <c r="Q996" s="1"/>
      <c r="R996" s="1"/>
      <c r="S996" s="2"/>
      <c r="T996" s="2">
        <v>882</v>
      </c>
      <c r="U996" s="48" t="s">
        <v>91</v>
      </c>
      <c r="V996" s="2"/>
      <c r="W996" s="2"/>
      <c r="X996" s="2"/>
      <c r="Y996" s="3"/>
      <c r="Z996" s="3"/>
      <c r="AA996" s="3"/>
      <c r="AB996" s="3"/>
      <c r="AC996" s="3"/>
      <c r="AD996" s="3"/>
      <c r="AE996" s="3"/>
      <c r="AF996" s="3"/>
      <c r="AG996" s="3"/>
      <c r="AH996" s="3"/>
      <c r="AI996" s="3"/>
      <c r="AJ996" s="3"/>
      <c r="AK996" s="3"/>
      <c r="AL996" s="3"/>
      <c r="AM996" s="3"/>
      <c r="AN996" s="3"/>
      <c r="AO996" s="3"/>
      <c r="AP996" s="3"/>
      <c r="AQ996" s="3"/>
      <c r="AR996" s="3"/>
      <c r="AS996" s="3"/>
      <c r="AT996" s="3"/>
      <c r="AU996" s="3"/>
    </row>
    <row r="997" spans="2:47" ht="14.25" customHeight="1" x14ac:dyDescent="0.3">
      <c r="B997" s="3"/>
      <c r="Q997" s="1"/>
      <c r="R997" s="1"/>
      <c r="S997" s="2"/>
      <c r="T997" s="2">
        <v>883</v>
      </c>
      <c r="U997" s="48" t="s">
        <v>91</v>
      </c>
      <c r="V997" s="2"/>
      <c r="W997" s="2"/>
      <c r="X997" s="2"/>
      <c r="Y997" s="3"/>
      <c r="Z997" s="3"/>
      <c r="AA997" s="3"/>
      <c r="AB997" s="3"/>
      <c r="AC997" s="3"/>
      <c r="AD997" s="3"/>
      <c r="AE997" s="3"/>
      <c r="AF997" s="3"/>
      <c r="AG997" s="3"/>
      <c r="AH997" s="3"/>
      <c r="AI997" s="3"/>
      <c r="AJ997" s="3"/>
      <c r="AK997" s="3"/>
      <c r="AL997" s="3"/>
      <c r="AM997" s="3"/>
      <c r="AN997" s="3"/>
      <c r="AO997" s="3"/>
      <c r="AP997" s="3"/>
      <c r="AQ997" s="3"/>
      <c r="AR997" s="3"/>
      <c r="AS997" s="3"/>
      <c r="AT997" s="3"/>
      <c r="AU997" s="3"/>
    </row>
    <row r="998" spans="2:47" ht="14.25" customHeight="1" x14ac:dyDescent="0.3">
      <c r="B998" s="3"/>
      <c r="Q998" s="1"/>
      <c r="R998" s="1"/>
      <c r="S998" s="2"/>
      <c r="T998" s="2">
        <v>884</v>
      </c>
      <c r="U998" s="48" t="s">
        <v>91</v>
      </c>
      <c r="V998" s="2"/>
      <c r="W998" s="2"/>
      <c r="X998" s="2"/>
      <c r="Y998" s="3"/>
      <c r="Z998" s="3"/>
      <c r="AA998" s="3"/>
      <c r="AB998" s="3"/>
      <c r="AC998" s="3"/>
      <c r="AD998" s="3"/>
      <c r="AE998" s="3"/>
      <c r="AF998" s="3"/>
      <c r="AG998" s="3"/>
      <c r="AH998" s="3"/>
      <c r="AI998" s="3"/>
      <c r="AJ998" s="3"/>
      <c r="AK998" s="3"/>
      <c r="AL998" s="3"/>
      <c r="AM998" s="3"/>
      <c r="AN998" s="3"/>
      <c r="AO998" s="3"/>
      <c r="AP998" s="3"/>
      <c r="AQ998" s="3"/>
      <c r="AR998" s="3"/>
      <c r="AS998" s="3"/>
      <c r="AT998" s="3"/>
      <c r="AU998" s="3"/>
    </row>
    <row r="999" spans="2:47" ht="14.25" customHeight="1" x14ac:dyDescent="0.3">
      <c r="B999" s="3"/>
      <c r="Q999" s="1"/>
      <c r="R999" s="1"/>
      <c r="S999" s="2"/>
      <c r="T999" s="2">
        <v>885</v>
      </c>
      <c r="U999" s="48" t="s">
        <v>91</v>
      </c>
      <c r="V999" s="2"/>
      <c r="W999" s="2"/>
      <c r="X999" s="2"/>
      <c r="Y999" s="3"/>
      <c r="Z999" s="3"/>
      <c r="AA999" s="3"/>
      <c r="AB999" s="3"/>
      <c r="AC999" s="3"/>
      <c r="AD999" s="3"/>
      <c r="AE999" s="3"/>
      <c r="AF999" s="3"/>
      <c r="AG999" s="3"/>
      <c r="AH999" s="3"/>
      <c r="AI999" s="3"/>
      <c r="AJ999" s="3"/>
      <c r="AK999" s="3"/>
      <c r="AL999" s="3"/>
      <c r="AM999" s="3"/>
      <c r="AN999" s="3"/>
      <c r="AO999" s="3"/>
      <c r="AP999" s="3"/>
      <c r="AQ999" s="3"/>
      <c r="AR999" s="3"/>
      <c r="AS999" s="3"/>
      <c r="AT999" s="3"/>
      <c r="AU999" s="3"/>
    </row>
    <row r="1000" spans="2:47" ht="14.25" customHeight="1" x14ac:dyDescent="0.3">
      <c r="B1000" s="3"/>
      <c r="Q1000" s="1"/>
      <c r="R1000" s="1"/>
      <c r="S1000" s="2"/>
      <c r="T1000" s="2">
        <v>886</v>
      </c>
      <c r="U1000" s="48" t="s">
        <v>91</v>
      </c>
      <c r="V1000" s="2"/>
      <c r="W1000" s="2"/>
      <c r="X1000" s="2"/>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row>
    <row r="1001" spans="2:47" ht="14.25" customHeight="1" x14ac:dyDescent="0.3">
      <c r="B1001" s="3"/>
      <c r="Q1001" s="1"/>
      <c r="R1001" s="1"/>
      <c r="S1001" s="2"/>
      <c r="T1001" s="2">
        <v>887</v>
      </c>
      <c r="U1001" s="48" t="s">
        <v>91</v>
      </c>
      <c r="V1001" s="2"/>
      <c r="W1001" s="2"/>
      <c r="X1001" s="2"/>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row>
    <row r="1002" spans="2:47" ht="14.25" customHeight="1" x14ac:dyDescent="0.3">
      <c r="B1002" s="3"/>
      <c r="Q1002" s="1"/>
      <c r="R1002" s="1"/>
      <c r="S1002" s="2"/>
      <c r="T1002" s="2">
        <v>888</v>
      </c>
      <c r="U1002" s="48" t="s">
        <v>91</v>
      </c>
      <c r="V1002" s="2"/>
      <c r="W1002" s="2"/>
      <c r="X1002" s="2"/>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row>
    <row r="1003" spans="2:47" ht="14.25" customHeight="1" x14ac:dyDescent="0.3">
      <c r="B1003" s="3"/>
      <c r="Q1003" s="1"/>
      <c r="R1003" s="1"/>
      <c r="S1003" s="2"/>
      <c r="T1003" s="2">
        <v>889</v>
      </c>
      <c r="U1003" s="48" t="s">
        <v>91</v>
      </c>
      <c r="V1003" s="2"/>
      <c r="W1003" s="2"/>
      <c r="X1003" s="2"/>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row>
    <row r="1004" spans="2:47" ht="14.25" customHeight="1" x14ac:dyDescent="0.3">
      <c r="B1004" s="3"/>
      <c r="Q1004" s="1"/>
      <c r="R1004" s="1"/>
      <c r="S1004" s="2"/>
      <c r="T1004" s="2">
        <v>890</v>
      </c>
      <c r="U1004" s="48" t="s">
        <v>91</v>
      </c>
      <c r="V1004" s="2"/>
      <c r="W1004" s="2"/>
      <c r="X1004" s="2"/>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row>
    <row r="1005" spans="2:47" ht="14.25" customHeight="1" x14ac:dyDescent="0.3">
      <c r="B1005" s="3"/>
      <c r="Q1005" s="1"/>
      <c r="R1005" s="1"/>
      <c r="S1005" s="2"/>
      <c r="T1005" s="2">
        <v>891</v>
      </c>
      <c r="U1005" s="48" t="s">
        <v>91</v>
      </c>
      <c r="V1005" s="2"/>
      <c r="W1005" s="2"/>
      <c r="X1005" s="2"/>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row>
    <row r="1006" spans="2:47" ht="14.25" customHeight="1" x14ac:dyDescent="0.3">
      <c r="B1006" s="3"/>
      <c r="Q1006" s="1"/>
      <c r="R1006" s="1"/>
      <c r="S1006" s="2"/>
      <c r="T1006" s="2">
        <v>892</v>
      </c>
      <c r="U1006" s="48" t="s">
        <v>91</v>
      </c>
      <c r="V1006" s="2"/>
      <c r="W1006" s="2"/>
      <c r="X1006" s="2"/>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row>
    <row r="1007" spans="2:47" ht="14.25" customHeight="1" x14ac:dyDescent="0.3">
      <c r="B1007" s="3"/>
      <c r="Q1007" s="1"/>
      <c r="R1007" s="1"/>
      <c r="S1007" s="2"/>
      <c r="T1007" s="2">
        <v>893</v>
      </c>
      <c r="U1007" s="48" t="s">
        <v>91</v>
      </c>
      <c r="V1007" s="2"/>
      <c r="W1007" s="2"/>
      <c r="X1007" s="2"/>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row>
    <row r="1008" spans="2:47" ht="14.25" customHeight="1" x14ac:dyDescent="0.3">
      <c r="B1008" s="3"/>
      <c r="Q1008" s="1"/>
      <c r="R1008" s="1"/>
      <c r="S1008" s="2"/>
      <c r="T1008" s="2">
        <v>894</v>
      </c>
      <c r="U1008" s="48" t="s">
        <v>91</v>
      </c>
      <c r="V1008" s="2"/>
      <c r="W1008" s="2"/>
      <c r="X1008" s="2"/>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row>
    <row r="1009" spans="2:47" ht="14.25" customHeight="1" x14ac:dyDescent="0.3">
      <c r="B1009" s="3"/>
      <c r="Q1009" s="1"/>
      <c r="R1009" s="1"/>
      <c r="S1009" s="2"/>
      <c r="T1009" s="2">
        <v>895</v>
      </c>
      <c r="U1009" s="48" t="s">
        <v>91</v>
      </c>
      <c r="V1009" s="2"/>
      <c r="W1009" s="2"/>
      <c r="X1009" s="2"/>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row>
    <row r="1010" spans="2:47" ht="14.25" customHeight="1" x14ac:dyDescent="0.3">
      <c r="B1010" s="3"/>
      <c r="Q1010" s="1"/>
      <c r="R1010" s="1"/>
      <c r="S1010" s="2"/>
      <c r="T1010" s="2">
        <v>896</v>
      </c>
      <c r="U1010" s="48" t="s">
        <v>91</v>
      </c>
      <c r="V1010" s="2"/>
      <c r="W1010" s="2"/>
      <c r="X1010" s="2"/>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row>
    <row r="1011" spans="2:47" ht="14.25" customHeight="1" x14ac:dyDescent="0.3">
      <c r="B1011" s="3"/>
      <c r="Q1011" s="1"/>
      <c r="R1011" s="1"/>
      <c r="S1011" s="2"/>
      <c r="T1011" s="2">
        <v>897</v>
      </c>
      <c r="U1011" s="48" t="s">
        <v>91</v>
      </c>
      <c r="V1011" s="2"/>
      <c r="W1011" s="2"/>
      <c r="X1011" s="2"/>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row>
    <row r="1012" spans="2:47" ht="14.25" customHeight="1" x14ac:dyDescent="0.3">
      <c r="B1012" s="3"/>
      <c r="Q1012" s="1"/>
      <c r="R1012" s="1"/>
      <c r="S1012" s="2"/>
      <c r="T1012" s="2">
        <v>898</v>
      </c>
      <c r="U1012" s="48" t="s">
        <v>91</v>
      </c>
      <c r="V1012" s="2"/>
      <c r="W1012" s="2"/>
      <c r="X1012" s="2"/>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row>
    <row r="1013" spans="2:47" ht="14.25" customHeight="1" x14ac:dyDescent="0.3">
      <c r="B1013" s="3"/>
      <c r="Q1013" s="1"/>
      <c r="R1013" s="1"/>
      <c r="S1013" s="2"/>
      <c r="T1013" s="2">
        <v>899</v>
      </c>
      <c r="U1013" s="48" t="s">
        <v>91</v>
      </c>
      <c r="V1013" s="2"/>
      <c r="W1013" s="2"/>
      <c r="X1013" s="2"/>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row>
    <row r="1014" spans="2:47" ht="14.25" customHeight="1" x14ac:dyDescent="0.3">
      <c r="B1014" s="3"/>
      <c r="Q1014" s="1"/>
      <c r="R1014" s="1"/>
      <c r="S1014" s="2"/>
      <c r="T1014" s="2">
        <v>900</v>
      </c>
      <c r="U1014" s="48" t="s">
        <v>91</v>
      </c>
      <c r="V1014" s="2"/>
      <c r="W1014" s="2"/>
      <c r="X1014" s="2"/>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row>
    <row r="1015" spans="2:47" ht="14.25" customHeight="1" x14ac:dyDescent="0.3">
      <c r="B1015" s="3"/>
      <c r="Q1015" s="1"/>
      <c r="R1015" s="1"/>
      <c r="S1015" s="2"/>
      <c r="T1015" s="2">
        <v>901</v>
      </c>
      <c r="U1015" s="48" t="s">
        <v>91</v>
      </c>
      <c r="V1015" s="2"/>
      <c r="W1015" s="2"/>
      <c r="X1015" s="2"/>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row>
    <row r="1016" spans="2:47" ht="14.25" customHeight="1" x14ac:dyDescent="0.3">
      <c r="B1016" s="3"/>
      <c r="Q1016" s="1"/>
      <c r="R1016" s="1"/>
      <c r="S1016" s="2"/>
      <c r="T1016" s="2">
        <v>902</v>
      </c>
      <c r="U1016" s="48" t="s">
        <v>91</v>
      </c>
      <c r="V1016" s="2"/>
      <c r="W1016" s="2"/>
      <c r="X1016" s="2"/>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row>
    <row r="1017" spans="2:47" ht="14.25" customHeight="1" x14ac:dyDescent="0.3">
      <c r="B1017" s="3"/>
      <c r="Q1017" s="1"/>
      <c r="R1017" s="1"/>
      <c r="S1017" s="2"/>
      <c r="T1017" s="2">
        <v>903</v>
      </c>
      <c r="U1017" s="48" t="s">
        <v>91</v>
      </c>
      <c r="V1017" s="2"/>
      <c r="W1017" s="2"/>
      <c r="X1017" s="2"/>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row>
    <row r="1018" spans="2:47" ht="14.25" customHeight="1" x14ac:dyDescent="0.3">
      <c r="B1018" s="3"/>
      <c r="Q1018" s="1"/>
      <c r="R1018" s="1"/>
      <c r="S1018" s="2"/>
      <c r="T1018" s="2">
        <v>904</v>
      </c>
      <c r="U1018" s="48" t="s">
        <v>91</v>
      </c>
      <c r="V1018" s="2"/>
      <c r="W1018" s="2"/>
      <c r="X1018" s="2"/>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row>
    <row r="1019" spans="2:47" ht="14.25" customHeight="1" x14ac:dyDescent="0.3">
      <c r="B1019" s="3"/>
      <c r="Q1019" s="1"/>
      <c r="R1019" s="1"/>
      <c r="S1019" s="2"/>
      <c r="T1019" s="2">
        <v>905</v>
      </c>
      <c r="U1019" s="48" t="s">
        <v>91</v>
      </c>
      <c r="V1019" s="2"/>
      <c r="W1019" s="2"/>
      <c r="X1019" s="2"/>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row>
    <row r="1020" spans="2:47" ht="14.25" customHeight="1" x14ac:dyDescent="0.3">
      <c r="B1020" s="3"/>
      <c r="Q1020" s="1"/>
      <c r="R1020" s="1"/>
      <c r="S1020" s="2"/>
      <c r="T1020" s="2">
        <v>906</v>
      </c>
      <c r="U1020" s="48" t="s">
        <v>91</v>
      </c>
      <c r="V1020" s="2"/>
      <c r="W1020" s="2"/>
      <c r="X1020" s="2"/>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row>
    <row r="1021" spans="2:47" ht="14.25" customHeight="1" x14ac:dyDescent="0.3">
      <c r="B1021" s="3"/>
      <c r="Q1021" s="1"/>
      <c r="R1021" s="1"/>
      <c r="S1021" s="2"/>
      <c r="T1021" s="2">
        <v>907</v>
      </c>
      <c r="U1021" s="48" t="s">
        <v>91</v>
      </c>
      <c r="V1021" s="2"/>
      <c r="W1021" s="2"/>
      <c r="X1021" s="2"/>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row>
    <row r="1022" spans="2:47" ht="14.25" customHeight="1" x14ac:dyDescent="0.3">
      <c r="B1022" s="3"/>
      <c r="Q1022" s="1"/>
      <c r="R1022" s="1"/>
      <c r="S1022" s="2"/>
      <c r="T1022" s="2">
        <v>908</v>
      </c>
      <c r="U1022" s="48" t="s">
        <v>91</v>
      </c>
      <c r="V1022" s="2"/>
      <c r="W1022" s="2"/>
      <c r="X1022" s="2"/>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row>
    <row r="1023" spans="2:47" ht="14.25" customHeight="1" x14ac:dyDescent="0.3">
      <c r="B1023" s="3"/>
      <c r="Q1023" s="1"/>
      <c r="R1023" s="1"/>
      <c r="S1023" s="2"/>
      <c r="T1023" s="2">
        <v>909</v>
      </c>
      <c r="U1023" s="48" t="s">
        <v>91</v>
      </c>
      <c r="V1023" s="2"/>
      <c r="W1023" s="2"/>
      <c r="X1023" s="2"/>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row>
    <row r="1024" spans="2:47" ht="14.25" customHeight="1" x14ac:dyDescent="0.3">
      <c r="B1024" s="3"/>
      <c r="Q1024" s="1"/>
      <c r="R1024" s="1"/>
      <c r="S1024" s="2"/>
      <c r="T1024" s="2">
        <v>910</v>
      </c>
      <c r="U1024" s="48" t="s">
        <v>91</v>
      </c>
      <c r="V1024" s="2"/>
      <c r="W1024" s="2"/>
      <c r="X1024" s="2"/>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row>
    <row r="1025" spans="2:47" ht="14.25" customHeight="1" x14ac:dyDescent="0.3">
      <c r="B1025" s="3"/>
      <c r="Q1025" s="1"/>
      <c r="R1025" s="1"/>
      <c r="S1025" s="2"/>
      <c r="T1025" s="2">
        <v>911</v>
      </c>
      <c r="U1025" s="48" t="s">
        <v>91</v>
      </c>
      <c r="V1025" s="2"/>
      <c r="W1025" s="2"/>
      <c r="X1025" s="2"/>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row>
    <row r="1026" spans="2:47" ht="14.25" customHeight="1" x14ac:dyDescent="0.3">
      <c r="B1026" s="3"/>
      <c r="Q1026" s="1"/>
      <c r="R1026" s="1"/>
      <c r="S1026" s="2"/>
      <c r="T1026" s="2">
        <v>912</v>
      </c>
      <c r="U1026" s="48" t="s">
        <v>91</v>
      </c>
      <c r="V1026" s="2"/>
      <c r="W1026" s="2"/>
      <c r="X1026" s="2"/>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row>
    <row r="1027" spans="2:47" ht="14.25" customHeight="1" x14ac:dyDescent="0.3">
      <c r="B1027" s="3"/>
      <c r="Q1027" s="1"/>
      <c r="R1027" s="1"/>
      <c r="S1027" s="2"/>
      <c r="T1027" s="2">
        <v>913</v>
      </c>
      <c r="U1027" s="48" t="s">
        <v>91</v>
      </c>
      <c r="V1027" s="2"/>
      <c r="W1027" s="2"/>
      <c r="X1027" s="2"/>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row>
    <row r="1028" spans="2:47" ht="14.25" customHeight="1" x14ac:dyDescent="0.3">
      <c r="B1028" s="3"/>
      <c r="Q1028" s="1"/>
      <c r="R1028" s="1"/>
      <c r="S1028" s="2"/>
      <c r="T1028" s="2">
        <v>914</v>
      </c>
      <c r="U1028" s="48" t="s">
        <v>91</v>
      </c>
      <c r="V1028" s="2"/>
      <c r="W1028" s="2"/>
      <c r="X1028" s="2"/>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row>
    <row r="1029" spans="2:47" ht="14.25" customHeight="1" x14ac:dyDescent="0.3">
      <c r="B1029" s="3"/>
      <c r="Q1029" s="1"/>
      <c r="R1029" s="1"/>
      <c r="S1029" s="2"/>
      <c r="T1029" s="2">
        <v>915</v>
      </c>
      <c r="U1029" s="48" t="s">
        <v>91</v>
      </c>
      <c r="V1029" s="2"/>
      <c r="W1029" s="2"/>
      <c r="X1029" s="2"/>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row>
    <row r="1030" spans="2:47" ht="14.25" customHeight="1" x14ac:dyDescent="0.3">
      <c r="B1030" s="3"/>
      <c r="Q1030" s="1"/>
      <c r="R1030" s="1"/>
      <c r="S1030" s="2"/>
      <c r="T1030" s="2">
        <v>916</v>
      </c>
      <c r="U1030" s="48" t="s">
        <v>91</v>
      </c>
      <c r="V1030" s="2"/>
      <c r="W1030" s="2"/>
      <c r="X1030" s="2"/>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row>
    <row r="1031" spans="2:47" ht="14.25" customHeight="1" x14ac:dyDescent="0.3">
      <c r="B1031" s="3"/>
      <c r="Q1031" s="1"/>
      <c r="R1031" s="1"/>
      <c r="S1031" s="2"/>
      <c r="T1031" s="2">
        <v>917</v>
      </c>
      <c r="U1031" s="48" t="s">
        <v>91</v>
      </c>
      <c r="V1031" s="2"/>
      <c r="W1031" s="2"/>
      <c r="X1031" s="2"/>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row>
    <row r="1032" spans="2:47" ht="14.25" customHeight="1" x14ac:dyDescent="0.3">
      <c r="B1032" s="3"/>
      <c r="Q1032" s="1"/>
      <c r="R1032" s="1"/>
      <c r="S1032" s="2"/>
      <c r="T1032" s="2">
        <v>918</v>
      </c>
      <c r="U1032" s="48" t="s">
        <v>91</v>
      </c>
      <c r="V1032" s="2"/>
      <c r="W1032" s="2"/>
      <c r="X1032" s="2"/>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row>
    <row r="1033" spans="2:47" ht="14.25" customHeight="1" x14ac:dyDescent="0.3">
      <c r="B1033" s="3"/>
      <c r="Q1033" s="1"/>
      <c r="R1033" s="1"/>
      <c r="S1033" s="2"/>
      <c r="T1033" s="2">
        <v>919</v>
      </c>
      <c r="U1033" s="48" t="s">
        <v>91</v>
      </c>
      <c r="V1033" s="2"/>
      <c r="W1033" s="2"/>
      <c r="X1033" s="2"/>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row>
    <row r="1034" spans="2:47" ht="14.25" customHeight="1" x14ac:dyDescent="0.3">
      <c r="B1034" s="3"/>
      <c r="Q1034" s="1"/>
      <c r="R1034" s="1"/>
      <c r="S1034" s="2"/>
      <c r="T1034" s="2">
        <v>920</v>
      </c>
      <c r="U1034" s="48" t="s">
        <v>91</v>
      </c>
      <c r="V1034" s="2"/>
      <c r="W1034" s="2"/>
      <c r="X1034" s="2"/>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row>
    <row r="1035" spans="2:47" ht="14.25" customHeight="1" x14ac:dyDescent="0.3">
      <c r="B1035" s="3"/>
      <c r="Q1035" s="1"/>
      <c r="R1035" s="1"/>
      <c r="S1035" s="2"/>
      <c r="T1035" s="2">
        <v>921</v>
      </c>
      <c r="U1035" s="48" t="s">
        <v>91</v>
      </c>
      <c r="V1035" s="2"/>
      <c r="W1035" s="2"/>
      <c r="X1035" s="2"/>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row>
    <row r="1036" spans="2:47" ht="14.25" customHeight="1" x14ac:dyDescent="0.3">
      <c r="B1036" s="3"/>
      <c r="Q1036" s="1"/>
      <c r="R1036" s="1"/>
      <c r="S1036" s="2"/>
      <c r="T1036" s="2">
        <v>922</v>
      </c>
      <c r="U1036" s="48" t="s">
        <v>91</v>
      </c>
      <c r="V1036" s="2"/>
      <c r="W1036" s="2"/>
      <c r="X1036" s="2"/>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row>
    <row r="1037" spans="2:47" ht="14.25" customHeight="1" x14ac:dyDescent="0.3">
      <c r="B1037" s="3"/>
      <c r="Q1037" s="1"/>
      <c r="R1037" s="1"/>
      <c r="S1037" s="2"/>
      <c r="T1037" s="2">
        <v>923</v>
      </c>
      <c r="U1037" s="48" t="s">
        <v>91</v>
      </c>
      <c r="V1037" s="2"/>
      <c r="W1037" s="2"/>
      <c r="X1037" s="2"/>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row>
    <row r="1038" spans="2:47" ht="14.25" customHeight="1" x14ac:dyDescent="0.3">
      <c r="B1038" s="3"/>
      <c r="Q1038" s="1"/>
      <c r="R1038" s="1"/>
      <c r="S1038" s="2"/>
      <c r="T1038" s="2">
        <v>924</v>
      </c>
      <c r="U1038" s="48" t="s">
        <v>91</v>
      </c>
      <c r="V1038" s="2"/>
      <c r="W1038" s="2"/>
      <c r="X1038" s="2"/>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row>
    <row r="1039" spans="2:47" ht="14.25" customHeight="1" x14ac:dyDescent="0.3">
      <c r="B1039" s="3"/>
      <c r="Q1039" s="1"/>
      <c r="R1039" s="1"/>
      <c r="S1039" s="2"/>
      <c r="T1039" s="2">
        <v>925</v>
      </c>
      <c r="U1039" s="48" t="s">
        <v>91</v>
      </c>
      <c r="V1039" s="2"/>
      <c r="W1039" s="2"/>
      <c r="X1039" s="2"/>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row>
    <row r="1040" spans="2:47" ht="14.25" customHeight="1" x14ac:dyDescent="0.3">
      <c r="B1040" s="3"/>
      <c r="Q1040" s="1"/>
      <c r="R1040" s="1"/>
      <c r="S1040" s="2"/>
      <c r="T1040" s="2">
        <v>926</v>
      </c>
      <c r="U1040" s="48" t="s">
        <v>91</v>
      </c>
      <c r="V1040" s="2"/>
      <c r="W1040" s="2"/>
      <c r="X1040" s="2"/>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row>
    <row r="1041" spans="2:47" ht="14.25" customHeight="1" x14ac:dyDescent="0.3">
      <c r="B1041" s="3"/>
      <c r="Q1041" s="1"/>
      <c r="R1041" s="1"/>
      <c r="S1041" s="2"/>
      <c r="T1041" s="2">
        <v>927</v>
      </c>
      <c r="U1041" s="48" t="s">
        <v>91</v>
      </c>
      <c r="V1041" s="2"/>
      <c r="W1041" s="2"/>
      <c r="X1041" s="2"/>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row>
    <row r="1042" spans="2:47" ht="14.25" customHeight="1" x14ac:dyDescent="0.3">
      <c r="B1042" s="3"/>
      <c r="Q1042" s="1"/>
      <c r="R1042" s="1"/>
      <c r="S1042" s="2"/>
      <c r="T1042" s="2">
        <v>928</v>
      </c>
      <c r="U1042" s="48" t="s">
        <v>91</v>
      </c>
      <c r="V1042" s="2"/>
      <c r="W1042" s="2"/>
      <c r="X1042" s="2"/>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row>
    <row r="1043" spans="2:47" ht="14.25" customHeight="1" x14ac:dyDescent="0.3">
      <c r="B1043" s="3"/>
      <c r="Q1043" s="1"/>
      <c r="R1043" s="1"/>
      <c r="S1043" s="2"/>
      <c r="T1043" s="2">
        <v>929</v>
      </c>
      <c r="U1043" s="48" t="s">
        <v>91</v>
      </c>
      <c r="V1043" s="2"/>
      <c r="W1043" s="2"/>
      <c r="X1043" s="2"/>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row>
    <row r="1044" spans="2:47" ht="14.25" customHeight="1" x14ac:dyDescent="0.3">
      <c r="B1044" s="3"/>
      <c r="Q1044" s="1"/>
      <c r="R1044" s="1"/>
      <c r="S1044" s="2"/>
      <c r="T1044" s="2">
        <v>930</v>
      </c>
      <c r="U1044" s="48" t="s">
        <v>91</v>
      </c>
      <c r="V1044" s="2"/>
      <c r="W1044" s="2"/>
      <c r="X1044" s="2"/>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row>
    <row r="1045" spans="2:47" ht="14.25" customHeight="1" x14ac:dyDescent="0.3">
      <c r="B1045" s="3"/>
      <c r="Q1045" s="1"/>
      <c r="R1045" s="1"/>
      <c r="S1045" s="2"/>
      <c r="T1045" s="2">
        <v>931</v>
      </c>
      <c r="U1045" s="48" t="s">
        <v>91</v>
      </c>
      <c r="V1045" s="2"/>
      <c r="W1045" s="2"/>
      <c r="X1045" s="2"/>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row>
    <row r="1046" spans="2:47" ht="14.25" customHeight="1" x14ac:dyDescent="0.3">
      <c r="B1046" s="3"/>
      <c r="Q1046" s="1"/>
      <c r="R1046" s="1"/>
      <c r="S1046" s="2"/>
      <c r="T1046" s="2">
        <v>932</v>
      </c>
      <c r="U1046" s="48" t="s">
        <v>91</v>
      </c>
      <c r="V1046" s="2"/>
      <c r="W1046" s="2"/>
      <c r="X1046" s="2"/>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row>
    <row r="1047" spans="2:47" ht="14.25" customHeight="1" x14ac:dyDescent="0.3">
      <c r="B1047" s="3"/>
      <c r="Q1047" s="1"/>
      <c r="R1047" s="1"/>
      <c r="S1047" s="2"/>
      <c r="T1047" s="2">
        <v>933</v>
      </c>
      <c r="U1047" s="48" t="s">
        <v>91</v>
      </c>
      <c r="V1047" s="2"/>
      <c r="W1047" s="2"/>
      <c r="X1047" s="2"/>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row>
    <row r="1048" spans="2:47" ht="14.25" customHeight="1" x14ac:dyDescent="0.3">
      <c r="B1048" s="3"/>
      <c r="Q1048" s="1"/>
      <c r="R1048" s="1"/>
      <c r="S1048" s="2"/>
      <c r="T1048" s="2">
        <v>934</v>
      </c>
      <c r="U1048" s="48" t="s">
        <v>91</v>
      </c>
      <c r="V1048" s="2"/>
      <c r="W1048" s="2"/>
      <c r="X1048" s="2"/>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row>
    <row r="1049" spans="2:47" ht="14.25" customHeight="1" x14ac:dyDescent="0.3">
      <c r="B1049" s="3"/>
      <c r="Q1049" s="1"/>
      <c r="R1049" s="1"/>
      <c r="S1049" s="2"/>
      <c r="T1049" s="2">
        <v>935</v>
      </c>
      <c r="U1049" s="48" t="s">
        <v>91</v>
      </c>
      <c r="V1049" s="2"/>
      <c r="W1049" s="2"/>
      <c r="X1049" s="2"/>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row>
    <row r="1050" spans="2:47" ht="14.25" customHeight="1" x14ac:dyDescent="0.3">
      <c r="B1050" s="3"/>
      <c r="Q1050" s="1"/>
      <c r="R1050" s="1"/>
      <c r="S1050" s="2"/>
      <c r="T1050" s="2">
        <v>936</v>
      </c>
      <c r="U1050" s="48" t="s">
        <v>91</v>
      </c>
      <c r="V1050" s="2"/>
      <c r="W1050" s="2"/>
      <c r="X1050" s="2"/>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row>
    <row r="1051" spans="2:47" ht="14.25" customHeight="1" x14ac:dyDescent="0.3">
      <c r="B1051" s="3"/>
      <c r="Q1051" s="1"/>
      <c r="R1051" s="1"/>
      <c r="S1051" s="2"/>
      <c r="T1051" s="2">
        <v>937</v>
      </c>
      <c r="U1051" s="48" t="s">
        <v>91</v>
      </c>
      <c r="V1051" s="2"/>
      <c r="W1051" s="2"/>
      <c r="X1051" s="2"/>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row>
    <row r="1052" spans="2:47" ht="14.25" customHeight="1" x14ac:dyDescent="0.3">
      <c r="B1052" s="3"/>
      <c r="Q1052" s="1"/>
      <c r="R1052" s="1"/>
      <c r="S1052" s="2"/>
      <c r="T1052" s="2">
        <v>938</v>
      </c>
      <c r="U1052" s="48" t="s">
        <v>91</v>
      </c>
      <c r="V1052" s="2"/>
      <c r="W1052" s="2"/>
      <c r="X1052" s="2"/>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row>
    <row r="1053" spans="2:47" ht="14.25" customHeight="1" x14ac:dyDescent="0.3">
      <c r="B1053" s="3"/>
      <c r="Q1053" s="1"/>
      <c r="R1053" s="1"/>
      <c r="S1053" s="2"/>
      <c r="T1053" s="2">
        <v>939</v>
      </c>
      <c r="U1053" s="48" t="s">
        <v>91</v>
      </c>
      <c r="V1053" s="2"/>
      <c r="W1053" s="2"/>
      <c r="X1053" s="2"/>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row>
    <row r="1054" spans="2:47" ht="14.25" customHeight="1" x14ac:dyDescent="0.3">
      <c r="B1054" s="3"/>
      <c r="Q1054" s="1"/>
      <c r="R1054" s="1"/>
      <c r="S1054" s="2"/>
      <c r="T1054" s="2">
        <v>940</v>
      </c>
      <c r="U1054" s="48" t="s">
        <v>91</v>
      </c>
      <c r="V1054" s="2"/>
      <c r="W1054" s="2"/>
      <c r="X1054" s="2"/>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row>
    <row r="1055" spans="2:47" ht="14.25" customHeight="1" x14ac:dyDescent="0.3">
      <c r="B1055" s="3"/>
      <c r="Q1055" s="1"/>
      <c r="R1055" s="1"/>
      <c r="S1055" s="2"/>
      <c r="T1055" s="2">
        <v>941</v>
      </c>
      <c r="U1055" s="48" t="s">
        <v>91</v>
      </c>
      <c r="V1055" s="2"/>
      <c r="W1055" s="2"/>
      <c r="X1055" s="2"/>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row>
    <row r="1056" spans="2:47" ht="14.25" customHeight="1" x14ac:dyDescent="0.3">
      <c r="B1056" s="3"/>
      <c r="Q1056" s="1"/>
      <c r="R1056" s="1"/>
      <c r="S1056" s="2"/>
      <c r="T1056" s="2">
        <v>942</v>
      </c>
      <c r="U1056" s="48" t="s">
        <v>91</v>
      </c>
      <c r="V1056" s="2"/>
      <c r="W1056" s="2"/>
      <c r="X1056" s="2"/>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row>
    <row r="1057" spans="2:47" ht="14.25" customHeight="1" x14ac:dyDescent="0.3">
      <c r="B1057" s="3"/>
      <c r="Q1057" s="1"/>
      <c r="R1057" s="1"/>
      <c r="S1057" s="2"/>
      <c r="T1057" s="2">
        <v>943</v>
      </c>
      <c r="U1057" s="48" t="s">
        <v>91</v>
      </c>
      <c r="V1057" s="2"/>
      <c r="W1057" s="2"/>
      <c r="X1057" s="2"/>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row>
    <row r="1058" spans="2:47" ht="14.25" customHeight="1" x14ac:dyDescent="0.3">
      <c r="B1058" s="3"/>
      <c r="Q1058" s="1"/>
      <c r="R1058" s="1"/>
      <c r="S1058" s="2"/>
      <c r="T1058" s="2">
        <v>944</v>
      </c>
      <c r="U1058" s="48" t="s">
        <v>91</v>
      </c>
      <c r="V1058" s="2"/>
      <c r="W1058" s="2"/>
      <c r="X1058" s="2"/>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row>
    <row r="1059" spans="2:47" ht="14.25" customHeight="1" x14ac:dyDescent="0.3">
      <c r="B1059" s="3"/>
      <c r="Q1059" s="1"/>
      <c r="R1059" s="1"/>
      <c r="S1059" s="2"/>
      <c r="T1059" s="2">
        <v>945</v>
      </c>
      <c r="U1059" s="48" t="s">
        <v>91</v>
      </c>
      <c r="V1059" s="2"/>
      <c r="W1059" s="2"/>
      <c r="X1059" s="2"/>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row>
    <row r="1060" spans="2:47" ht="14.25" customHeight="1" x14ac:dyDescent="0.3">
      <c r="B1060" s="3"/>
      <c r="Q1060" s="1"/>
      <c r="R1060" s="1"/>
      <c r="S1060" s="2"/>
      <c r="T1060" s="2">
        <v>946</v>
      </c>
      <c r="U1060" s="48" t="s">
        <v>91</v>
      </c>
      <c r="V1060" s="2"/>
      <c r="W1060" s="2"/>
      <c r="X1060" s="2"/>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row>
    <row r="1061" spans="2:47" ht="14.25" customHeight="1" x14ac:dyDescent="0.3">
      <c r="B1061" s="3"/>
      <c r="Q1061" s="1"/>
      <c r="R1061" s="1"/>
      <c r="S1061" s="2"/>
      <c r="T1061" s="2">
        <v>947</v>
      </c>
      <c r="U1061" s="48" t="s">
        <v>91</v>
      </c>
      <c r="V1061" s="2"/>
      <c r="W1061" s="2"/>
      <c r="X1061" s="2"/>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row>
    <row r="1062" spans="2:47" ht="14.25" customHeight="1" x14ac:dyDescent="0.3">
      <c r="B1062" s="3"/>
      <c r="Q1062" s="1"/>
      <c r="R1062" s="1"/>
      <c r="S1062" s="2"/>
      <c r="T1062" s="2">
        <v>948</v>
      </c>
      <c r="U1062" s="48" t="s">
        <v>91</v>
      </c>
      <c r="V1062" s="2"/>
      <c r="W1062" s="2"/>
      <c r="X1062" s="2"/>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row>
    <row r="1063" spans="2:47" ht="14.25" customHeight="1" x14ac:dyDescent="0.3">
      <c r="B1063" s="3"/>
      <c r="Q1063" s="1"/>
      <c r="R1063" s="1"/>
      <c r="S1063" s="2"/>
      <c r="T1063" s="2">
        <v>949</v>
      </c>
      <c r="U1063" s="48" t="s">
        <v>91</v>
      </c>
      <c r="V1063" s="2"/>
      <c r="W1063" s="2"/>
      <c r="X1063" s="2"/>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row>
    <row r="1064" spans="2:47" ht="14.25" customHeight="1" x14ac:dyDescent="0.3">
      <c r="B1064" s="3"/>
      <c r="Q1064" s="1"/>
      <c r="R1064" s="1"/>
      <c r="S1064" s="2"/>
      <c r="T1064" s="2">
        <v>950</v>
      </c>
      <c r="U1064" s="48" t="s">
        <v>91</v>
      </c>
      <c r="V1064" s="2"/>
      <c r="W1064" s="2"/>
      <c r="X1064" s="2"/>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row>
    <row r="1065" spans="2:47" ht="14.25" customHeight="1" x14ac:dyDescent="0.3">
      <c r="B1065" s="3"/>
      <c r="Q1065" s="1"/>
      <c r="R1065" s="1"/>
      <c r="S1065" s="2"/>
      <c r="T1065" s="2">
        <v>951</v>
      </c>
      <c r="U1065" s="48" t="s">
        <v>91</v>
      </c>
      <c r="V1065" s="2"/>
      <c r="W1065" s="2"/>
      <c r="X1065" s="2"/>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row>
    <row r="1066" spans="2:47" ht="14.25" customHeight="1" x14ac:dyDescent="0.3">
      <c r="B1066" s="3"/>
      <c r="Q1066" s="1"/>
      <c r="R1066" s="1"/>
      <c r="S1066" s="2"/>
      <c r="T1066" s="2">
        <v>952</v>
      </c>
      <c r="U1066" s="48" t="s">
        <v>91</v>
      </c>
      <c r="V1066" s="2"/>
      <c r="W1066" s="2"/>
      <c r="X1066" s="2"/>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row>
    <row r="1067" spans="2:47" ht="14.25" customHeight="1" x14ac:dyDescent="0.3">
      <c r="B1067" s="3"/>
      <c r="Q1067" s="1"/>
      <c r="R1067" s="1"/>
      <c r="S1067" s="2"/>
      <c r="T1067" s="2">
        <v>953</v>
      </c>
      <c r="U1067" s="48" t="s">
        <v>91</v>
      </c>
      <c r="V1067" s="2"/>
      <c r="W1067" s="2"/>
      <c r="X1067" s="2"/>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row>
    <row r="1068" spans="2:47" ht="14.25" customHeight="1" x14ac:dyDescent="0.3">
      <c r="B1068" s="3"/>
      <c r="Q1068" s="1"/>
      <c r="R1068" s="1"/>
      <c r="S1068" s="2"/>
      <c r="T1068" s="2">
        <v>954</v>
      </c>
      <c r="U1068" s="48" t="s">
        <v>91</v>
      </c>
      <c r="V1068" s="2"/>
      <c r="W1068" s="2"/>
      <c r="X1068" s="2"/>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row>
    <row r="1069" spans="2:47" ht="14.25" customHeight="1" x14ac:dyDescent="0.3">
      <c r="B1069" s="3"/>
      <c r="Q1069" s="1"/>
      <c r="R1069" s="1"/>
      <c r="S1069" s="2"/>
      <c r="T1069" s="2">
        <v>955</v>
      </c>
      <c r="U1069" s="48" t="s">
        <v>91</v>
      </c>
      <c r="V1069" s="2"/>
      <c r="W1069" s="2"/>
      <c r="X1069" s="2"/>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row>
    <row r="1070" spans="2:47" ht="14.25" customHeight="1" x14ac:dyDescent="0.3">
      <c r="B1070" s="3"/>
      <c r="Q1070" s="1"/>
      <c r="R1070" s="1"/>
      <c r="S1070" s="2"/>
      <c r="T1070" s="2">
        <v>956</v>
      </c>
      <c r="U1070" s="48" t="s">
        <v>91</v>
      </c>
      <c r="V1070" s="2"/>
      <c r="W1070" s="2"/>
      <c r="X1070" s="2"/>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row>
    <row r="1071" spans="2:47" ht="14.25" customHeight="1" x14ac:dyDescent="0.3">
      <c r="B1071" s="3"/>
      <c r="Q1071" s="1"/>
      <c r="R1071" s="1"/>
      <c r="S1071" s="2"/>
      <c r="T1071" s="2">
        <v>957</v>
      </c>
      <c r="U1071" s="48" t="s">
        <v>91</v>
      </c>
      <c r="V1071" s="2"/>
      <c r="W1071" s="2"/>
      <c r="X1071" s="2"/>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row>
    <row r="1072" spans="2:47" ht="14.25" customHeight="1" x14ac:dyDescent="0.3">
      <c r="B1072" s="3"/>
      <c r="Q1072" s="1"/>
      <c r="R1072" s="1"/>
      <c r="S1072" s="2"/>
      <c r="T1072" s="2">
        <v>958</v>
      </c>
      <c r="U1072" s="48" t="s">
        <v>91</v>
      </c>
      <c r="V1072" s="2"/>
      <c r="W1072" s="2"/>
      <c r="X1072" s="2"/>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row>
    <row r="1073" spans="2:47" ht="14.25" customHeight="1" x14ac:dyDescent="0.3">
      <c r="B1073" s="3"/>
      <c r="Q1073" s="1"/>
      <c r="R1073" s="1"/>
      <c r="S1073" s="2"/>
      <c r="T1073" s="2">
        <v>959</v>
      </c>
      <c r="U1073" s="48" t="s">
        <v>91</v>
      </c>
      <c r="V1073" s="2"/>
      <c r="W1073" s="2"/>
      <c r="X1073" s="2"/>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row>
    <row r="1074" spans="2:47" ht="14.25" customHeight="1" x14ac:dyDescent="0.3">
      <c r="B1074" s="3"/>
      <c r="Q1074" s="1"/>
      <c r="R1074" s="1"/>
      <c r="S1074" s="2"/>
      <c r="T1074" s="2">
        <v>960</v>
      </c>
      <c r="U1074" s="48" t="s">
        <v>91</v>
      </c>
      <c r="V1074" s="2"/>
      <c r="W1074" s="2"/>
      <c r="X1074" s="2"/>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row>
    <row r="1075" spans="2:47" ht="14.25" customHeight="1" x14ac:dyDescent="0.3">
      <c r="B1075" s="3"/>
      <c r="Q1075" s="1"/>
      <c r="R1075" s="1"/>
      <c r="S1075" s="2"/>
      <c r="T1075" s="2">
        <v>961</v>
      </c>
      <c r="U1075" s="48" t="s">
        <v>91</v>
      </c>
      <c r="V1075" s="2"/>
      <c r="W1075" s="2"/>
      <c r="X1075" s="2"/>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row>
    <row r="1076" spans="2:47" ht="14.25" customHeight="1" x14ac:dyDescent="0.3">
      <c r="B1076" s="3"/>
      <c r="Q1076" s="1"/>
      <c r="R1076" s="1"/>
      <c r="S1076" s="2"/>
      <c r="T1076" s="2">
        <v>962</v>
      </c>
      <c r="U1076" s="48" t="s">
        <v>91</v>
      </c>
      <c r="V1076" s="2"/>
      <c r="W1076" s="2"/>
      <c r="X1076" s="2"/>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row>
    <row r="1077" spans="2:47" ht="14.25" customHeight="1" x14ac:dyDescent="0.3">
      <c r="B1077" s="3"/>
      <c r="Q1077" s="1"/>
      <c r="R1077" s="1"/>
      <c r="S1077" s="2"/>
      <c r="T1077" s="2">
        <v>963</v>
      </c>
      <c r="U1077" s="48" t="s">
        <v>91</v>
      </c>
      <c r="V1077" s="2"/>
      <c r="W1077" s="2"/>
      <c r="X1077" s="2"/>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row>
    <row r="1078" spans="2:47" ht="14.25" customHeight="1" x14ac:dyDescent="0.3">
      <c r="B1078" s="3"/>
      <c r="Q1078" s="1"/>
      <c r="R1078" s="1"/>
      <c r="S1078" s="2"/>
      <c r="T1078" s="2">
        <v>964</v>
      </c>
      <c r="U1078" s="48" t="s">
        <v>91</v>
      </c>
      <c r="V1078" s="2"/>
      <c r="W1078" s="2"/>
      <c r="X1078" s="2"/>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row>
    <row r="1079" spans="2:47" ht="14.25" customHeight="1" x14ac:dyDescent="0.3">
      <c r="B1079" s="3"/>
      <c r="Q1079" s="1"/>
      <c r="R1079" s="1"/>
      <c r="S1079" s="2"/>
      <c r="T1079" s="2">
        <v>965</v>
      </c>
      <c r="U1079" s="48" t="s">
        <v>91</v>
      </c>
      <c r="V1079" s="2"/>
      <c r="W1079" s="2"/>
      <c r="X1079" s="2"/>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row>
    <row r="1080" spans="2:47" ht="14.25" customHeight="1" x14ac:dyDescent="0.3">
      <c r="B1080" s="3"/>
      <c r="Q1080" s="1"/>
      <c r="R1080" s="1"/>
      <c r="S1080" s="2"/>
      <c r="T1080" s="2">
        <v>966</v>
      </c>
      <c r="U1080" s="48" t="s">
        <v>91</v>
      </c>
      <c r="V1080" s="2"/>
      <c r="W1080" s="2"/>
      <c r="X1080" s="2"/>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row>
    <row r="1081" spans="2:47" ht="14.25" customHeight="1" x14ac:dyDescent="0.3">
      <c r="B1081" s="3"/>
      <c r="Q1081" s="1"/>
      <c r="R1081" s="1"/>
      <c r="S1081" s="2"/>
      <c r="T1081" s="2">
        <v>967</v>
      </c>
      <c r="U1081" s="48" t="s">
        <v>91</v>
      </c>
      <c r="V1081" s="2"/>
      <c r="W1081" s="2"/>
      <c r="X1081" s="2"/>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row>
    <row r="1082" spans="2:47" ht="14.25" customHeight="1" x14ac:dyDescent="0.3">
      <c r="B1082" s="3"/>
      <c r="Q1082" s="1"/>
      <c r="R1082" s="1"/>
      <c r="S1082" s="2"/>
      <c r="T1082" s="2">
        <v>968</v>
      </c>
      <c r="U1082" s="48" t="s">
        <v>91</v>
      </c>
      <c r="V1082" s="2"/>
      <c r="W1082" s="2"/>
      <c r="X1082" s="2"/>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row>
    <row r="1083" spans="2:47" ht="14.25" customHeight="1" x14ac:dyDescent="0.3">
      <c r="B1083" s="3"/>
      <c r="Q1083" s="1"/>
      <c r="R1083" s="1"/>
      <c r="S1083" s="2"/>
      <c r="T1083" s="2">
        <v>969</v>
      </c>
      <c r="U1083" s="48" t="s">
        <v>91</v>
      </c>
      <c r="V1083" s="2"/>
      <c r="W1083" s="2"/>
      <c r="X1083" s="2"/>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row>
    <row r="1084" spans="2:47" ht="14.25" customHeight="1" x14ac:dyDescent="0.3">
      <c r="B1084" s="3"/>
      <c r="Q1084" s="1"/>
      <c r="R1084" s="1"/>
      <c r="S1084" s="2"/>
      <c r="T1084" s="2">
        <v>970</v>
      </c>
      <c r="U1084" s="48" t="s">
        <v>91</v>
      </c>
      <c r="V1084" s="2"/>
      <c r="W1084" s="2"/>
      <c r="X1084" s="2"/>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row>
    <row r="1085" spans="2:47" ht="14.25" customHeight="1" x14ac:dyDescent="0.3">
      <c r="B1085" s="3"/>
      <c r="Q1085" s="1"/>
      <c r="R1085" s="1"/>
      <c r="S1085" s="2"/>
      <c r="T1085" s="2">
        <v>971</v>
      </c>
      <c r="U1085" s="48" t="s">
        <v>91</v>
      </c>
      <c r="V1085" s="2"/>
      <c r="W1085" s="2"/>
      <c r="X1085" s="2"/>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row>
    <row r="1086" spans="2:47" ht="14.25" customHeight="1" x14ac:dyDescent="0.3">
      <c r="B1086" s="3"/>
      <c r="Q1086" s="1"/>
      <c r="R1086" s="1"/>
      <c r="S1086" s="2"/>
      <c r="T1086" s="2">
        <v>972</v>
      </c>
      <c r="U1086" s="48" t="s">
        <v>91</v>
      </c>
      <c r="V1086" s="2"/>
      <c r="W1086" s="2"/>
      <c r="X1086" s="2"/>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row>
    <row r="1087" spans="2:47" ht="14.25" customHeight="1" x14ac:dyDescent="0.3">
      <c r="B1087" s="3"/>
      <c r="Q1087" s="1"/>
      <c r="R1087" s="1"/>
      <c r="S1087" s="2"/>
      <c r="T1087" s="2">
        <v>973</v>
      </c>
      <c r="U1087" s="48" t="s">
        <v>91</v>
      </c>
      <c r="V1087" s="2"/>
      <c r="W1087" s="2"/>
      <c r="X1087" s="2"/>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row>
    <row r="1088" spans="2:47" ht="14.25" customHeight="1" x14ac:dyDescent="0.3">
      <c r="B1088" s="3"/>
      <c r="Q1088" s="1"/>
      <c r="R1088" s="1"/>
      <c r="S1088" s="2"/>
      <c r="T1088" s="2">
        <v>974</v>
      </c>
      <c r="U1088" s="48" t="s">
        <v>91</v>
      </c>
      <c r="V1088" s="2"/>
      <c r="W1088" s="2"/>
      <c r="X1088" s="2"/>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row>
    <row r="1089" spans="2:47" ht="14.25" customHeight="1" x14ac:dyDescent="0.3">
      <c r="B1089" s="3"/>
      <c r="Q1089" s="1"/>
      <c r="R1089" s="1"/>
      <c r="S1089" s="2"/>
      <c r="T1089" s="2">
        <v>975</v>
      </c>
      <c r="U1089" s="48" t="s">
        <v>91</v>
      </c>
      <c r="V1089" s="2"/>
      <c r="W1089" s="2"/>
      <c r="X1089" s="2"/>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row>
    <row r="1090" spans="2:47" ht="14.25" customHeight="1" x14ac:dyDescent="0.3">
      <c r="B1090" s="3"/>
      <c r="Q1090" s="1"/>
      <c r="R1090" s="1"/>
      <c r="S1090" s="2"/>
      <c r="T1090" s="2">
        <v>976</v>
      </c>
      <c r="U1090" s="48" t="s">
        <v>91</v>
      </c>
      <c r="V1090" s="2"/>
      <c r="W1090" s="2"/>
      <c r="X1090" s="2"/>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row>
    <row r="1091" spans="2:47" ht="14.25" customHeight="1" x14ac:dyDescent="0.3">
      <c r="B1091" s="3"/>
      <c r="Q1091" s="1"/>
      <c r="R1091" s="1"/>
      <c r="S1091" s="2"/>
      <c r="T1091" s="2">
        <v>977</v>
      </c>
      <c r="U1091" s="48" t="s">
        <v>91</v>
      </c>
      <c r="V1091" s="2"/>
      <c r="W1091" s="2"/>
      <c r="X1091" s="2"/>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row>
    <row r="1092" spans="2:47" ht="14.25" customHeight="1" x14ac:dyDescent="0.3">
      <c r="B1092" s="3"/>
      <c r="Q1092" s="1"/>
      <c r="R1092" s="1"/>
      <c r="S1092" s="2"/>
      <c r="T1092" s="2">
        <v>978</v>
      </c>
      <c r="U1092" s="48" t="s">
        <v>91</v>
      </c>
      <c r="V1092" s="2"/>
      <c r="W1092" s="2"/>
      <c r="X1092" s="2"/>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row>
    <row r="1093" spans="2:47" ht="14.25" customHeight="1" x14ac:dyDescent="0.3">
      <c r="B1093" s="3"/>
      <c r="Q1093" s="1"/>
      <c r="R1093" s="1"/>
      <c r="S1093" s="2"/>
      <c r="T1093" s="2">
        <v>979</v>
      </c>
      <c r="U1093" s="48" t="s">
        <v>91</v>
      </c>
      <c r="V1093" s="2"/>
      <c r="W1093" s="2"/>
      <c r="X1093" s="2"/>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row>
    <row r="1094" spans="2:47" ht="14.25" customHeight="1" x14ac:dyDescent="0.3">
      <c r="B1094" s="3"/>
      <c r="Q1094" s="1"/>
      <c r="R1094" s="1"/>
      <c r="S1094" s="2"/>
      <c r="T1094" s="2">
        <v>980</v>
      </c>
      <c r="U1094" s="48" t="s">
        <v>91</v>
      </c>
      <c r="V1094" s="2"/>
      <c r="W1094" s="2"/>
      <c r="X1094" s="2"/>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row>
    <row r="1095" spans="2:47" ht="14.25" customHeight="1" x14ac:dyDescent="0.3">
      <c r="B1095" s="3"/>
      <c r="Q1095" s="1"/>
      <c r="R1095" s="1"/>
      <c r="S1095" s="2"/>
      <c r="T1095" s="2">
        <v>981</v>
      </c>
      <c r="U1095" s="48" t="s">
        <v>91</v>
      </c>
      <c r="V1095" s="2"/>
      <c r="W1095" s="2"/>
      <c r="X1095" s="2"/>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row>
    <row r="1096" spans="2:47" ht="14.25" customHeight="1" x14ac:dyDescent="0.3">
      <c r="B1096" s="3"/>
      <c r="Q1096" s="1"/>
      <c r="R1096" s="1"/>
      <c r="S1096" s="2"/>
      <c r="T1096" s="2">
        <v>982</v>
      </c>
      <c r="U1096" s="48" t="s">
        <v>91</v>
      </c>
      <c r="V1096" s="2"/>
      <c r="W1096" s="2"/>
      <c r="X1096" s="2"/>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row>
    <row r="1097" spans="2:47" ht="14.25" customHeight="1" x14ac:dyDescent="0.3">
      <c r="B1097" s="3"/>
      <c r="Q1097" s="1"/>
      <c r="R1097" s="1"/>
      <c r="S1097" s="2"/>
      <c r="T1097" s="2">
        <v>983</v>
      </c>
      <c r="U1097" s="48" t="s">
        <v>91</v>
      </c>
      <c r="V1097" s="2"/>
      <c r="W1097" s="2"/>
      <c r="X1097" s="2"/>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row>
    <row r="1098" spans="2:47" ht="14.25" customHeight="1" x14ac:dyDescent="0.3">
      <c r="B1098" s="3"/>
      <c r="Q1098" s="1"/>
      <c r="R1098" s="1"/>
      <c r="S1098" s="2"/>
      <c r="T1098" s="2">
        <v>984</v>
      </c>
      <c r="U1098" s="48" t="s">
        <v>91</v>
      </c>
      <c r="V1098" s="2"/>
      <c r="W1098" s="2"/>
      <c r="X1098" s="2"/>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row>
    <row r="1099" spans="2:47" ht="14.25" customHeight="1" x14ac:dyDescent="0.3">
      <c r="B1099" s="3"/>
      <c r="Q1099" s="1"/>
      <c r="R1099" s="1"/>
      <c r="S1099" s="2"/>
      <c r="T1099" s="2">
        <v>985</v>
      </c>
      <c r="U1099" s="48" t="s">
        <v>91</v>
      </c>
      <c r="V1099" s="2"/>
      <c r="W1099" s="2"/>
      <c r="X1099" s="2"/>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row>
    <row r="1100" spans="2:47" ht="14.25" customHeight="1" x14ac:dyDescent="0.3">
      <c r="B1100" s="3"/>
      <c r="Q1100" s="1"/>
      <c r="R1100" s="1"/>
      <c r="S1100" s="2"/>
      <c r="T1100" s="2">
        <v>986</v>
      </c>
      <c r="U1100" s="48" t="s">
        <v>91</v>
      </c>
      <c r="V1100" s="2"/>
      <c r="W1100" s="2"/>
      <c r="X1100" s="2"/>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row>
    <row r="1101" spans="2:47" ht="14.25" customHeight="1" x14ac:dyDescent="0.3">
      <c r="B1101" s="3"/>
      <c r="Q1101" s="1"/>
      <c r="R1101" s="1"/>
      <c r="S1101" s="2"/>
      <c r="T1101" s="2">
        <v>987</v>
      </c>
      <c r="U1101" s="48" t="s">
        <v>91</v>
      </c>
      <c r="V1101" s="2"/>
      <c r="W1101" s="2"/>
      <c r="X1101" s="2"/>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row>
    <row r="1102" spans="2:47" ht="14.25" customHeight="1" x14ac:dyDescent="0.3">
      <c r="B1102" s="3"/>
      <c r="Q1102" s="1"/>
      <c r="R1102" s="1"/>
      <c r="S1102" s="2"/>
      <c r="T1102" s="2">
        <v>988</v>
      </c>
      <c r="U1102" s="48" t="s">
        <v>91</v>
      </c>
      <c r="V1102" s="2"/>
      <c r="W1102" s="2"/>
      <c r="X1102" s="2"/>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row>
    <row r="1103" spans="2:47" ht="14.25" customHeight="1" x14ac:dyDescent="0.3">
      <c r="B1103" s="3"/>
      <c r="Q1103" s="1"/>
      <c r="R1103" s="1"/>
      <c r="S1103" s="2"/>
      <c r="T1103" s="2">
        <v>989</v>
      </c>
      <c r="U1103" s="48" t="s">
        <v>91</v>
      </c>
      <c r="V1103" s="2"/>
      <c r="W1103" s="2"/>
      <c r="X1103" s="2"/>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row>
    <row r="1104" spans="2:47" ht="14.25" customHeight="1" x14ac:dyDescent="0.3">
      <c r="B1104" s="3"/>
      <c r="Q1104" s="1"/>
      <c r="R1104" s="1"/>
      <c r="S1104" s="2"/>
      <c r="T1104" s="2">
        <v>990</v>
      </c>
      <c r="U1104" s="48" t="s">
        <v>91</v>
      </c>
      <c r="V1104" s="2"/>
      <c r="W1104" s="2"/>
      <c r="X1104" s="2"/>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row>
    <row r="1105" spans="2:47" ht="14.25" customHeight="1" x14ac:dyDescent="0.3">
      <c r="B1105" s="3"/>
      <c r="Q1105" s="1"/>
      <c r="R1105" s="1"/>
      <c r="S1105" s="2"/>
      <c r="T1105" s="2">
        <v>991</v>
      </c>
      <c r="U1105" s="48" t="s">
        <v>91</v>
      </c>
      <c r="V1105" s="2"/>
      <c r="W1105" s="2"/>
      <c r="X1105" s="2"/>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row>
    <row r="1106" spans="2:47" ht="14.25" customHeight="1" x14ac:dyDescent="0.3">
      <c r="B1106" s="3"/>
      <c r="Q1106" s="1"/>
      <c r="R1106" s="1"/>
      <c r="S1106" s="2"/>
      <c r="T1106" s="2">
        <v>992</v>
      </c>
      <c r="U1106" s="48" t="s">
        <v>91</v>
      </c>
      <c r="V1106" s="2"/>
      <c r="W1106" s="2"/>
      <c r="X1106" s="2"/>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row>
    <row r="1107" spans="2:47" ht="14.25" customHeight="1" x14ac:dyDescent="0.3">
      <c r="B1107" s="3"/>
      <c r="Q1107" s="1"/>
      <c r="R1107" s="1"/>
      <c r="S1107" s="2"/>
      <c r="T1107" s="2">
        <v>993</v>
      </c>
      <c r="U1107" s="48" t="s">
        <v>91</v>
      </c>
      <c r="V1107" s="2"/>
      <c r="W1107" s="2"/>
      <c r="X1107" s="2"/>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row>
    <row r="1108" spans="2:47" ht="14.25" customHeight="1" x14ac:dyDescent="0.3">
      <c r="B1108" s="3"/>
      <c r="Q1108" s="1"/>
      <c r="R1108" s="1"/>
      <c r="S1108" s="2"/>
      <c r="T1108" s="2">
        <v>994</v>
      </c>
      <c r="U1108" s="48" t="s">
        <v>91</v>
      </c>
      <c r="V1108" s="2"/>
      <c r="W1108" s="2"/>
      <c r="X1108" s="2"/>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row>
    <row r="1109" spans="2:47" ht="14.25" customHeight="1" x14ac:dyDescent="0.3">
      <c r="B1109" s="3"/>
      <c r="Q1109" s="1"/>
      <c r="R1109" s="1"/>
      <c r="S1109" s="2"/>
      <c r="T1109" s="2">
        <v>995</v>
      </c>
      <c r="U1109" s="48" t="s">
        <v>91</v>
      </c>
      <c r="V1109" s="2"/>
      <c r="W1109" s="2"/>
      <c r="X1109" s="2"/>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row>
    <row r="1110" spans="2:47" ht="14.25" customHeight="1" x14ac:dyDescent="0.3">
      <c r="B1110" s="3"/>
      <c r="Q1110" s="1"/>
      <c r="R1110" s="1"/>
      <c r="S1110" s="2"/>
      <c r="T1110" s="2">
        <v>996</v>
      </c>
      <c r="U1110" s="48" t="s">
        <v>91</v>
      </c>
      <c r="V1110" s="2"/>
      <c r="W1110" s="2"/>
      <c r="X1110" s="2"/>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row>
    <row r="1111" spans="2:47" ht="14.25" customHeight="1" x14ac:dyDescent="0.3">
      <c r="B1111" s="3"/>
      <c r="Q1111" s="1"/>
      <c r="R1111" s="1"/>
      <c r="S1111" s="2"/>
      <c r="T1111" s="2">
        <v>997</v>
      </c>
      <c r="U1111" s="48" t="s">
        <v>91</v>
      </c>
      <c r="V1111" s="2"/>
      <c r="W1111" s="2"/>
      <c r="X1111" s="2"/>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row>
    <row r="1112" spans="2:47" ht="14.25" customHeight="1" x14ac:dyDescent="0.3">
      <c r="B1112" s="3"/>
      <c r="Q1112" s="1"/>
      <c r="R1112" s="1"/>
      <c r="S1112" s="2"/>
      <c r="T1112" s="2">
        <v>998</v>
      </c>
      <c r="U1112" s="48" t="s">
        <v>91</v>
      </c>
      <c r="V1112" s="2"/>
      <c r="W1112" s="2"/>
      <c r="X1112" s="2"/>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row>
    <row r="1113" spans="2:47" ht="14.25" customHeight="1" x14ac:dyDescent="0.3">
      <c r="B1113" s="3"/>
      <c r="Q1113" s="1"/>
      <c r="R1113" s="1"/>
      <c r="S1113" s="2"/>
      <c r="T1113" s="2">
        <v>999</v>
      </c>
      <c r="U1113" s="48" t="s">
        <v>91</v>
      </c>
      <c r="V1113" s="2"/>
      <c r="W1113" s="2"/>
      <c r="X1113" s="2"/>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row>
    <row r="1114" spans="2:47" ht="14.25" customHeight="1" x14ac:dyDescent="0.3">
      <c r="B1114" s="3"/>
      <c r="Q1114" s="1"/>
      <c r="R1114" s="1"/>
      <c r="S1114" s="2"/>
      <c r="T1114" s="2">
        <v>1000</v>
      </c>
      <c r="U1114" s="48" t="s">
        <v>91</v>
      </c>
      <c r="V1114" s="2"/>
      <c r="W1114" s="2"/>
      <c r="X1114" s="2"/>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row>
    <row r="1115" spans="2:47" ht="14.25" customHeight="1" x14ac:dyDescent="0.3">
      <c r="B1115" s="3"/>
      <c r="Q1115" s="1"/>
      <c r="R1115" s="1"/>
      <c r="S1115" s="2"/>
      <c r="T1115" s="2">
        <v>1001</v>
      </c>
      <c r="U1115" s="48" t="s">
        <v>91</v>
      </c>
      <c r="V1115" s="2"/>
      <c r="W1115" s="2"/>
      <c r="X1115" s="2"/>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row>
    <row r="1116" spans="2:47" ht="14.25" customHeight="1" x14ac:dyDescent="0.3">
      <c r="B1116" s="3"/>
      <c r="Q1116" s="1"/>
      <c r="R1116" s="1"/>
      <c r="S1116" s="2"/>
      <c r="T1116" s="2">
        <v>1002</v>
      </c>
      <c r="U1116" s="48" t="s">
        <v>91</v>
      </c>
      <c r="V1116" s="2"/>
      <c r="W1116" s="2"/>
      <c r="X1116" s="2"/>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row>
    <row r="1117" spans="2:47" ht="14.25" customHeight="1" x14ac:dyDescent="0.3">
      <c r="B1117" s="3"/>
      <c r="Q1117" s="1"/>
      <c r="R1117" s="1"/>
      <c r="S1117" s="2"/>
      <c r="T1117" s="2">
        <v>1003</v>
      </c>
      <c r="U1117" s="48" t="s">
        <v>91</v>
      </c>
      <c r="V1117" s="2"/>
      <c r="W1117" s="2"/>
      <c r="X1117" s="2"/>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row>
    <row r="1118" spans="2:47" ht="14.25" customHeight="1" x14ac:dyDescent="0.3">
      <c r="B1118" s="3"/>
      <c r="Q1118" s="1"/>
      <c r="R1118" s="1"/>
      <c r="S1118" s="2"/>
      <c r="T1118" s="2">
        <v>1004</v>
      </c>
      <c r="U1118" s="48" t="s">
        <v>91</v>
      </c>
      <c r="V1118" s="2"/>
      <c r="W1118" s="2"/>
      <c r="X1118" s="2"/>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row>
    <row r="1119" spans="2:47" ht="14.25" customHeight="1" x14ac:dyDescent="0.3">
      <c r="B1119" s="3"/>
      <c r="Q1119" s="1"/>
      <c r="R1119" s="1"/>
      <c r="S1119" s="2"/>
      <c r="T1119" s="2">
        <v>1005</v>
      </c>
      <c r="U1119" s="48" t="s">
        <v>91</v>
      </c>
      <c r="V1119" s="2"/>
      <c r="W1119" s="2"/>
      <c r="X1119" s="2"/>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row>
    <row r="1120" spans="2:47" ht="14.25" customHeight="1" x14ac:dyDescent="0.3">
      <c r="B1120" s="3"/>
      <c r="Q1120" s="1"/>
      <c r="R1120" s="1"/>
      <c r="S1120" s="2"/>
      <c r="T1120" s="2">
        <v>1006</v>
      </c>
      <c r="U1120" s="48" t="s">
        <v>91</v>
      </c>
      <c r="V1120" s="2"/>
      <c r="W1120" s="2"/>
      <c r="X1120" s="2"/>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row>
    <row r="1121" spans="2:47" ht="14.25" customHeight="1" x14ac:dyDescent="0.3">
      <c r="B1121" s="3"/>
      <c r="Q1121" s="1"/>
      <c r="R1121" s="1"/>
      <c r="S1121" s="2"/>
      <c r="T1121" s="2">
        <v>1007</v>
      </c>
      <c r="U1121" s="48" t="s">
        <v>91</v>
      </c>
      <c r="V1121" s="2"/>
      <c r="W1121" s="2"/>
      <c r="X1121" s="2"/>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row>
    <row r="1122" spans="2:47" ht="14.25" customHeight="1" x14ac:dyDescent="0.3">
      <c r="B1122" s="3"/>
      <c r="Q1122" s="1"/>
      <c r="R1122" s="1"/>
      <c r="S1122" s="2"/>
      <c r="T1122" s="2">
        <v>1008</v>
      </c>
      <c r="U1122" s="48" t="s">
        <v>91</v>
      </c>
      <c r="V1122" s="2"/>
      <c r="W1122" s="2"/>
      <c r="X1122" s="2"/>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row>
    <row r="1123" spans="2:47" ht="14.25" customHeight="1" x14ac:dyDescent="0.3">
      <c r="B1123" s="3"/>
      <c r="Q1123" s="1"/>
      <c r="R1123" s="1"/>
      <c r="S1123" s="2"/>
      <c r="T1123" s="2">
        <v>1009</v>
      </c>
      <c r="U1123" s="48" t="s">
        <v>91</v>
      </c>
      <c r="V1123" s="2"/>
      <c r="W1123" s="2"/>
      <c r="X1123" s="2"/>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row>
    <row r="1124" spans="2:47" ht="14.25" customHeight="1" x14ac:dyDescent="0.3">
      <c r="B1124" s="3"/>
      <c r="Q1124" s="1"/>
      <c r="R1124" s="1"/>
      <c r="S1124" s="2"/>
      <c r="T1124" s="2">
        <v>1010</v>
      </c>
      <c r="U1124" s="48" t="s">
        <v>91</v>
      </c>
      <c r="V1124" s="2"/>
      <c r="W1124" s="2"/>
      <c r="X1124" s="2"/>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row>
    <row r="1125" spans="2:47" ht="14.25" customHeight="1" x14ac:dyDescent="0.3">
      <c r="B1125" s="3"/>
      <c r="Q1125" s="1"/>
      <c r="R1125" s="1"/>
      <c r="S1125" s="2"/>
      <c r="T1125" s="2">
        <v>1011</v>
      </c>
      <c r="U1125" s="48" t="s">
        <v>91</v>
      </c>
      <c r="V1125" s="2"/>
      <c r="W1125" s="2"/>
      <c r="X1125" s="2"/>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row>
    <row r="1126" spans="2:47" ht="14.25" customHeight="1" x14ac:dyDescent="0.3">
      <c r="B1126" s="3"/>
      <c r="Q1126" s="1"/>
      <c r="R1126" s="1"/>
      <c r="S1126" s="2"/>
      <c r="T1126" s="2">
        <v>1012</v>
      </c>
      <c r="U1126" s="48" t="s">
        <v>91</v>
      </c>
      <c r="V1126" s="2"/>
      <c r="W1126" s="2"/>
      <c r="X1126" s="2"/>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row>
    <row r="1127" spans="2:47" ht="14.25" customHeight="1" x14ac:dyDescent="0.3">
      <c r="B1127" s="3"/>
      <c r="Q1127" s="1"/>
      <c r="R1127" s="1"/>
      <c r="S1127" s="2"/>
      <c r="T1127" s="2">
        <v>1013</v>
      </c>
      <c r="U1127" s="48" t="s">
        <v>91</v>
      </c>
      <c r="V1127" s="2"/>
      <c r="W1127" s="2"/>
      <c r="X1127" s="2"/>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row>
    <row r="1128" spans="2:47" ht="14.25" customHeight="1" x14ac:dyDescent="0.3">
      <c r="B1128" s="3"/>
      <c r="Q1128" s="1"/>
      <c r="R1128" s="1"/>
      <c r="S1128" s="2"/>
      <c r="T1128" s="2">
        <v>1014</v>
      </c>
      <c r="U1128" s="48" t="s">
        <v>91</v>
      </c>
      <c r="V1128" s="2"/>
      <c r="W1128" s="2"/>
      <c r="X1128" s="2"/>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row>
    <row r="1129" spans="2:47" ht="14.25" customHeight="1" x14ac:dyDescent="0.3">
      <c r="B1129" s="3"/>
      <c r="Q1129" s="1"/>
      <c r="R1129" s="1"/>
      <c r="S1129" s="2"/>
      <c r="T1129" s="2">
        <v>1015</v>
      </c>
      <c r="U1129" s="48" t="s">
        <v>91</v>
      </c>
      <c r="V1129" s="2"/>
      <c r="W1129" s="2"/>
      <c r="X1129" s="2"/>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row>
    <row r="1130" spans="2:47" ht="14.25" customHeight="1" x14ac:dyDescent="0.3">
      <c r="B1130" s="3"/>
      <c r="Q1130" s="1"/>
      <c r="R1130" s="1"/>
      <c r="S1130" s="2"/>
      <c r="T1130" s="2">
        <v>1016</v>
      </c>
      <c r="U1130" s="48" t="s">
        <v>91</v>
      </c>
      <c r="V1130" s="2"/>
      <c r="W1130" s="2"/>
      <c r="X1130" s="2"/>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row>
    <row r="1131" spans="2:47" ht="14.25" customHeight="1" x14ac:dyDescent="0.3">
      <c r="B1131" s="3"/>
      <c r="Q1131" s="1"/>
      <c r="R1131" s="1"/>
      <c r="S1131" s="2"/>
      <c r="T1131" s="2">
        <v>1017</v>
      </c>
      <c r="U1131" s="48" t="s">
        <v>91</v>
      </c>
      <c r="V1131" s="2"/>
      <c r="W1131" s="2"/>
      <c r="X1131" s="2"/>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row>
    <row r="1132" spans="2:47" ht="14.25" customHeight="1" x14ac:dyDescent="0.3">
      <c r="B1132" s="3"/>
      <c r="Q1132" s="1"/>
      <c r="R1132" s="1"/>
      <c r="S1132" s="2"/>
      <c r="T1132" s="2">
        <v>1018</v>
      </c>
      <c r="U1132" s="48" t="s">
        <v>91</v>
      </c>
      <c r="V1132" s="2"/>
      <c r="W1132" s="2"/>
      <c r="X1132" s="2"/>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row>
    <row r="1133" spans="2:47" ht="14.25" customHeight="1" x14ac:dyDescent="0.3">
      <c r="B1133" s="3"/>
      <c r="Q1133" s="1"/>
      <c r="R1133" s="1"/>
      <c r="S1133" s="2"/>
      <c r="T1133" s="2">
        <v>1019</v>
      </c>
      <c r="U1133" s="48" t="s">
        <v>91</v>
      </c>
      <c r="V1133" s="2"/>
      <c r="W1133" s="2"/>
      <c r="X1133" s="2"/>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row>
    <row r="1134" spans="2:47" ht="14.25" customHeight="1" x14ac:dyDescent="0.3">
      <c r="B1134" s="3"/>
      <c r="Q1134" s="1"/>
      <c r="R1134" s="1"/>
      <c r="S1134" s="2"/>
      <c r="T1134" s="2">
        <v>1020</v>
      </c>
      <c r="U1134" s="48" t="s">
        <v>91</v>
      </c>
      <c r="V1134" s="2"/>
      <c r="W1134" s="2"/>
      <c r="X1134" s="2"/>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row>
    <row r="1135" spans="2:47" ht="14.25" customHeight="1" x14ac:dyDescent="0.3">
      <c r="B1135" s="3"/>
      <c r="Q1135" s="1"/>
      <c r="R1135" s="1"/>
      <c r="S1135" s="2"/>
      <c r="T1135" s="2">
        <v>1021</v>
      </c>
      <c r="U1135" s="48" t="s">
        <v>91</v>
      </c>
      <c r="V1135" s="2"/>
      <c r="W1135" s="2"/>
      <c r="X1135" s="2"/>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row>
    <row r="1136" spans="2:47" ht="14.25" customHeight="1" x14ac:dyDescent="0.3">
      <c r="B1136" s="3"/>
      <c r="Q1136" s="1"/>
      <c r="R1136" s="1"/>
      <c r="S1136" s="2"/>
      <c r="T1136" s="2">
        <v>1022</v>
      </c>
      <c r="U1136" s="48" t="s">
        <v>91</v>
      </c>
      <c r="V1136" s="2"/>
      <c r="W1136" s="2"/>
      <c r="X1136" s="2"/>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row>
    <row r="1137" spans="2:47" ht="14.25" customHeight="1" x14ac:dyDescent="0.3">
      <c r="B1137" s="3"/>
      <c r="Q1137" s="1"/>
      <c r="R1137" s="1"/>
      <c r="S1137" s="2"/>
      <c r="T1137" s="2">
        <v>1023</v>
      </c>
      <c r="U1137" s="48" t="s">
        <v>91</v>
      </c>
      <c r="V1137" s="2"/>
      <c r="W1137" s="2"/>
      <c r="X1137" s="2"/>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row>
    <row r="1138" spans="2:47" ht="14.25" customHeight="1" x14ac:dyDescent="0.3">
      <c r="B1138" s="3"/>
      <c r="Q1138" s="1"/>
      <c r="R1138" s="1"/>
      <c r="S1138" s="2"/>
      <c r="T1138" s="2">
        <v>1024</v>
      </c>
      <c r="U1138" s="48" t="s">
        <v>91</v>
      </c>
      <c r="V1138" s="2"/>
      <c r="W1138" s="2"/>
      <c r="X1138" s="2"/>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row>
    <row r="1139" spans="2:47" ht="14.25" customHeight="1" x14ac:dyDescent="0.3">
      <c r="B1139" s="3"/>
      <c r="Q1139" s="1"/>
      <c r="R1139" s="1"/>
      <c r="S1139" s="2"/>
      <c r="T1139" s="2">
        <v>1025</v>
      </c>
      <c r="U1139" s="48" t="s">
        <v>91</v>
      </c>
      <c r="V1139" s="2"/>
      <c r="W1139" s="2"/>
      <c r="X1139" s="2"/>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row>
    <row r="1140" spans="2:47" ht="14.25" customHeight="1" x14ac:dyDescent="0.3">
      <c r="B1140" s="3"/>
      <c r="Q1140" s="1"/>
      <c r="R1140" s="1"/>
      <c r="S1140" s="2"/>
      <c r="T1140" s="2">
        <v>1026</v>
      </c>
      <c r="U1140" s="48" t="s">
        <v>91</v>
      </c>
      <c r="V1140" s="2"/>
      <c r="W1140" s="2"/>
      <c r="X1140" s="2"/>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row>
    <row r="1141" spans="2:47" ht="14.25" customHeight="1" x14ac:dyDescent="0.3">
      <c r="B1141" s="3"/>
      <c r="Q1141" s="1"/>
      <c r="R1141" s="1"/>
      <c r="S1141" s="2"/>
      <c r="T1141" s="2">
        <v>1027</v>
      </c>
      <c r="U1141" s="48" t="s">
        <v>91</v>
      </c>
      <c r="V1141" s="2"/>
      <c r="W1141" s="2"/>
      <c r="X1141" s="2"/>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row>
    <row r="1142" spans="2:47" ht="14.25" customHeight="1" x14ac:dyDescent="0.3">
      <c r="B1142" s="3"/>
      <c r="Q1142" s="1"/>
      <c r="R1142" s="1"/>
      <c r="S1142" s="2"/>
      <c r="T1142" s="2">
        <v>1028</v>
      </c>
      <c r="U1142" s="48" t="s">
        <v>91</v>
      </c>
      <c r="V1142" s="2"/>
      <c r="W1142" s="2"/>
      <c r="X1142" s="2"/>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row>
    <row r="1143" spans="2:47" ht="14.25" customHeight="1" x14ac:dyDescent="0.3">
      <c r="B1143" s="3"/>
      <c r="Q1143" s="1"/>
      <c r="R1143" s="1"/>
      <c r="S1143" s="2"/>
      <c r="T1143" s="2">
        <v>1029</v>
      </c>
      <c r="U1143" s="48" t="s">
        <v>91</v>
      </c>
      <c r="V1143" s="2"/>
      <c r="W1143" s="2"/>
      <c r="X1143" s="2"/>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row>
    <row r="1144" spans="2:47" ht="14.25" customHeight="1" x14ac:dyDescent="0.3">
      <c r="B1144" s="3"/>
      <c r="Q1144" s="1"/>
      <c r="R1144" s="1"/>
      <c r="S1144" s="2"/>
      <c r="T1144" s="2">
        <v>1030</v>
      </c>
      <c r="U1144" s="48" t="s">
        <v>91</v>
      </c>
      <c r="V1144" s="2"/>
      <c r="W1144" s="2"/>
      <c r="X1144" s="2"/>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row>
    <row r="1145" spans="2:47" ht="14.25" customHeight="1" x14ac:dyDescent="0.3">
      <c r="B1145" s="3"/>
      <c r="Q1145" s="1"/>
      <c r="R1145" s="1"/>
      <c r="S1145" s="2"/>
      <c r="T1145" s="2">
        <v>1031</v>
      </c>
      <c r="U1145" s="48" t="s">
        <v>91</v>
      </c>
      <c r="V1145" s="2"/>
      <c r="W1145" s="2"/>
      <c r="X1145" s="2"/>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row>
    <row r="1146" spans="2:47" ht="14.25" customHeight="1" x14ac:dyDescent="0.3">
      <c r="B1146" s="3"/>
      <c r="Q1146" s="1"/>
      <c r="R1146" s="1"/>
      <c r="S1146" s="2"/>
      <c r="T1146" s="2">
        <v>1032</v>
      </c>
      <c r="U1146" s="48" t="s">
        <v>91</v>
      </c>
      <c r="V1146" s="2"/>
      <c r="W1146" s="2"/>
      <c r="X1146" s="2"/>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row>
    <row r="1147" spans="2:47" ht="14.25" customHeight="1" x14ac:dyDescent="0.3">
      <c r="B1147" s="3"/>
      <c r="Q1147" s="1"/>
      <c r="R1147" s="1"/>
      <c r="S1147" s="2"/>
      <c r="T1147" s="2">
        <v>1033</v>
      </c>
      <c r="U1147" s="48" t="s">
        <v>91</v>
      </c>
      <c r="V1147" s="2"/>
      <c r="W1147" s="2"/>
      <c r="X1147" s="2"/>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row>
    <row r="1148" spans="2:47" ht="14.25" customHeight="1" x14ac:dyDescent="0.3">
      <c r="B1148" s="3"/>
      <c r="Q1148" s="1"/>
      <c r="R1148" s="1"/>
      <c r="S1148" s="2"/>
      <c r="T1148" s="2">
        <v>1034</v>
      </c>
      <c r="U1148" s="48" t="s">
        <v>91</v>
      </c>
      <c r="V1148" s="2"/>
      <c r="W1148" s="2"/>
      <c r="X1148" s="2"/>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row>
    <row r="1149" spans="2:47" ht="14.25" customHeight="1" x14ac:dyDescent="0.3">
      <c r="B1149" s="3"/>
      <c r="Q1149" s="1"/>
      <c r="R1149" s="1"/>
      <c r="S1149" s="2"/>
      <c r="T1149" s="2">
        <v>1035</v>
      </c>
      <c r="U1149" s="48" t="s">
        <v>91</v>
      </c>
      <c r="V1149" s="2"/>
      <c r="W1149" s="2"/>
      <c r="X1149" s="2"/>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row>
    <row r="1150" spans="2:47" ht="14.25" customHeight="1" x14ac:dyDescent="0.3">
      <c r="B1150" s="3"/>
      <c r="Q1150" s="1"/>
      <c r="R1150" s="1"/>
      <c r="S1150" s="2"/>
      <c r="T1150" s="2">
        <v>1036</v>
      </c>
      <c r="U1150" s="48" t="s">
        <v>91</v>
      </c>
      <c r="V1150" s="2"/>
      <c r="W1150" s="2"/>
      <c r="X1150" s="2"/>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row>
    <row r="1151" spans="2:47" ht="14.25" customHeight="1" x14ac:dyDescent="0.3">
      <c r="B1151" s="3"/>
      <c r="Q1151" s="1"/>
      <c r="R1151" s="1"/>
      <c r="S1151" s="2"/>
      <c r="T1151" s="2">
        <v>1037</v>
      </c>
      <c r="U1151" s="48" t="s">
        <v>91</v>
      </c>
      <c r="V1151" s="2"/>
      <c r="W1151" s="2"/>
      <c r="X1151" s="2"/>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row>
    <row r="1152" spans="2:47" ht="14.25" customHeight="1" x14ac:dyDescent="0.3">
      <c r="B1152" s="3"/>
      <c r="Q1152" s="1"/>
      <c r="R1152" s="1"/>
      <c r="S1152" s="2"/>
      <c r="T1152" s="2">
        <v>1038</v>
      </c>
      <c r="U1152" s="48" t="s">
        <v>91</v>
      </c>
      <c r="V1152" s="2"/>
      <c r="W1152" s="2"/>
      <c r="X1152" s="2"/>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row>
    <row r="1153" spans="2:47" ht="14.25" customHeight="1" x14ac:dyDescent="0.3">
      <c r="B1153" s="3"/>
      <c r="Q1153" s="1"/>
      <c r="R1153" s="1"/>
      <c r="S1153" s="2"/>
      <c r="T1153" s="2">
        <v>1039</v>
      </c>
      <c r="U1153" s="48" t="s">
        <v>91</v>
      </c>
      <c r="V1153" s="2"/>
      <c r="W1153" s="2"/>
      <c r="X1153" s="2"/>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row>
    <row r="1154" spans="2:47" ht="14.25" customHeight="1" x14ac:dyDescent="0.3">
      <c r="B1154" s="3"/>
      <c r="Q1154" s="1"/>
      <c r="R1154" s="1"/>
      <c r="S1154" s="2"/>
      <c r="T1154" s="2">
        <v>1040</v>
      </c>
      <c r="U1154" s="48" t="s">
        <v>91</v>
      </c>
      <c r="V1154" s="2"/>
      <c r="W1154" s="2"/>
      <c r="X1154" s="2"/>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row>
    <row r="1155" spans="2:47" ht="14.25" customHeight="1" x14ac:dyDescent="0.3">
      <c r="B1155" s="3"/>
      <c r="Q1155" s="1"/>
      <c r="R1155" s="1"/>
      <c r="S1155" s="2"/>
      <c r="T1155" s="2">
        <v>1041</v>
      </c>
      <c r="U1155" s="48" t="s">
        <v>91</v>
      </c>
      <c r="V1155" s="2"/>
      <c r="W1155" s="2"/>
      <c r="X1155" s="2"/>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row>
    <row r="1156" spans="2:47" ht="14.25" customHeight="1" x14ac:dyDescent="0.3">
      <c r="B1156" s="3"/>
      <c r="Q1156" s="1"/>
      <c r="R1156" s="1"/>
      <c r="S1156" s="2"/>
      <c r="T1156" s="2">
        <v>1042</v>
      </c>
      <c r="U1156" s="48" t="s">
        <v>91</v>
      </c>
      <c r="V1156" s="2"/>
      <c r="W1156" s="2"/>
      <c r="X1156" s="2"/>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row>
    <row r="1157" spans="2:47" ht="14.25" customHeight="1" x14ac:dyDescent="0.3">
      <c r="B1157" s="3"/>
      <c r="Q1157" s="1"/>
      <c r="R1157" s="1"/>
      <c r="S1157" s="2"/>
      <c r="T1157" s="2">
        <v>1043</v>
      </c>
      <c r="U1157" s="48" t="s">
        <v>91</v>
      </c>
      <c r="V1157" s="2"/>
      <c r="W1157" s="2"/>
      <c r="X1157" s="2"/>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row>
    <row r="1158" spans="2:47" ht="14.25" customHeight="1" x14ac:dyDescent="0.3">
      <c r="B1158" s="3"/>
      <c r="Q1158" s="1"/>
      <c r="R1158" s="1"/>
      <c r="S1158" s="2"/>
      <c r="T1158" s="2">
        <v>1044</v>
      </c>
      <c r="U1158" s="48" t="s">
        <v>91</v>
      </c>
      <c r="V1158" s="2"/>
      <c r="W1158" s="2"/>
      <c r="X1158" s="2"/>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row>
    <row r="1159" spans="2:47" ht="14.25" customHeight="1" x14ac:dyDescent="0.3">
      <c r="B1159" s="3"/>
      <c r="Q1159" s="1"/>
      <c r="R1159" s="1"/>
      <c r="S1159" s="2"/>
      <c r="T1159" s="2">
        <v>1045</v>
      </c>
      <c r="U1159" s="48" t="s">
        <v>91</v>
      </c>
      <c r="V1159" s="2"/>
      <c r="W1159" s="2"/>
      <c r="X1159" s="2"/>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row>
    <row r="1160" spans="2:47" ht="14.25" customHeight="1" x14ac:dyDescent="0.3">
      <c r="B1160" s="3"/>
      <c r="Q1160" s="1"/>
      <c r="R1160" s="1"/>
      <c r="S1160" s="2"/>
      <c r="T1160" s="2">
        <v>1046</v>
      </c>
      <c r="U1160" s="48" t="s">
        <v>91</v>
      </c>
      <c r="V1160" s="2"/>
      <c r="W1160" s="2"/>
      <c r="X1160" s="2"/>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row>
    <row r="1161" spans="2:47" ht="14.25" customHeight="1" x14ac:dyDescent="0.3">
      <c r="B1161" s="3"/>
      <c r="Q1161" s="1"/>
      <c r="R1161" s="1"/>
      <c r="S1161" s="2"/>
      <c r="T1161" s="2">
        <v>1047</v>
      </c>
      <c r="U1161" s="48" t="s">
        <v>91</v>
      </c>
      <c r="V1161" s="2"/>
      <c r="W1161" s="2"/>
      <c r="X1161" s="2"/>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row>
    <row r="1162" spans="2:47" ht="14.25" customHeight="1" x14ac:dyDescent="0.3">
      <c r="B1162" s="3"/>
      <c r="Q1162" s="1"/>
      <c r="R1162" s="1"/>
      <c r="S1162" s="2"/>
      <c r="T1162" s="2">
        <v>1048</v>
      </c>
      <c r="U1162" s="48" t="s">
        <v>91</v>
      </c>
      <c r="V1162" s="2"/>
      <c r="W1162" s="2"/>
      <c r="X1162" s="2"/>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row>
    <row r="1163" spans="2:47" ht="14.25" customHeight="1" x14ac:dyDescent="0.3">
      <c r="B1163" s="3"/>
      <c r="Q1163" s="1"/>
      <c r="R1163" s="1"/>
      <c r="S1163" s="2"/>
      <c r="T1163" s="2">
        <v>1049</v>
      </c>
      <c r="U1163" s="48" t="s">
        <v>91</v>
      </c>
      <c r="V1163" s="2"/>
      <c r="W1163" s="2"/>
      <c r="X1163" s="2"/>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row>
    <row r="1164" spans="2:47" ht="14.25" customHeight="1" x14ac:dyDescent="0.3">
      <c r="B1164" s="3"/>
      <c r="Q1164" s="1"/>
      <c r="R1164" s="1"/>
      <c r="S1164" s="2"/>
      <c r="T1164" s="2">
        <v>1050</v>
      </c>
      <c r="U1164" s="48" t="s">
        <v>91</v>
      </c>
      <c r="V1164" s="2"/>
      <c r="W1164" s="2"/>
      <c r="X1164" s="2"/>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row>
    <row r="1165" spans="2:47" ht="14.25" customHeight="1" x14ac:dyDescent="0.3">
      <c r="B1165" s="3"/>
      <c r="Q1165" s="1"/>
      <c r="R1165" s="1"/>
      <c r="S1165" s="2"/>
      <c r="T1165" s="2">
        <v>1051</v>
      </c>
      <c r="U1165" s="48" t="s">
        <v>91</v>
      </c>
      <c r="V1165" s="2"/>
      <c r="W1165" s="2"/>
      <c r="X1165" s="2"/>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row>
    <row r="1166" spans="2:47" ht="14.25" customHeight="1" x14ac:dyDescent="0.3">
      <c r="B1166" s="3"/>
      <c r="Q1166" s="1"/>
      <c r="R1166" s="1"/>
      <c r="S1166" s="2"/>
      <c r="T1166" s="2">
        <v>1052</v>
      </c>
      <c r="U1166" s="48" t="s">
        <v>91</v>
      </c>
      <c r="V1166" s="2"/>
      <c r="W1166" s="2"/>
      <c r="X1166" s="2"/>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row>
    <row r="1167" spans="2:47" ht="14.25" customHeight="1" x14ac:dyDescent="0.3">
      <c r="B1167" s="3"/>
      <c r="Q1167" s="1"/>
      <c r="R1167" s="1"/>
      <c r="S1167" s="2"/>
      <c r="T1167" s="2">
        <v>1053</v>
      </c>
      <c r="U1167" s="48" t="s">
        <v>91</v>
      </c>
      <c r="V1167" s="2"/>
      <c r="W1167" s="2"/>
      <c r="X1167" s="2"/>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row>
    <row r="1168" spans="2:47" ht="14.25" customHeight="1" x14ac:dyDescent="0.3">
      <c r="B1168" s="3"/>
      <c r="Q1168" s="1"/>
      <c r="R1168" s="1"/>
      <c r="S1168" s="2"/>
      <c r="T1168" s="2">
        <v>1054</v>
      </c>
      <c r="U1168" s="48" t="s">
        <v>91</v>
      </c>
      <c r="V1168" s="2"/>
      <c r="W1168" s="2"/>
      <c r="X1168" s="2"/>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row>
    <row r="1169" spans="2:47" ht="14.25" customHeight="1" x14ac:dyDescent="0.3">
      <c r="B1169" s="3"/>
      <c r="Q1169" s="1"/>
      <c r="R1169" s="1"/>
      <c r="S1169" s="2"/>
      <c r="T1169" s="2">
        <v>1055</v>
      </c>
      <c r="U1169" s="48" t="s">
        <v>91</v>
      </c>
      <c r="V1169" s="2"/>
      <c r="W1169" s="2"/>
      <c r="X1169" s="2"/>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row>
    <row r="1170" spans="2:47" ht="14.25" customHeight="1" x14ac:dyDescent="0.3">
      <c r="B1170" s="3"/>
      <c r="Q1170" s="1"/>
      <c r="R1170" s="1"/>
      <c r="S1170" s="2"/>
      <c r="T1170" s="2">
        <v>1056</v>
      </c>
      <c r="U1170" s="48" t="s">
        <v>91</v>
      </c>
      <c r="V1170" s="2"/>
      <c r="W1170" s="2"/>
      <c r="X1170" s="2"/>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row>
    <row r="1171" spans="2:47" ht="14.25" customHeight="1" x14ac:dyDescent="0.3">
      <c r="B1171" s="3"/>
      <c r="Q1171" s="1"/>
      <c r="R1171" s="1"/>
      <c r="S1171" s="2"/>
      <c r="T1171" s="2">
        <v>1057</v>
      </c>
      <c r="U1171" s="48" t="s">
        <v>91</v>
      </c>
      <c r="V1171" s="2"/>
      <c r="W1171" s="2"/>
      <c r="X1171" s="2"/>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row>
    <row r="1172" spans="2:47" ht="14.25" customHeight="1" x14ac:dyDescent="0.3">
      <c r="B1172" s="3"/>
      <c r="Q1172" s="1"/>
      <c r="R1172" s="1"/>
      <c r="S1172" s="2"/>
      <c r="T1172" s="2">
        <v>1058</v>
      </c>
      <c r="U1172" s="48" t="s">
        <v>91</v>
      </c>
      <c r="V1172" s="2"/>
      <c r="W1172" s="2"/>
      <c r="X1172" s="2"/>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row>
    <row r="1173" spans="2:47" ht="14.25" customHeight="1" x14ac:dyDescent="0.3">
      <c r="B1173" s="3"/>
      <c r="Q1173" s="1"/>
      <c r="R1173" s="1"/>
      <c r="S1173" s="2"/>
      <c r="T1173" s="2">
        <v>1059</v>
      </c>
      <c r="U1173" s="48" t="s">
        <v>91</v>
      </c>
      <c r="V1173" s="2"/>
      <c r="W1173" s="2"/>
      <c r="X1173" s="2"/>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row>
    <row r="1174" spans="2:47" ht="14.25" customHeight="1" x14ac:dyDescent="0.3">
      <c r="B1174" s="3"/>
      <c r="Q1174" s="1"/>
      <c r="R1174" s="1"/>
      <c r="S1174" s="2"/>
      <c r="T1174" s="2">
        <v>1060</v>
      </c>
      <c r="U1174" s="48" t="s">
        <v>91</v>
      </c>
      <c r="V1174" s="2"/>
      <c r="W1174" s="2"/>
      <c r="X1174" s="2"/>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row>
    <row r="1175" spans="2:47" ht="14.25" customHeight="1" x14ac:dyDescent="0.3">
      <c r="B1175" s="3"/>
      <c r="Q1175" s="1"/>
      <c r="R1175" s="1"/>
      <c r="S1175" s="2"/>
      <c r="T1175" s="2">
        <v>1061</v>
      </c>
      <c r="U1175" s="48" t="s">
        <v>91</v>
      </c>
      <c r="V1175" s="2"/>
      <c r="W1175" s="2"/>
      <c r="X1175" s="2"/>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row>
    <row r="1176" spans="2:47" ht="14.25" customHeight="1" x14ac:dyDescent="0.3">
      <c r="B1176" s="3"/>
      <c r="Q1176" s="1"/>
      <c r="R1176" s="1"/>
      <c r="S1176" s="2"/>
      <c r="T1176" s="2">
        <v>1062</v>
      </c>
      <c r="U1176" s="48" t="s">
        <v>91</v>
      </c>
      <c r="V1176" s="2"/>
      <c r="W1176" s="2"/>
      <c r="X1176" s="2"/>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row>
    <row r="1177" spans="2:47" ht="14.25" customHeight="1" x14ac:dyDescent="0.3">
      <c r="B1177" s="3"/>
      <c r="Q1177" s="1"/>
      <c r="R1177" s="1"/>
      <c r="S1177" s="2"/>
      <c r="T1177" s="2">
        <v>1063</v>
      </c>
      <c r="U1177" s="48" t="s">
        <v>91</v>
      </c>
      <c r="V1177" s="2"/>
      <c r="W1177" s="2"/>
      <c r="X1177" s="2"/>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row>
    <row r="1178" spans="2:47" ht="14.25" customHeight="1" x14ac:dyDescent="0.3">
      <c r="B1178" s="3"/>
      <c r="Q1178" s="1"/>
      <c r="R1178" s="1"/>
      <c r="S1178" s="2"/>
      <c r="T1178" s="2">
        <v>1064</v>
      </c>
      <c r="U1178" s="48" t="s">
        <v>91</v>
      </c>
      <c r="V1178" s="2"/>
      <c r="W1178" s="2"/>
      <c r="X1178" s="2"/>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row>
    <row r="1179" spans="2:47" ht="14.25" customHeight="1" x14ac:dyDescent="0.3">
      <c r="B1179" s="3"/>
      <c r="Q1179" s="1"/>
      <c r="R1179" s="1"/>
      <c r="S1179" s="2"/>
      <c r="T1179" s="2">
        <v>1065</v>
      </c>
      <c r="U1179" s="48" t="s">
        <v>91</v>
      </c>
      <c r="V1179" s="2"/>
      <c r="W1179" s="2"/>
      <c r="X1179" s="2"/>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row>
    <row r="1180" spans="2:47" ht="14.25" customHeight="1" x14ac:dyDescent="0.3">
      <c r="B1180" s="3"/>
      <c r="Q1180" s="1"/>
      <c r="R1180" s="1"/>
      <c r="S1180" s="2"/>
      <c r="T1180" s="2">
        <v>1066</v>
      </c>
      <c r="U1180" s="48" t="s">
        <v>91</v>
      </c>
      <c r="V1180" s="2"/>
      <c r="W1180" s="2"/>
      <c r="X1180" s="2"/>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row>
    <row r="1181" spans="2:47" ht="14.25" customHeight="1" x14ac:dyDescent="0.3">
      <c r="B1181" s="3"/>
      <c r="Q1181" s="1"/>
      <c r="R1181" s="1"/>
      <c r="S1181" s="2"/>
      <c r="T1181" s="2">
        <v>1067</v>
      </c>
      <c r="U1181" s="48" t="s">
        <v>91</v>
      </c>
      <c r="V1181" s="2"/>
      <c r="W1181" s="2"/>
      <c r="X1181" s="2"/>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row>
    <row r="1182" spans="2:47" ht="14.25" customHeight="1" x14ac:dyDescent="0.3">
      <c r="B1182" s="3"/>
      <c r="Q1182" s="1"/>
      <c r="R1182" s="1"/>
      <c r="S1182" s="2"/>
      <c r="T1182" s="2">
        <v>1068</v>
      </c>
      <c r="U1182" s="48" t="s">
        <v>91</v>
      </c>
      <c r="V1182" s="2"/>
      <c r="W1182" s="2"/>
      <c r="X1182" s="2"/>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row>
    <row r="1183" spans="2:47" ht="14.25" customHeight="1" x14ac:dyDescent="0.3">
      <c r="B1183" s="3"/>
      <c r="Q1183" s="1"/>
      <c r="R1183" s="1"/>
      <c r="S1183" s="2"/>
      <c r="T1183" s="2">
        <v>1069</v>
      </c>
      <c r="U1183" s="48" t="s">
        <v>91</v>
      </c>
      <c r="V1183" s="2"/>
      <c r="W1183" s="2"/>
      <c r="X1183" s="2"/>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row>
    <row r="1184" spans="2:47" ht="14.25" customHeight="1" x14ac:dyDescent="0.3">
      <c r="B1184" s="3"/>
      <c r="Q1184" s="1"/>
      <c r="R1184" s="1"/>
      <c r="S1184" s="2"/>
      <c r="T1184" s="2">
        <v>1070</v>
      </c>
      <c r="U1184" s="48" t="s">
        <v>91</v>
      </c>
      <c r="V1184" s="2"/>
      <c r="W1184" s="2"/>
      <c r="X1184" s="2"/>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row>
    <row r="1185" spans="2:47" ht="14.25" customHeight="1" x14ac:dyDescent="0.3">
      <c r="B1185" s="3"/>
      <c r="Q1185" s="1"/>
      <c r="R1185" s="1"/>
      <c r="S1185" s="2"/>
      <c r="T1185" s="2">
        <v>1071</v>
      </c>
      <c r="U1185" s="48" t="s">
        <v>91</v>
      </c>
      <c r="V1185" s="2"/>
      <c r="W1185" s="2"/>
      <c r="X1185" s="2"/>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row>
    <row r="1186" spans="2:47" ht="14.25" customHeight="1" x14ac:dyDescent="0.3">
      <c r="B1186" s="3"/>
      <c r="Q1186" s="1"/>
      <c r="R1186" s="1"/>
      <c r="S1186" s="2"/>
      <c r="T1186" s="2">
        <v>1072</v>
      </c>
      <c r="U1186" s="48" t="s">
        <v>91</v>
      </c>
      <c r="V1186" s="2"/>
      <c r="W1186" s="2"/>
      <c r="X1186" s="2"/>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row>
    <row r="1187" spans="2:47" ht="14.25" customHeight="1" x14ac:dyDescent="0.3">
      <c r="B1187" s="3"/>
      <c r="Q1187" s="1"/>
      <c r="R1187" s="1"/>
      <c r="S1187" s="2"/>
      <c r="T1187" s="2">
        <v>1073</v>
      </c>
      <c r="U1187" s="48" t="s">
        <v>91</v>
      </c>
      <c r="V1187" s="2"/>
      <c r="W1187" s="2"/>
      <c r="X1187" s="2"/>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row>
    <row r="1188" spans="2:47" ht="14.25" customHeight="1" x14ac:dyDescent="0.3">
      <c r="B1188" s="3"/>
      <c r="Q1188" s="1"/>
      <c r="R1188" s="1"/>
      <c r="S1188" s="2"/>
      <c r="T1188" s="2">
        <v>1074</v>
      </c>
      <c r="U1188" s="48" t="s">
        <v>91</v>
      </c>
      <c r="V1188" s="2"/>
      <c r="W1188" s="2"/>
      <c r="X1188" s="2"/>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row>
    <row r="1189" spans="2:47" ht="14.25" customHeight="1" x14ac:dyDescent="0.3">
      <c r="B1189" s="3"/>
      <c r="Q1189" s="1"/>
      <c r="R1189" s="1"/>
      <c r="S1189" s="2"/>
      <c r="T1189" s="2">
        <v>1075</v>
      </c>
      <c r="U1189" s="48" t="s">
        <v>91</v>
      </c>
      <c r="V1189" s="2"/>
      <c r="W1189" s="2"/>
      <c r="X1189" s="2"/>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row>
    <row r="1190" spans="2:47" ht="14.25" customHeight="1" x14ac:dyDescent="0.3">
      <c r="B1190" s="3"/>
      <c r="Q1190" s="1"/>
      <c r="R1190" s="1"/>
      <c r="S1190" s="2"/>
      <c r="T1190" s="2">
        <v>1076</v>
      </c>
      <c r="U1190" s="48" t="s">
        <v>91</v>
      </c>
      <c r="V1190" s="2"/>
      <c r="W1190" s="2"/>
      <c r="X1190" s="2"/>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row>
    <row r="1191" spans="2:47" ht="14.25" customHeight="1" x14ac:dyDescent="0.3">
      <c r="B1191" s="3"/>
      <c r="Q1191" s="1"/>
      <c r="R1191" s="1"/>
      <c r="S1191" s="2"/>
      <c r="T1191" s="2">
        <v>1077</v>
      </c>
      <c r="U1191" s="48" t="s">
        <v>91</v>
      </c>
      <c r="V1191" s="2"/>
      <c r="W1191" s="2"/>
      <c r="X1191" s="2"/>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row>
    <row r="1192" spans="2:47" ht="14.25" customHeight="1" x14ac:dyDescent="0.3">
      <c r="B1192" s="3"/>
      <c r="Q1192" s="1"/>
      <c r="R1192" s="1"/>
      <c r="S1192" s="2"/>
      <c r="T1192" s="2">
        <v>1078</v>
      </c>
      <c r="U1192" s="48" t="s">
        <v>91</v>
      </c>
      <c r="V1192" s="2"/>
      <c r="W1192" s="2"/>
      <c r="X1192" s="2"/>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row>
    <row r="1193" spans="2:47" ht="14.25" customHeight="1" x14ac:dyDescent="0.3">
      <c r="B1193" s="3"/>
      <c r="Q1193" s="1"/>
      <c r="R1193" s="1"/>
      <c r="S1193" s="2"/>
      <c r="T1193" s="2">
        <v>1079</v>
      </c>
      <c r="U1193" s="48" t="s">
        <v>91</v>
      </c>
      <c r="V1193" s="2"/>
      <c r="W1193" s="2"/>
      <c r="X1193" s="2"/>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row>
    <row r="1194" spans="2:47" ht="14.25" customHeight="1" x14ac:dyDescent="0.3">
      <c r="B1194" s="3"/>
      <c r="Q1194" s="1"/>
      <c r="R1194" s="1"/>
      <c r="S1194" s="2"/>
      <c r="T1194" s="2">
        <v>1080</v>
      </c>
      <c r="U1194" s="48" t="s">
        <v>91</v>
      </c>
      <c r="V1194" s="2"/>
      <c r="W1194" s="2"/>
      <c r="X1194" s="2"/>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row>
    <row r="1195" spans="2:47" ht="14.25" customHeight="1" x14ac:dyDescent="0.3">
      <c r="B1195" s="3"/>
      <c r="Q1195" s="1"/>
      <c r="R1195" s="1"/>
      <c r="S1195" s="2"/>
      <c r="T1195" s="2">
        <v>1081</v>
      </c>
      <c r="U1195" s="48" t="s">
        <v>91</v>
      </c>
      <c r="V1195" s="2"/>
      <c r="W1195" s="2"/>
      <c r="X1195" s="2"/>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row>
    <row r="1196" spans="2:47" ht="14.25" customHeight="1" x14ac:dyDescent="0.3">
      <c r="B1196" s="3"/>
      <c r="Q1196" s="1"/>
      <c r="R1196" s="1"/>
      <c r="S1196" s="2"/>
      <c r="T1196" s="2">
        <v>1082</v>
      </c>
      <c r="U1196" s="48" t="s">
        <v>91</v>
      </c>
      <c r="V1196" s="2"/>
      <c r="W1196" s="2"/>
      <c r="X1196" s="2"/>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row>
    <row r="1197" spans="2:47" ht="14.25" customHeight="1" x14ac:dyDescent="0.3">
      <c r="B1197" s="3"/>
      <c r="Q1197" s="1"/>
      <c r="R1197" s="1"/>
      <c r="S1197" s="2"/>
      <c r="T1197" s="2">
        <v>1083</v>
      </c>
      <c r="U1197" s="48" t="s">
        <v>91</v>
      </c>
      <c r="V1197" s="2"/>
      <c r="W1197" s="2"/>
      <c r="X1197" s="2"/>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row>
    <row r="1198" spans="2:47" ht="14.25" customHeight="1" x14ac:dyDescent="0.3">
      <c r="B1198" s="3"/>
      <c r="Q1198" s="1"/>
      <c r="R1198" s="1"/>
      <c r="S1198" s="2"/>
      <c r="T1198" s="2">
        <v>1084</v>
      </c>
      <c r="U1198" s="48" t="s">
        <v>91</v>
      </c>
      <c r="V1198" s="2"/>
      <c r="W1198" s="2"/>
      <c r="X1198" s="2"/>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row>
    <row r="1199" spans="2:47" ht="14.25" customHeight="1" x14ac:dyDescent="0.3">
      <c r="B1199" s="3"/>
      <c r="Q1199" s="1"/>
      <c r="R1199" s="1"/>
      <c r="S1199" s="2"/>
      <c r="T1199" s="2">
        <v>1085</v>
      </c>
      <c r="U1199" s="48" t="s">
        <v>91</v>
      </c>
      <c r="V1199" s="2"/>
      <c r="W1199" s="2"/>
      <c r="X1199" s="2"/>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row>
    <row r="1200" spans="2:47" ht="14.25" customHeight="1" x14ac:dyDescent="0.3">
      <c r="B1200" s="3"/>
      <c r="Q1200" s="1"/>
      <c r="R1200" s="1"/>
      <c r="S1200" s="2"/>
      <c r="T1200" s="2">
        <v>1086</v>
      </c>
      <c r="U1200" s="48" t="s">
        <v>91</v>
      </c>
      <c r="V1200" s="2"/>
      <c r="W1200" s="2"/>
      <c r="X1200" s="2"/>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row>
    <row r="1201" spans="2:47" ht="14.25" customHeight="1" x14ac:dyDescent="0.3">
      <c r="B1201" s="3"/>
      <c r="Q1201" s="1"/>
      <c r="R1201" s="1"/>
      <c r="S1201" s="2"/>
      <c r="T1201" s="2">
        <v>1087</v>
      </c>
      <c r="U1201" s="48" t="s">
        <v>91</v>
      </c>
      <c r="V1201" s="2"/>
      <c r="W1201" s="2"/>
      <c r="X1201" s="2"/>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row>
    <row r="1202" spans="2:47" ht="14.25" customHeight="1" x14ac:dyDescent="0.3">
      <c r="B1202" s="3"/>
      <c r="Q1202" s="1"/>
      <c r="R1202" s="1"/>
      <c r="S1202" s="2"/>
      <c r="T1202" s="2">
        <v>1088</v>
      </c>
      <c r="U1202" s="48" t="s">
        <v>91</v>
      </c>
      <c r="V1202" s="2"/>
      <c r="W1202" s="2"/>
      <c r="X1202" s="2"/>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row>
    <row r="1203" spans="2:47" ht="14.25" customHeight="1" x14ac:dyDescent="0.3">
      <c r="B1203" s="3"/>
      <c r="Q1203" s="1"/>
      <c r="R1203" s="1"/>
      <c r="S1203" s="2"/>
      <c r="T1203" s="2">
        <v>1089</v>
      </c>
      <c r="U1203" s="48" t="s">
        <v>91</v>
      </c>
      <c r="V1203" s="2"/>
      <c r="W1203" s="2"/>
      <c r="X1203" s="2"/>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row>
    <row r="1204" spans="2:47" ht="14.25" customHeight="1" x14ac:dyDescent="0.3">
      <c r="B1204" s="3"/>
      <c r="Q1204" s="1"/>
      <c r="R1204" s="1"/>
      <c r="S1204" s="2"/>
      <c r="T1204" s="2">
        <v>1090</v>
      </c>
      <c r="U1204" s="48" t="s">
        <v>91</v>
      </c>
      <c r="V1204" s="2"/>
      <c r="W1204" s="2"/>
      <c r="X1204" s="2"/>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row>
    <row r="1205" spans="2:47" ht="14.25" customHeight="1" x14ac:dyDescent="0.3">
      <c r="B1205" s="3"/>
      <c r="Q1205" s="1"/>
      <c r="R1205" s="1"/>
      <c r="S1205" s="2"/>
      <c r="T1205" s="2">
        <v>1091</v>
      </c>
      <c r="U1205" s="48" t="s">
        <v>91</v>
      </c>
      <c r="V1205" s="2"/>
      <c r="W1205" s="2"/>
      <c r="X1205" s="2"/>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row>
    <row r="1206" spans="2:47" ht="14.25" customHeight="1" x14ac:dyDescent="0.3">
      <c r="B1206" s="3"/>
      <c r="Q1206" s="1"/>
      <c r="R1206" s="1"/>
      <c r="S1206" s="2"/>
      <c r="T1206" s="2">
        <v>1092</v>
      </c>
      <c r="U1206" s="48" t="s">
        <v>91</v>
      </c>
      <c r="V1206" s="2"/>
      <c r="W1206" s="2"/>
      <c r="X1206" s="2"/>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row>
    <row r="1207" spans="2:47" ht="14.25" customHeight="1" x14ac:dyDescent="0.3">
      <c r="B1207" s="3"/>
      <c r="Q1207" s="1"/>
      <c r="R1207" s="1"/>
      <c r="S1207" s="2"/>
      <c r="T1207" s="2">
        <v>1093</v>
      </c>
      <c r="U1207" s="48" t="s">
        <v>91</v>
      </c>
      <c r="V1207" s="2"/>
      <c r="W1207" s="2"/>
      <c r="X1207" s="2"/>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row>
    <row r="1208" spans="2:47" ht="14.25" customHeight="1" x14ac:dyDescent="0.3">
      <c r="B1208" s="3"/>
      <c r="Q1208" s="1"/>
      <c r="R1208" s="1"/>
      <c r="S1208" s="2"/>
      <c r="T1208" s="2">
        <v>1094</v>
      </c>
      <c r="U1208" s="48" t="s">
        <v>91</v>
      </c>
      <c r="V1208" s="2"/>
      <c r="W1208" s="2"/>
      <c r="X1208" s="2"/>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row>
    <row r="1209" spans="2:47" ht="14.25" customHeight="1" x14ac:dyDescent="0.3">
      <c r="B1209" s="3"/>
      <c r="Q1209" s="1"/>
      <c r="R1209" s="1"/>
      <c r="S1209" s="2"/>
      <c r="T1209" s="2">
        <v>1095</v>
      </c>
      <c r="U1209" s="48" t="s">
        <v>91</v>
      </c>
      <c r="V1209" s="2"/>
      <c r="W1209" s="2"/>
      <c r="X1209" s="2"/>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row>
    <row r="1210" spans="2:47" ht="14.25" customHeight="1" x14ac:dyDescent="0.3">
      <c r="B1210" s="3"/>
      <c r="Q1210" s="1"/>
      <c r="R1210" s="1"/>
      <c r="S1210" s="2"/>
      <c r="T1210" s="2">
        <v>1096</v>
      </c>
      <c r="U1210" s="48" t="s">
        <v>91</v>
      </c>
      <c r="V1210" s="2"/>
      <c r="W1210" s="2"/>
      <c r="X1210" s="2"/>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row>
    <row r="1211" spans="2:47" ht="14.25" customHeight="1" x14ac:dyDescent="0.3">
      <c r="B1211" s="3"/>
      <c r="Q1211" s="1"/>
      <c r="R1211" s="1"/>
      <c r="S1211" s="2"/>
      <c r="T1211" s="2">
        <v>1097</v>
      </c>
      <c r="U1211" s="48" t="s">
        <v>91</v>
      </c>
      <c r="V1211" s="2"/>
      <c r="W1211" s="2"/>
      <c r="X1211" s="2"/>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row>
    <row r="1212" spans="2:47" ht="14.25" customHeight="1" x14ac:dyDescent="0.3">
      <c r="B1212" s="3"/>
      <c r="Q1212" s="1"/>
      <c r="R1212" s="1"/>
      <c r="S1212" s="2"/>
      <c r="T1212" s="2">
        <v>1098</v>
      </c>
      <c r="U1212" s="48" t="s">
        <v>91</v>
      </c>
      <c r="V1212" s="2"/>
      <c r="W1212" s="2"/>
      <c r="X1212" s="2"/>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row>
    <row r="1213" spans="2:47" ht="14.25" customHeight="1" x14ac:dyDescent="0.3">
      <c r="B1213" s="3"/>
      <c r="Q1213" s="1"/>
      <c r="R1213" s="1"/>
      <c r="S1213" s="2"/>
      <c r="T1213" s="2">
        <v>1099</v>
      </c>
      <c r="U1213" s="48" t="s">
        <v>91</v>
      </c>
      <c r="V1213" s="2"/>
      <c r="W1213" s="2"/>
      <c r="X1213" s="2"/>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row>
    <row r="1214" spans="2:47" ht="14.25" customHeight="1" x14ac:dyDescent="0.3">
      <c r="B1214" s="3"/>
      <c r="Q1214" s="1"/>
      <c r="R1214" s="1"/>
      <c r="S1214" s="2"/>
      <c r="T1214" s="2">
        <v>1100</v>
      </c>
      <c r="U1214" s="48" t="s">
        <v>91</v>
      </c>
      <c r="V1214" s="2"/>
      <c r="W1214" s="2"/>
      <c r="X1214" s="2"/>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row>
    <row r="1215" spans="2:47" ht="14.25" customHeight="1" x14ac:dyDescent="0.3">
      <c r="B1215" s="3"/>
      <c r="Q1215" s="1"/>
      <c r="R1215" s="1"/>
      <c r="S1215" s="2"/>
      <c r="T1215" s="2">
        <v>1101</v>
      </c>
      <c r="U1215" s="48" t="s">
        <v>91</v>
      </c>
      <c r="V1215" s="2"/>
      <c r="W1215" s="2"/>
      <c r="X1215" s="2"/>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row>
    <row r="1216" spans="2:47" ht="14.25" customHeight="1" x14ac:dyDescent="0.3">
      <c r="B1216" s="3"/>
      <c r="Q1216" s="1"/>
      <c r="R1216" s="1"/>
      <c r="S1216" s="2"/>
      <c r="T1216" s="2">
        <v>1102</v>
      </c>
      <c r="U1216" s="48" t="s">
        <v>91</v>
      </c>
      <c r="V1216" s="2"/>
      <c r="W1216" s="2"/>
      <c r="X1216" s="2"/>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row>
    <row r="1217" spans="2:47" ht="14.25" customHeight="1" x14ac:dyDescent="0.3">
      <c r="B1217" s="3"/>
      <c r="Q1217" s="1"/>
      <c r="R1217" s="1"/>
      <c r="S1217" s="2"/>
      <c r="T1217" s="2">
        <v>1103</v>
      </c>
      <c r="U1217" s="48" t="s">
        <v>91</v>
      </c>
      <c r="V1217" s="2"/>
      <c r="W1217" s="2"/>
      <c r="X1217" s="2"/>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row>
    <row r="1218" spans="2:47" ht="14.25" customHeight="1" x14ac:dyDescent="0.3">
      <c r="B1218" s="3"/>
      <c r="Q1218" s="1"/>
      <c r="R1218" s="1"/>
      <c r="S1218" s="2"/>
      <c r="T1218" s="2">
        <v>1104</v>
      </c>
      <c r="U1218" s="48" t="s">
        <v>91</v>
      </c>
      <c r="V1218" s="2"/>
      <c r="W1218" s="2"/>
      <c r="X1218" s="2"/>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row>
    <row r="1219" spans="2:47" ht="14.25" customHeight="1" x14ac:dyDescent="0.3">
      <c r="B1219" s="3"/>
      <c r="Q1219" s="1"/>
      <c r="R1219" s="1"/>
      <c r="S1219" s="2"/>
      <c r="T1219" s="2">
        <v>1105</v>
      </c>
      <c r="U1219" s="48" t="s">
        <v>91</v>
      </c>
      <c r="V1219" s="2"/>
      <c r="W1219" s="2"/>
      <c r="X1219" s="2"/>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row>
    <row r="1220" spans="2:47" ht="14.25" customHeight="1" x14ac:dyDescent="0.3">
      <c r="B1220" s="3"/>
      <c r="Q1220" s="1"/>
      <c r="R1220" s="1"/>
      <c r="S1220" s="2"/>
      <c r="T1220" s="2">
        <v>1106</v>
      </c>
      <c r="U1220" s="48" t="s">
        <v>91</v>
      </c>
      <c r="V1220" s="2"/>
      <c r="W1220" s="2"/>
      <c r="X1220" s="2"/>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row>
    <row r="1221" spans="2:47" ht="14.25" customHeight="1" x14ac:dyDescent="0.3">
      <c r="B1221" s="3"/>
      <c r="Q1221" s="1"/>
      <c r="R1221" s="1"/>
      <c r="S1221" s="2"/>
      <c r="T1221" s="2">
        <v>1107</v>
      </c>
      <c r="U1221" s="48" t="s">
        <v>91</v>
      </c>
      <c r="V1221" s="2"/>
      <c r="W1221" s="2"/>
      <c r="X1221" s="2"/>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row>
    <row r="1222" spans="2:47" ht="14.25" customHeight="1" x14ac:dyDescent="0.3">
      <c r="B1222" s="3"/>
      <c r="Q1222" s="1"/>
      <c r="R1222" s="1"/>
      <c r="S1222" s="2"/>
      <c r="T1222" s="2">
        <v>1108</v>
      </c>
      <c r="U1222" s="48" t="s">
        <v>91</v>
      </c>
      <c r="V1222" s="2"/>
      <c r="W1222" s="2"/>
      <c r="X1222" s="2"/>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row>
    <row r="1223" spans="2:47" ht="14.25" customHeight="1" x14ac:dyDescent="0.3">
      <c r="B1223" s="3"/>
      <c r="Q1223" s="1"/>
      <c r="R1223" s="1"/>
      <c r="S1223" s="2"/>
      <c r="T1223" s="2">
        <v>1109</v>
      </c>
      <c r="U1223" s="48" t="s">
        <v>91</v>
      </c>
      <c r="V1223" s="2"/>
      <c r="W1223" s="2"/>
      <c r="X1223" s="2"/>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row>
    <row r="1224" spans="2:47" ht="14.25" customHeight="1" x14ac:dyDescent="0.3">
      <c r="B1224" s="3"/>
      <c r="Q1224" s="1"/>
      <c r="R1224" s="1"/>
      <c r="S1224" s="2"/>
      <c r="T1224" s="2">
        <v>1110</v>
      </c>
      <c r="U1224" s="48" t="s">
        <v>91</v>
      </c>
      <c r="V1224" s="2"/>
      <c r="W1224" s="2"/>
      <c r="X1224" s="2"/>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row>
    <row r="1225" spans="2:47" ht="14.25" customHeight="1" x14ac:dyDescent="0.3">
      <c r="B1225" s="3"/>
      <c r="Q1225" s="1"/>
      <c r="R1225" s="1"/>
      <c r="S1225" s="2"/>
      <c r="T1225" s="2">
        <v>1111</v>
      </c>
      <c r="U1225" s="48" t="s">
        <v>91</v>
      </c>
      <c r="V1225" s="2"/>
      <c r="W1225" s="2"/>
      <c r="X1225" s="2"/>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row>
    <row r="1226" spans="2:47" ht="14.25" customHeight="1" x14ac:dyDescent="0.3">
      <c r="B1226" s="3"/>
      <c r="Q1226" s="1"/>
      <c r="R1226" s="1"/>
      <c r="S1226" s="2"/>
      <c r="T1226" s="2">
        <v>1112</v>
      </c>
      <c r="U1226" s="48" t="s">
        <v>91</v>
      </c>
      <c r="V1226" s="2"/>
      <c r="W1226" s="2"/>
      <c r="X1226" s="2"/>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row>
    <row r="1227" spans="2:47" ht="14.25" customHeight="1" x14ac:dyDescent="0.3">
      <c r="B1227" s="3"/>
      <c r="Q1227" s="1"/>
      <c r="R1227" s="1"/>
      <c r="S1227" s="2"/>
      <c r="T1227" s="2">
        <v>1113</v>
      </c>
      <c r="U1227" s="48" t="s">
        <v>91</v>
      </c>
      <c r="V1227" s="2"/>
      <c r="W1227" s="2"/>
      <c r="X1227" s="2"/>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row>
    <row r="1228" spans="2:47" ht="14.25" customHeight="1" x14ac:dyDescent="0.3">
      <c r="B1228" s="3"/>
      <c r="Q1228" s="1"/>
      <c r="R1228" s="1"/>
      <c r="S1228" s="2"/>
      <c r="T1228" s="2">
        <v>1114</v>
      </c>
      <c r="U1228" s="48" t="s">
        <v>91</v>
      </c>
      <c r="V1228" s="2"/>
      <c r="W1228" s="2"/>
      <c r="X1228" s="2"/>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row>
    <row r="1229" spans="2:47" ht="14.25" customHeight="1" x14ac:dyDescent="0.3">
      <c r="B1229" s="3"/>
      <c r="Q1229" s="1"/>
      <c r="R1229" s="1"/>
      <c r="S1229" s="2"/>
      <c r="T1229" s="2">
        <v>1115</v>
      </c>
      <c r="U1229" s="48" t="s">
        <v>91</v>
      </c>
      <c r="V1229" s="2"/>
      <c r="W1229" s="2"/>
      <c r="X1229" s="2"/>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row>
    <row r="1230" spans="2:47" ht="14.25" customHeight="1" x14ac:dyDescent="0.3">
      <c r="B1230" s="3"/>
      <c r="Q1230" s="1"/>
      <c r="R1230" s="1"/>
      <c r="S1230" s="2"/>
      <c r="T1230" s="2">
        <v>1116</v>
      </c>
      <c r="U1230" s="48" t="s">
        <v>91</v>
      </c>
      <c r="V1230" s="2"/>
      <c r="W1230" s="2"/>
      <c r="X1230" s="2"/>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row>
    <row r="1231" spans="2:47" ht="14.25" customHeight="1" x14ac:dyDescent="0.3">
      <c r="B1231" s="3"/>
      <c r="Q1231" s="1"/>
      <c r="R1231" s="1"/>
      <c r="S1231" s="2"/>
      <c r="T1231" s="2">
        <v>1117</v>
      </c>
      <c r="U1231" s="48" t="s">
        <v>91</v>
      </c>
      <c r="V1231" s="2"/>
      <c r="W1231" s="2"/>
      <c r="X1231" s="2"/>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row>
    <row r="1232" spans="2:47" ht="14.25" customHeight="1" x14ac:dyDescent="0.3">
      <c r="B1232" s="3"/>
      <c r="Q1232" s="1"/>
      <c r="R1232" s="1"/>
      <c r="S1232" s="2"/>
      <c r="T1232" s="2">
        <v>1118</v>
      </c>
      <c r="U1232" s="48" t="s">
        <v>91</v>
      </c>
      <c r="V1232" s="2"/>
      <c r="W1232" s="2"/>
      <c r="X1232" s="2"/>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row>
    <row r="1233" spans="2:47" ht="14.25" customHeight="1" x14ac:dyDescent="0.3">
      <c r="B1233" s="3"/>
      <c r="Q1233" s="1"/>
      <c r="R1233" s="1"/>
      <c r="S1233" s="2"/>
      <c r="T1233" s="2">
        <v>1119</v>
      </c>
      <c r="U1233" s="48" t="s">
        <v>91</v>
      </c>
      <c r="V1233" s="2"/>
      <c r="W1233" s="2"/>
      <c r="X1233" s="2"/>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row>
    <row r="1234" spans="2:47" ht="14.25" customHeight="1" x14ac:dyDescent="0.3">
      <c r="B1234" s="3"/>
      <c r="Q1234" s="1"/>
      <c r="R1234" s="1"/>
      <c r="S1234" s="2"/>
      <c r="T1234" s="2">
        <v>1120</v>
      </c>
      <c r="U1234" s="48" t="s">
        <v>91</v>
      </c>
      <c r="V1234" s="2"/>
      <c r="W1234" s="2"/>
      <c r="X1234" s="2"/>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row>
    <row r="1235" spans="2:47" ht="14.25" customHeight="1" x14ac:dyDescent="0.3">
      <c r="B1235" s="3"/>
      <c r="Q1235" s="1"/>
      <c r="R1235" s="1"/>
      <c r="S1235" s="2"/>
      <c r="T1235" s="2">
        <v>1121</v>
      </c>
      <c r="U1235" s="48" t="s">
        <v>91</v>
      </c>
      <c r="V1235" s="2"/>
      <c r="W1235" s="2"/>
      <c r="X1235" s="2"/>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row>
    <row r="1236" spans="2:47" ht="14.25" customHeight="1" x14ac:dyDescent="0.3">
      <c r="B1236" s="3"/>
      <c r="Q1236" s="1"/>
      <c r="R1236" s="1"/>
      <c r="S1236" s="2"/>
      <c r="T1236" s="2">
        <v>1122</v>
      </c>
      <c r="U1236" s="48" t="s">
        <v>91</v>
      </c>
      <c r="V1236" s="2"/>
      <c r="W1236" s="2"/>
      <c r="X1236" s="2"/>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row>
    <row r="1237" spans="2:47" ht="14.25" customHeight="1" x14ac:dyDescent="0.3">
      <c r="B1237" s="3"/>
      <c r="Q1237" s="1"/>
      <c r="R1237" s="1"/>
      <c r="S1237" s="2"/>
      <c r="T1237" s="2">
        <v>1123</v>
      </c>
      <c r="U1237" s="48" t="s">
        <v>91</v>
      </c>
      <c r="V1237" s="2"/>
      <c r="W1237" s="2"/>
      <c r="X1237" s="2"/>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row>
    <row r="1238" spans="2:47" ht="14.25" customHeight="1" x14ac:dyDescent="0.3">
      <c r="B1238" s="3"/>
      <c r="Q1238" s="1"/>
      <c r="R1238" s="1"/>
      <c r="S1238" s="2"/>
      <c r="T1238" s="2">
        <v>1124</v>
      </c>
      <c r="U1238" s="48" t="s">
        <v>91</v>
      </c>
      <c r="V1238" s="2"/>
      <c r="W1238" s="2"/>
      <c r="X1238" s="2"/>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row>
    <row r="1239" spans="2:47" ht="14.25" customHeight="1" x14ac:dyDescent="0.3">
      <c r="B1239" s="3"/>
      <c r="Q1239" s="1"/>
      <c r="R1239" s="1"/>
      <c r="S1239" s="2"/>
      <c r="T1239" s="2">
        <v>1125</v>
      </c>
      <c r="U1239" s="48" t="s">
        <v>91</v>
      </c>
      <c r="V1239" s="2"/>
      <c r="W1239" s="2"/>
      <c r="X1239" s="2"/>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row>
    <row r="1240" spans="2:47" ht="14.25" customHeight="1" x14ac:dyDescent="0.3">
      <c r="B1240" s="3"/>
      <c r="Q1240" s="1"/>
      <c r="R1240" s="1"/>
      <c r="S1240" s="2"/>
      <c r="T1240" s="2">
        <v>1126</v>
      </c>
      <c r="U1240" s="48" t="s">
        <v>91</v>
      </c>
      <c r="V1240" s="2"/>
      <c r="W1240" s="2"/>
      <c r="X1240" s="2"/>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row>
    <row r="1241" spans="2:47" ht="14.25" customHeight="1" x14ac:dyDescent="0.3">
      <c r="B1241" s="3"/>
      <c r="Q1241" s="1"/>
      <c r="R1241" s="1"/>
      <c r="S1241" s="2"/>
      <c r="T1241" s="2">
        <v>1127</v>
      </c>
      <c r="U1241" s="48" t="s">
        <v>91</v>
      </c>
      <c r="V1241" s="2"/>
      <c r="W1241" s="2"/>
      <c r="X1241" s="2"/>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row>
    <row r="1242" spans="2:47" ht="14.25" customHeight="1" x14ac:dyDescent="0.3">
      <c r="B1242" s="3"/>
      <c r="Q1242" s="1"/>
      <c r="R1242" s="1"/>
      <c r="S1242" s="2"/>
      <c r="T1242" s="2">
        <v>1128</v>
      </c>
      <c r="U1242" s="48" t="s">
        <v>91</v>
      </c>
      <c r="V1242" s="2"/>
      <c r="W1242" s="2"/>
      <c r="X1242" s="2"/>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row>
    <row r="1243" spans="2:47" ht="14.25" customHeight="1" x14ac:dyDescent="0.3">
      <c r="B1243" s="3"/>
      <c r="Q1243" s="1"/>
      <c r="R1243" s="1"/>
      <c r="S1243" s="2"/>
      <c r="T1243" s="2">
        <v>1129</v>
      </c>
      <c r="U1243" s="48" t="s">
        <v>91</v>
      </c>
      <c r="V1243" s="2"/>
      <c r="W1243" s="2"/>
      <c r="X1243" s="2"/>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row>
    <row r="1244" spans="2:47" ht="14.25" customHeight="1" x14ac:dyDescent="0.3">
      <c r="B1244" s="3"/>
      <c r="Q1244" s="1"/>
      <c r="R1244" s="1"/>
      <c r="S1244" s="2"/>
      <c r="T1244" s="2">
        <v>1130</v>
      </c>
      <c r="U1244" s="48" t="s">
        <v>91</v>
      </c>
      <c r="V1244" s="2"/>
      <c r="W1244" s="2"/>
      <c r="X1244" s="2"/>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row>
    <row r="1245" spans="2:47" ht="14.25" customHeight="1" x14ac:dyDescent="0.3">
      <c r="B1245" s="3"/>
      <c r="Q1245" s="1"/>
      <c r="R1245" s="1"/>
      <c r="S1245" s="2"/>
      <c r="T1245" s="2">
        <v>1131</v>
      </c>
      <c r="U1245" s="48" t="s">
        <v>92</v>
      </c>
      <c r="V1245" s="2"/>
      <c r="W1245" s="2"/>
      <c r="X1245" s="2"/>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row>
    <row r="1246" spans="2:47" ht="14.25" customHeight="1" x14ac:dyDescent="0.3">
      <c r="B1246" s="3"/>
      <c r="Q1246" s="1"/>
      <c r="R1246" s="1"/>
      <c r="S1246" s="2"/>
      <c r="T1246" s="2">
        <v>1132</v>
      </c>
      <c r="U1246" s="48" t="s">
        <v>92</v>
      </c>
      <c r="V1246" s="2"/>
      <c r="W1246" s="2"/>
      <c r="X1246" s="2"/>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row>
    <row r="1247" spans="2:47" ht="14.25" customHeight="1" x14ac:dyDescent="0.3">
      <c r="B1247" s="3"/>
      <c r="Q1247" s="1"/>
      <c r="R1247" s="1"/>
      <c r="S1247" s="2"/>
      <c r="T1247" s="2">
        <v>1133</v>
      </c>
      <c r="U1247" s="48" t="s">
        <v>92</v>
      </c>
      <c r="V1247" s="2"/>
      <c r="W1247" s="2"/>
      <c r="X1247" s="2"/>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row>
    <row r="1248" spans="2:47" ht="14.25" customHeight="1" x14ac:dyDescent="0.3">
      <c r="B1248" s="3"/>
      <c r="Q1248" s="1"/>
      <c r="R1248" s="1"/>
      <c r="S1248" s="2"/>
      <c r="T1248" s="2">
        <v>1134</v>
      </c>
      <c r="U1248" s="48" t="s">
        <v>92</v>
      </c>
      <c r="V1248" s="2"/>
      <c r="W1248" s="2"/>
      <c r="X1248" s="2"/>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row>
    <row r="1249" spans="2:47" ht="14.25" customHeight="1" x14ac:dyDescent="0.3">
      <c r="B1249" s="3"/>
      <c r="Q1249" s="1"/>
      <c r="R1249" s="1"/>
      <c r="S1249" s="2"/>
      <c r="T1249" s="2">
        <v>1135</v>
      </c>
      <c r="U1249" s="48" t="s">
        <v>92</v>
      </c>
      <c r="V1249" s="2"/>
      <c r="W1249" s="2"/>
      <c r="X1249" s="2"/>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row>
    <row r="1250" spans="2:47" ht="14.25" customHeight="1" x14ac:dyDescent="0.3">
      <c r="B1250" s="3"/>
      <c r="Q1250" s="1"/>
      <c r="R1250" s="1"/>
      <c r="S1250" s="2"/>
      <c r="T1250" s="2">
        <v>1136</v>
      </c>
      <c r="U1250" s="48" t="s">
        <v>92</v>
      </c>
      <c r="V1250" s="2"/>
      <c r="W1250" s="2"/>
      <c r="X1250" s="2"/>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row>
    <row r="1251" spans="2:47" ht="14.25" customHeight="1" x14ac:dyDescent="0.3">
      <c r="B1251" s="3"/>
      <c r="Q1251" s="1"/>
      <c r="R1251" s="1"/>
      <c r="S1251" s="2"/>
      <c r="T1251" s="2">
        <v>1137</v>
      </c>
      <c r="U1251" s="48" t="s">
        <v>92</v>
      </c>
      <c r="V1251" s="2"/>
      <c r="W1251" s="2"/>
      <c r="X1251" s="2"/>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row>
    <row r="1252" spans="2:47" ht="14.25" customHeight="1" x14ac:dyDescent="0.3">
      <c r="B1252" s="3"/>
      <c r="Q1252" s="1"/>
      <c r="R1252" s="1"/>
      <c r="S1252" s="2"/>
      <c r="T1252" s="2">
        <v>1138</v>
      </c>
      <c r="U1252" s="48" t="s">
        <v>92</v>
      </c>
      <c r="V1252" s="2"/>
      <c r="W1252" s="2"/>
      <c r="X1252" s="2"/>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row>
    <row r="1253" spans="2:47" ht="14.25" customHeight="1" x14ac:dyDescent="0.3">
      <c r="B1253" s="3"/>
      <c r="Q1253" s="1"/>
      <c r="R1253" s="1"/>
      <c r="S1253" s="2"/>
      <c r="T1253" s="2">
        <v>1139</v>
      </c>
      <c r="U1253" s="48" t="s">
        <v>92</v>
      </c>
      <c r="V1253" s="2"/>
      <c r="W1253" s="2"/>
      <c r="X1253" s="2"/>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row>
    <row r="1254" spans="2:47" ht="14.25" customHeight="1" x14ac:dyDescent="0.3">
      <c r="B1254" s="3"/>
      <c r="Q1254" s="1"/>
      <c r="R1254" s="1"/>
      <c r="S1254" s="2"/>
      <c r="T1254" s="2">
        <v>1140</v>
      </c>
      <c r="U1254" s="48" t="s">
        <v>92</v>
      </c>
      <c r="V1254" s="2"/>
      <c r="W1254" s="2"/>
      <c r="X1254" s="2"/>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row>
    <row r="1255" spans="2:47" ht="14.25" customHeight="1" x14ac:dyDescent="0.3">
      <c r="B1255" s="3"/>
      <c r="Q1255" s="1"/>
      <c r="R1255" s="1"/>
      <c r="S1255" s="2"/>
      <c r="T1255" s="2">
        <v>1141</v>
      </c>
      <c r="U1255" s="48" t="s">
        <v>92</v>
      </c>
      <c r="V1255" s="2"/>
      <c r="W1255" s="2"/>
      <c r="X1255" s="2"/>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row>
    <row r="1256" spans="2:47" ht="14.25" customHeight="1" x14ac:dyDescent="0.3">
      <c r="B1256" s="3"/>
      <c r="Q1256" s="1"/>
      <c r="R1256" s="1"/>
      <c r="S1256" s="2"/>
      <c r="T1256" s="2">
        <v>1142</v>
      </c>
      <c r="U1256" s="48" t="s">
        <v>92</v>
      </c>
      <c r="V1256" s="2"/>
      <c r="W1256" s="2"/>
      <c r="X1256" s="2"/>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row>
    <row r="1257" spans="2:47" ht="14.25" customHeight="1" x14ac:dyDescent="0.3">
      <c r="B1257" s="3"/>
      <c r="Q1257" s="1"/>
      <c r="R1257" s="1"/>
      <c r="S1257" s="2"/>
      <c r="T1257" s="2">
        <v>1143</v>
      </c>
      <c r="U1257" s="48" t="s">
        <v>92</v>
      </c>
      <c r="V1257" s="2"/>
      <c r="W1257" s="2"/>
      <c r="X1257" s="2"/>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row>
    <row r="1258" spans="2:47" ht="14.25" customHeight="1" x14ac:dyDescent="0.3">
      <c r="B1258" s="3"/>
      <c r="Q1258" s="1"/>
      <c r="R1258" s="1"/>
      <c r="S1258" s="2"/>
      <c r="T1258" s="2">
        <v>1144</v>
      </c>
      <c r="U1258" s="48" t="s">
        <v>92</v>
      </c>
      <c r="V1258" s="2"/>
      <c r="W1258" s="2"/>
      <c r="X1258" s="2"/>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row>
    <row r="1259" spans="2:47" ht="14.25" customHeight="1" x14ac:dyDescent="0.3">
      <c r="B1259" s="3"/>
      <c r="Q1259" s="1"/>
      <c r="R1259" s="1"/>
      <c r="S1259" s="2"/>
      <c r="T1259" s="2">
        <v>1145</v>
      </c>
      <c r="U1259" s="48" t="s">
        <v>92</v>
      </c>
      <c r="V1259" s="2"/>
      <c r="W1259" s="2"/>
      <c r="X1259" s="2"/>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row>
    <row r="1260" spans="2:47" ht="14.25" customHeight="1" x14ac:dyDescent="0.3">
      <c r="B1260" s="3"/>
      <c r="Q1260" s="1"/>
      <c r="R1260" s="1"/>
      <c r="S1260" s="2"/>
      <c r="T1260" s="2">
        <v>1146</v>
      </c>
      <c r="U1260" s="48" t="s">
        <v>92</v>
      </c>
      <c r="V1260" s="2"/>
      <c r="W1260" s="2"/>
      <c r="X1260" s="2"/>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row>
    <row r="1261" spans="2:47" ht="14.25" customHeight="1" x14ac:dyDescent="0.3">
      <c r="B1261" s="3"/>
      <c r="Q1261" s="1"/>
      <c r="R1261" s="1"/>
      <c r="S1261" s="2"/>
      <c r="T1261" s="2">
        <v>1147</v>
      </c>
      <c r="U1261" s="48" t="s">
        <v>92</v>
      </c>
      <c r="V1261" s="2"/>
      <c r="W1261" s="2"/>
      <c r="X1261" s="2"/>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row>
    <row r="1262" spans="2:47" ht="14.25" customHeight="1" x14ac:dyDescent="0.3">
      <c r="B1262" s="3"/>
      <c r="Q1262" s="1"/>
      <c r="R1262" s="1"/>
      <c r="S1262" s="2"/>
      <c r="T1262" s="2">
        <v>1148</v>
      </c>
      <c r="U1262" s="48" t="s">
        <v>92</v>
      </c>
      <c r="V1262" s="2"/>
      <c r="W1262" s="2"/>
      <c r="X1262" s="2"/>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row>
    <row r="1263" spans="2:47" ht="14.25" customHeight="1" x14ac:dyDescent="0.3">
      <c r="B1263" s="3"/>
      <c r="Q1263" s="1"/>
      <c r="R1263" s="1"/>
      <c r="S1263" s="2"/>
      <c r="T1263" s="2">
        <v>1149</v>
      </c>
      <c r="U1263" s="48" t="s">
        <v>92</v>
      </c>
      <c r="V1263" s="2"/>
      <c r="W1263" s="2"/>
      <c r="X1263" s="2"/>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row>
    <row r="1264" spans="2:47" ht="14.25" customHeight="1" x14ac:dyDescent="0.3">
      <c r="B1264" s="3"/>
      <c r="Q1264" s="1"/>
      <c r="R1264" s="1"/>
      <c r="S1264" s="2"/>
      <c r="T1264" s="2">
        <v>1150</v>
      </c>
      <c r="U1264" s="48" t="s">
        <v>92</v>
      </c>
      <c r="V1264" s="2"/>
      <c r="W1264" s="2"/>
      <c r="X1264" s="2"/>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row>
    <row r="1265" spans="2:47" ht="14.25" customHeight="1" x14ac:dyDescent="0.3">
      <c r="B1265" s="3"/>
      <c r="Q1265" s="1"/>
      <c r="R1265" s="1"/>
      <c r="S1265" s="2"/>
      <c r="T1265" s="2">
        <v>1151</v>
      </c>
      <c r="U1265" s="48" t="s">
        <v>92</v>
      </c>
      <c r="V1265" s="2"/>
      <c r="W1265" s="2"/>
      <c r="X1265" s="2"/>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row>
    <row r="1266" spans="2:47" ht="14.25" customHeight="1" x14ac:dyDescent="0.3">
      <c r="B1266" s="3"/>
      <c r="Q1266" s="1"/>
      <c r="R1266" s="1"/>
      <c r="S1266" s="2"/>
      <c r="T1266" s="2">
        <v>1152</v>
      </c>
      <c r="U1266" s="48" t="s">
        <v>92</v>
      </c>
      <c r="V1266" s="2"/>
      <c r="W1266" s="2"/>
      <c r="X1266" s="2"/>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row>
    <row r="1267" spans="2:47" ht="14.25" customHeight="1" x14ac:dyDescent="0.3">
      <c r="B1267" s="3"/>
      <c r="Q1267" s="1"/>
      <c r="R1267" s="1"/>
      <c r="S1267" s="2"/>
      <c r="T1267" s="2">
        <v>1153</v>
      </c>
      <c r="U1267" s="48" t="s">
        <v>92</v>
      </c>
      <c r="V1267" s="2"/>
      <c r="W1267" s="2"/>
      <c r="X1267" s="2"/>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row>
    <row r="1268" spans="2:47" ht="14.25" customHeight="1" x14ac:dyDescent="0.3">
      <c r="B1268" s="3"/>
      <c r="Q1268" s="1"/>
      <c r="R1268" s="1"/>
      <c r="S1268" s="2"/>
      <c r="T1268" s="2">
        <v>1154</v>
      </c>
      <c r="U1268" s="48" t="s">
        <v>92</v>
      </c>
      <c r="V1268" s="2"/>
      <c r="W1268" s="2"/>
      <c r="X1268" s="2"/>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row>
    <row r="1269" spans="2:47" ht="14.25" customHeight="1" x14ac:dyDescent="0.3">
      <c r="B1269" s="3"/>
      <c r="Q1269" s="1"/>
      <c r="R1269" s="1"/>
      <c r="S1269" s="2"/>
      <c r="T1269" s="2">
        <v>1155</v>
      </c>
      <c r="U1269" s="48" t="s">
        <v>92</v>
      </c>
      <c r="V1269" s="2"/>
      <c r="W1269" s="2"/>
      <c r="X1269" s="2"/>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row>
    <row r="1270" spans="2:47" ht="14.25" customHeight="1" x14ac:dyDescent="0.3">
      <c r="B1270" s="3"/>
      <c r="Q1270" s="1"/>
      <c r="R1270" s="1"/>
      <c r="S1270" s="2"/>
      <c r="T1270" s="2">
        <v>1156</v>
      </c>
      <c r="U1270" s="48" t="s">
        <v>92</v>
      </c>
      <c r="V1270" s="2"/>
      <c r="W1270" s="2"/>
      <c r="X1270" s="2"/>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row>
    <row r="1271" spans="2:47" ht="14.25" customHeight="1" x14ac:dyDescent="0.3">
      <c r="B1271" s="3"/>
      <c r="Q1271" s="1"/>
      <c r="R1271" s="1"/>
      <c r="S1271" s="2"/>
      <c r="T1271" s="2">
        <v>1157</v>
      </c>
      <c r="U1271" s="48" t="s">
        <v>92</v>
      </c>
      <c r="V1271" s="2"/>
      <c r="W1271" s="2"/>
      <c r="X1271" s="2"/>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row>
    <row r="1272" spans="2:47" ht="14.25" customHeight="1" x14ac:dyDescent="0.3">
      <c r="B1272" s="3"/>
      <c r="Q1272" s="1"/>
      <c r="R1272" s="1"/>
      <c r="S1272" s="2"/>
      <c r="T1272" s="2">
        <v>1158</v>
      </c>
      <c r="U1272" s="48" t="s">
        <v>92</v>
      </c>
      <c r="V1272" s="2"/>
      <c r="W1272" s="2"/>
      <c r="X1272" s="2"/>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row>
    <row r="1273" spans="2:47" ht="14.25" customHeight="1" x14ac:dyDescent="0.3">
      <c r="B1273" s="3"/>
      <c r="Q1273" s="1"/>
      <c r="R1273" s="1"/>
      <c r="S1273" s="2"/>
      <c r="T1273" s="2">
        <v>1159</v>
      </c>
      <c r="U1273" s="48" t="s">
        <v>92</v>
      </c>
      <c r="V1273" s="2"/>
      <c r="W1273" s="2"/>
      <c r="X1273" s="2"/>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row>
    <row r="1274" spans="2:47" ht="14.25" customHeight="1" x14ac:dyDescent="0.3">
      <c r="B1274" s="3"/>
      <c r="Q1274" s="1"/>
      <c r="R1274" s="1"/>
      <c r="S1274" s="2"/>
      <c r="T1274" s="2">
        <v>1160</v>
      </c>
      <c r="U1274" s="48" t="s">
        <v>92</v>
      </c>
      <c r="V1274" s="2"/>
      <c r="W1274" s="2"/>
      <c r="X1274" s="2"/>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row>
    <row r="1275" spans="2:47" ht="14.25" customHeight="1" x14ac:dyDescent="0.3">
      <c r="B1275" s="3"/>
      <c r="Q1275" s="1"/>
      <c r="R1275" s="1"/>
      <c r="S1275" s="2"/>
      <c r="T1275" s="2">
        <v>1161</v>
      </c>
      <c r="U1275" s="48" t="s">
        <v>92</v>
      </c>
      <c r="V1275" s="2"/>
      <c r="W1275" s="2"/>
      <c r="X1275" s="2"/>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row>
    <row r="1276" spans="2:47" ht="14.25" customHeight="1" x14ac:dyDescent="0.3">
      <c r="B1276" s="3"/>
      <c r="Q1276" s="1"/>
      <c r="R1276" s="1"/>
      <c r="S1276" s="2"/>
      <c r="T1276" s="2">
        <v>1162</v>
      </c>
      <c r="U1276" s="48" t="s">
        <v>92</v>
      </c>
      <c r="V1276" s="2"/>
      <c r="W1276" s="2"/>
      <c r="X1276" s="2"/>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row>
    <row r="1277" spans="2:47" ht="14.25" customHeight="1" x14ac:dyDescent="0.3">
      <c r="B1277" s="3"/>
      <c r="Q1277" s="1"/>
      <c r="R1277" s="1"/>
      <c r="S1277" s="2"/>
      <c r="T1277" s="2">
        <v>1163</v>
      </c>
      <c r="U1277" s="48" t="s">
        <v>92</v>
      </c>
      <c r="V1277" s="2"/>
      <c r="W1277" s="2"/>
      <c r="X1277" s="2"/>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row>
    <row r="1278" spans="2:47" ht="14.25" customHeight="1" x14ac:dyDescent="0.3">
      <c r="B1278" s="3"/>
      <c r="Q1278" s="1"/>
      <c r="R1278" s="1"/>
      <c r="S1278" s="2"/>
      <c r="T1278" s="2">
        <v>1164</v>
      </c>
      <c r="U1278" s="48" t="s">
        <v>92</v>
      </c>
      <c r="V1278" s="2"/>
      <c r="W1278" s="2"/>
      <c r="X1278" s="2"/>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row>
    <row r="1279" spans="2:47" ht="14.25" customHeight="1" x14ac:dyDescent="0.3">
      <c r="B1279" s="3"/>
      <c r="Q1279" s="1"/>
      <c r="R1279" s="1"/>
      <c r="S1279" s="2"/>
      <c r="T1279" s="2">
        <v>1165</v>
      </c>
      <c r="U1279" s="48" t="s">
        <v>92</v>
      </c>
      <c r="V1279" s="2"/>
      <c r="W1279" s="2"/>
      <c r="X1279" s="2"/>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row>
    <row r="1280" spans="2:47" ht="14.25" customHeight="1" x14ac:dyDescent="0.3">
      <c r="B1280" s="3"/>
      <c r="Q1280" s="1"/>
      <c r="R1280" s="1"/>
      <c r="S1280" s="2"/>
      <c r="T1280" s="2">
        <v>1166</v>
      </c>
      <c r="U1280" s="48" t="s">
        <v>92</v>
      </c>
      <c r="V1280" s="2"/>
      <c r="W1280" s="2"/>
      <c r="X1280" s="2"/>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row>
    <row r="1281" spans="2:47" ht="14.25" customHeight="1" x14ac:dyDescent="0.3">
      <c r="B1281" s="3"/>
      <c r="Q1281" s="1"/>
      <c r="R1281" s="1"/>
      <c r="S1281" s="2"/>
      <c r="T1281" s="2">
        <v>1167</v>
      </c>
      <c r="U1281" s="48" t="s">
        <v>92</v>
      </c>
      <c r="V1281" s="2"/>
      <c r="W1281" s="2"/>
      <c r="X1281" s="2"/>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row>
    <row r="1282" spans="2:47" ht="14.25" customHeight="1" x14ac:dyDescent="0.3">
      <c r="B1282" s="3"/>
      <c r="Q1282" s="1"/>
      <c r="R1282" s="1"/>
      <c r="S1282" s="2"/>
      <c r="T1282" s="2">
        <v>1168</v>
      </c>
      <c r="U1282" s="48" t="s">
        <v>92</v>
      </c>
      <c r="V1282" s="2"/>
      <c r="W1282" s="2"/>
      <c r="X1282" s="2"/>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row>
    <row r="1283" spans="2:47" ht="14.25" customHeight="1" x14ac:dyDescent="0.3">
      <c r="B1283" s="3"/>
      <c r="Q1283" s="1"/>
      <c r="R1283" s="1"/>
      <c r="S1283" s="2"/>
      <c r="T1283" s="2">
        <v>1169</v>
      </c>
      <c r="U1283" s="48" t="s">
        <v>92</v>
      </c>
      <c r="V1283" s="2"/>
      <c r="W1283" s="2"/>
      <c r="X1283" s="2"/>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row>
    <row r="1284" spans="2:47" ht="14.25" customHeight="1" x14ac:dyDescent="0.3">
      <c r="B1284" s="3"/>
      <c r="Q1284" s="1"/>
      <c r="R1284" s="1"/>
      <c r="S1284" s="2"/>
      <c r="T1284" s="2">
        <v>1170</v>
      </c>
      <c r="U1284" s="48" t="s">
        <v>92</v>
      </c>
      <c r="V1284" s="2"/>
      <c r="W1284" s="2"/>
      <c r="X1284" s="2"/>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row>
    <row r="1285" spans="2:47" ht="14.25" customHeight="1" x14ac:dyDescent="0.3">
      <c r="B1285" s="3"/>
      <c r="Q1285" s="1"/>
      <c r="R1285" s="1"/>
      <c r="S1285" s="2"/>
      <c r="T1285" s="2">
        <v>1171</v>
      </c>
      <c r="U1285" s="48" t="s">
        <v>92</v>
      </c>
      <c r="V1285" s="2"/>
      <c r="W1285" s="2"/>
      <c r="X1285" s="2"/>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row>
    <row r="1286" spans="2:47" ht="14.25" customHeight="1" x14ac:dyDescent="0.3">
      <c r="B1286" s="3"/>
      <c r="Q1286" s="1"/>
      <c r="R1286" s="1"/>
      <c r="S1286" s="2"/>
      <c r="T1286" s="2">
        <v>1172</v>
      </c>
      <c r="U1286" s="48" t="s">
        <v>92</v>
      </c>
      <c r="V1286" s="2"/>
      <c r="W1286" s="2"/>
      <c r="X1286" s="2"/>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row>
    <row r="1287" spans="2:47" ht="14.25" customHeight="1" x14ac:dyDescent="0.3">
      <c r="B1287" s="3"/>
      <c r="Q1287" s="1"/>
      <c r="R1287" s="1"/>
      <c r="S1287" s="2"/>
      <c r="T1287" s="2">
        <v>1173</v>
      </c>
      <c r="U1287" s="48" t="s">
        <v>92</v>
      </c>
      <c r="V1287" s="2"/>
      <c r="W1287" s="2"/>
      <c r="X1287" s="2"/>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row>
    <row r="1288" spans="2:47" ht="14.25" customHeight="1" x14ac:dyDescent="0.3">
      <c r="B1288" s="3"/>
      <c r="Q1288" s="1"/>
      <c r="R1288" s="1"/>
      <c r="S1288" s="2"/>
      <c r="T1288" s="2">
        <v>1174</v>
      </c>
      <c r="U1288" s="48" t="s">
        <v>92</v>
      </c>
      <c r="V1288" s="2"/>
      <c r="W1288" s="2"/>
      <c r="X1288" s="2"/>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row>
    <row r="1289" spans="2:47" ht="14.25" customHeight="1" x14ac:dyDescent="0.3">
      <c r="B1289" s="3"/>
      <c r="Q1289" s="1"/>
      <c r="R1289" s="1"/>
      <c r="S1289" s="2"/>
      <c r="T1289" s="2">
        <v>1175</v>
      </c>
      <c r="U1289" s="48" t="s">
        <v>92</v>
      </c>
      <c r="V1289" s="2"/>
      <c r="W1289" s="2"/>
      <c r="X1289" s="2"/>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row>
    <row r="1290" spans="2:47" ht="14.25" customHeight="1" x14ac:dyDescent="0.3">
      <c r="B1290" s="3"/>
      <c r="Q1290" s="1"/>
      <c r="R1290" s="1"/>
      <c r="S1290" s="2"/>
      <c r="T1290" s="2">
        <v>1176</v>
      </c>
      <c r="U1290" s="48" t="s">
        <v>92</v>
      </c>
      <c r="V1290" s="2"/>
      <c r="W1290" s="2"/>
      <c r="X1290" s="2"/>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row>
    <row r="1291" spans="2:47" ht="14.25" customHeight="1" x14ac:dyDescent="0.3">
      <c r="B1291" s="3"/>
      <c r="Q1291" s="1"/>
      <c r="R1291" s="1"/>
      <c r="S1291" s="2"/>
      <c r="T1291" s="2">
        <v>1177</v>
      </c>
      <c r="U1291" s="48" t="s">
        <v>92</v>
      </c>
      <c r="V1291" s="2"/>
      <c r="W1291" s="2"/>
      <c r="X1291" s="2"/>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row>
    <row r="1292" spans="2:47" ht="14.25" customHeight="1" x14ac:dyDescent="0.3">
      <c r="B1292" s="3"/>
      <c r="Q1292" s="1"/>
      <c r="R1292" s="1"/>
      <c r="S1292" s="2"/>
      <c r="T1292" s="2">
        <v>1178</v>
      </c>
      <c r="U1292" s="48" t="s">
        <v>92</v>
      </c>
      <c r="V1292" s="2"/>
      <c r="W1292" s="2"/>
      <c r="X1292" s="2"/>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row>
    <row r="1293" spans="2:47" ht="14.25" customHeight="1" x14ac:dyDescent="0.3">
      <c r="B1293" s="3"/>
      <c r="Q1293" s="1"/>
      <c r="R1293" s="1"/>
      <c r="S1293" s="2"/>
      <c r="T1293" s="2">
        <v>1179</v>
      </c>
      <c r="U1293" s="48" t="s">
        <v>92</v>
      </c>
      <c r="V1293" s="2"/>
      <c r="W1293" s="2"/>
      <c r="X1293" s="2"/>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row>
    <row r="1294" spans="2:47" ht="14.25" customHeight="1" x14ac:dyDescent="0.3">
      <c r="B1294" s="3"/>
      <c r="Q1294" s="1"/>
      <c r="R1294" s="1"/>
      <c r="S1294" s="2"/>
      <c r="T1294" s="2">
        <v>1180</v>
      </c>
      <c r="U1294" s="48" t="s">
        <v>92</v>
      </c>
      <c r="V1294" s="2"/>
      <c r="W1294" s="2"/>
      <c r="X1294" s="2"/>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row>
    <row r="1295" spans="2:47" ht="14.25" customHeight="1" x14ac:dyDescent="0.3">
      <c r="B1295" s="3"/>
      <c r="Q1295" s="1"/>
      <c r="R1295" s="1"/>
      <c r="S1295" s="2"/>
      <c r="T1295" s="2">
        <v>1181</v>
      </c>
      <c r="U1295" s="48" t="s">
        <v>92</v>
      </c>
      <c r="V1295" s="2"/>
      <c r="W1295" s="2"/>
      <c r="X1295" s="2"/>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row>
    <row r="1296" spans="2:47" ht="14.25" customHeight="1" x14ac:dyDescent="0.3">
      <c r="B1296" s="3"/>
      <c r="Q1296" s="1"/>
      <c r="R1296" s="1"/>
      <c r="S1296" s="2"/>
      <c r="T1296" s="2">
        <v>1182</v>
      </c>
      <c r="U1296" s="48" t="s">
        <v>92</v>
      </c>
      <c r="V1296" s="2"/>
      <c r="W1296" s="2"/>
      <c r="X1296" s="2"/>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row>
    <row r="1297" spans="2:47" ht="14.25" customHeight="1" x14ac:dyDescent="0.3">
      <c r="B1297" s="3"/>
      <c r="Q1297" s="1"/>
      <c r="R1297" s="1"/>
      <c r="S1297" s="2"/>
      <c r="T1297" s="2">
        <v>1183</v>
      </c>
      <c r="U1297" s="48" t="s">
        <v>92</v>
      </c>
      <c r="V1297" s="2"/>
      <c r="W1297" s="2"/>
      <c r="X1297" s="2"/>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row>
    <row r="1298" spans="2:47" ht="14.25" customHeight="1" x14ac:dyDescent="0.3">
      <c r="B1298" s="3"/>
      <c r="Q1298" s="1"/>
      <c r="R1298" s="1"/>
      <c r="S1298" s="2"/>
      <c r="T1298" s="2">
        <v>1184</v>
      </c>
      <c r="U1298" s="48" t="s">
        <v>92</v>
      </c>
      <c r="V1298" s="2"/>
      <c r="W1298" s="2"/>
      <c r="X1298" s="2"/>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row>
    <row r="1299" spans="2:47" ht="14.25" customHeight="1" x14ac:dyDescent="0.3">
      <c r="B1299" s="3"/>
      <c r="Q1299" s="1"/>
      <c r="R1299" s="1"/>
      <c r="S1299" s="2"/>
      <c r="T1299" s="2">
        <v>1185</v>
      </c>
      <c r="U1299" s="48" t="s">
        <v>92</v>
      </c>
      <c r="V1299" s="2"/>
      <c r="W1299" s="2"/>
      <c r="X1299" s="2"/>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row>
    <row r="1300" spans="2:47" ht="14.25" customHeight="1" x14ac:dyDescent="0.3">
      <c r="B1300" s="3"/>
      <c r="Q1300" s="1"/>
      <c r="R1300" s="1"/>
      <c r="S1300" s="2"/>
      <c r="T1300" s="2">
        <v>1186</v>
      </c>
      <c r="U1300" s="48" t="s">
        <v>92</v>
      </c>
      <c r="V1300" s="2"/>
      <c r="W1300" s="2"/>
      <c r="X1300" s="2"/>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row>
    <row r="1301" spans="2:47" ht="14.25" customHeight="1" x14ac:dyDescent="0.3">
      <c r="B1301" s="3"/>
      <c r="Q1301" s="1"/>
      <c r="R1301" s="1"/>
      <c r="S1301" s="2"/>
      <c r="T1301" s="2">
        <v>1187</v>
      </c>
      <c r="U1301" s="48" t="s">
        <v>92</v>
      </c>
      <c r="V1301" s="2"/>
      <c r="W1301" s="2"/>
      <c r="X1301" s="2"/>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row>
    <row r="1302" spans="2:47" ht="14.25" customHeight="1" x14ac:dyDescent="0.3">
      <c r="B1302" s="3"/>
      <c r="Q1302" s="1"/>
      <c r="R1302" s="1"/>
      <c r="S1302" s="2"/>
      <c r="T1302" s="2">
        <v>1188</v>
      </c>
      <c r="U1302" s="48" t="s">
        <v>92</v>
      </c>
      <c r="V1302" s="2"/>
      <c r="W1302" s="2"/>
      <c r="X1302" s="2"/>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row>
    <row r="1303" spans="2:47" ht="14.25" customHeight="1" x14ac:dyDescent="0.3">
      <c r="B1303" s="3"/>
      <c r="Q1303" s="1"/>
      <c r="R1303" s="1"/>
      <c r="S1303" s="2"/>
      <c r="T1303" s="2">
        <v>1189</v>
      </c>
      <c r="U1303" s="48" t="s">
        <v>92</v>
      </c>
      <c r="V1303" s="2"/>
      <c r="W1303" s="2"/>
      <c r="X1303" s="2"/>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row>
    <row r="1304" spans="2:47" ht="14.25" customHeight="1" x14ac:dyDescent="0.3">
      <c r="B1304" s="3"/>
      <c r="Q1304" s="1"/>
      <c r="R1304" s="1"/>
      <c r="S1304" s="2"/>
      <c r="T1304" s="2">
        <v>1190</v>
      </c>
      <c r="U1304" s="48" t="s">
        <v>92</v>
      </c>
      <c r="V1304" s="2"/>
      <c r="W1304" s="2"/>
      <c r="X1304" s="2"/>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row>
    <row r="1305" spans="2:47" ht="14.25" customHeight="1" x14ac:dyDescent="0.3">
      <c r="B1305" s="3"/>
      <c r="Q1305" s="1"/>
      <c r="R1305" s="1"/>
      <c r="S1305" s="2"/>
      <c r="T1305" s="2">
        <v>1191</v>
      </c>
      <c r="U1305" s="48" t="s">
        <v>92</v>
      </c>
      <c r="V1305" s="2"/>
      <c r="W1305" s="2"/>
      <c r="X1305" s="2"/>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row>
    <row r="1306" spans="2:47" ht="14.25" customHeight="1" x14ac:dyDescent="0.3">
      <c r="B1306" s="3"/>
      <c r="Q1306" s="1"/>
      <c r="R1306" s="1"/>
      <c r="S1306" s="2"/>
      <c r="T1306" s="2">
        <v>1192</v>
      </c>
      <c r="U1306" s="48" t="s">
        <v>92</v>
      </c>
      <c r="V1306" s="2"/>
      <c r="W1306" s="2"/>
      <c r="X1306" s="2"/>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row>
    <row r="1307" spans="2:47" ht="14.25" customHeight="1" x14ac:dyDescent="0.3">
      <c r="B1307" s="3"/>
      <c r="Q1307" s="1"/>
      <c r="R1307" s="1"/>
      <c r="S1307" s="2"/>
      <c r="T1307" s="2">
        <v>1193</v>
      </c>
      <c r="U1307" s="48" t="s">
        <v>92</v>
      </c>
      <c r="V1307" s="2"/>
      <c r="W1307" s="2"/>
      <c r="X1307" s="2"/>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row>
    <row r="1308" spans="2:47" ht="14.25" customHeight="1" x14ac:dyDescent="0.3">
      <c r="B1308" s="3"/>
      <c r="Q1308" s="1"/>
      <c r="R1308" s="1"/>
      <c r="S1308" s="2"/>
      <c r="T1308" s="2">
        <v>1194</v>
      </c>
      <c r="U1308" s="48" t="s">
        <v>92</v>
      </c>
      <c r="V1308" s="2"/>
      <c r="W1308" s="2"/>
      <c r="X1308" s="2"/>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row>
    <row r="1309" spans="2:47" ht="14.25" customHeight="1" x14ac:dyDescent="0.3">
      <c r="B1309" s="3"/>
      <c r="Q1309" s="1"/>
      <c r="R1309" s="1"/>
      <c r="S1309" s="2"/>
      <c r="T1309" s="2">
        <v>1195</v>
      </c>
      <c r="U1309" s="48" t="s">
        <v>92</v>
      </c>
      <c r="V1309" s="2"/>
      <c r="W1309" s="2"/>
      <c r="X1309" s="2"/>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row>
    <row r="1310" spans="2:47" ht="14.25" customHeight="1" x14ac:dyDescent="0.3">
      <c r="B1310" s="3"/>
      <c r="Q1310" s="1"/>
      <c r="R1310" s="1"/>
      <c r="S1310" s="2"/>
      <c r="T1310" s="2">
        <v>1196</v>
      </c>
      <c r="U1310" s="48" t="s">
        <v>92</v>
      </c>
      <c r="V1310" s="2"/>
      <c r="W1310" s="2"/>
      <c r="X1310" s="2"/>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row>
    <row r="1311" spans="2:47" ht="14.25" customHeight="1" x14ac:dyDescent="0.3">
      <c r="B1311" s="3"/>
      <c r="Q1311" s="1"/>
      <c r="R1311" s="1"/>
      <c r="S1311" s="2"/>
      <c r="T1311" s="2">
        <v>1197</v>
      </c>
      <c r="U1311" s="48" t="s">
        <v>92</v>
      </c>
      <c r="V1311" s="2"/>
      <c r="W1311" s="2"/>
      <c r="X1311" s="2"/>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row>
    <row r="1312" spans="2:47" ht="14.25" customHeight="1" x14ac:dyDescent="0.3">
      <c r="B1312" s="3"/>
      <c r="Q1312" s="1"/>
      <c r="R1312" s="1"/>
      <c r="S1312" s="2"/>
      <c r="T1312" s="2">
        <v>1198</v>
      </c>
      <c r="U1312" s="48" t="s">
        <v>92</v>
      </c>
      <c r="V1312" s="2"/>
      <c r="W1312" s="2"/>
      <c r="X1312" s="2"/>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row>
    <row r="1313" spans="2:47" ht="14.25" customHeight="1" x14ac:dyDescent="0.3">
      <c r="B1313" s="3"/>
      <c r="Q1313" s="1"/>
      <c r="R1313" s="1"/>
      <c r="S1313" s="2"/>
      <c r="T1313" s="2">
        <v>1199</v>
      </c>
      <c r="U1313" s="48" t="s">
        <v>92</v>
      </c>
      <c r="V1313" s="2"/>
      <c r="W1313" s="2"/>
      <c r="X1313" s="2"/>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row>
    <row r="1314" spans="2:47" ht="14.25" customHeight="1" x14ac:dyDescent="0.3">
      <c r="B1314" s="3"/>
      <c r="Q1314" s="1"/>
      <c r="R1314" s="1"/>
      <c r="S1314" s="2"/>
      <c r="T1314" s="2">
        <v>1200</v>
      </c>
      <c r="U1314" s="48" t="s">
        <v>92</v>
      </c>
      <c r="V1314" s="2"/>
      <c r="W1314" s="2"/>
      <c r="X1314" s="2"/>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row>
    <row r="1315" spans="2:47" ht="14.25" customHeight="1" x14ac:dyDescent="0.3">
      <c r="B1315" s="3"/>
      <c r="Q1315" s="1"/>
      <c r="R1315" s="1"/>
      <c r="S1315" s="2"/>
      <c r="T1315" s="2">
        <v>1201</v>
      </c>
      <c r="U1315" s="48" t="s">
        <v>92</v>
      </c>
      <c r="V1315" s="2"/>
      <c r="W1315" s="2"/>
      <c r="X1315" s="2"/>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row>
    <row r="1316" spans="2:47" ht="14.25" customHeight="1" x14ac:dyDescent="0.3">
      <c r="B1316" s="3"/>
      <c r="Q1316" s="1"/>
      <c r="R1316" s="1"/>
      <c r="S1316" s="2"/>
      <c r="T1316" s="2">
        <v>1202</v>
      </c>
      <c r="U1316" s="48" t="s">
        <v>92</v>
      </c>
      <c r="V1316" s="2"/>
      <c r="W1316" s="2"/>
      <c r="X1316" s="2"/>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row>
    <row r="1317" spans="2:47" ht="14.25" customHeight="1" x14ac:dyDescent="0.3">
      <c r="B1317" s="3"/>
      <c r="Q1317" s="1"/>
      <c r="R1317" s="1"/>
      <c r="S1317" s="2"/>
      <c r="T1317" s="2">
        <v>1203</v>
      </c>
      <c r="U1317" s="48" t="s">
        <v>92</v>
      </c>
      <c r="V1317" s="2"/>
      <c r="W1317" s="2"/>
      <c r="X1317" s="2"/>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row>
    <row r="1318" spans="2:47" ht="14.25" customHeight="1" x14ac:dyDescent="0.3">
      <c r="B1318" s="3"/>
      <c r="Q1318" s="1"/>
      <c r="R1318" s="1"/>
      <c r="S1318" s="2"/>
      <c r="T1318" s="2">
        <v>1204</v>
      </c>
      <c r="U1318" s="48" t="s">
        <v>92</v>
      </c>
      <c r="V1318" s="2"/>
      <c r="W1318" s="2"/>
      <c r="X1318" s="2"/>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row>
    <row r="1319" spans="2:47" ht="14.25" customHeight="1" x14ac:dyDescent="0.3">
      <c r="B1319" s="3"/>
      <c r="Q1319" s="1"/>
      <c r="R1319" s="1"/>
      <c r="S1319" s="2"/>
      <c r="T1319" s="2">
        <v>1205</v>
      </c>
      <c r="U1319" s="48" t="s">
        <v>92</v>
      </c>
      <c r="V1319" s="2"/>
      <c r="W1319" s="2"/>
      <c r="X1319" s="2"/>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row>
    <row r="1320" spans="2:47" ht="14.25" customHeight="1" x14ac:dyDescent="0.3">
      <c r="B1320" s="3"/>
      <c r="Q1320" s="1"/>
      <c r="R1320" s="1"/>
      <c r="S1320" s="2"/>
      <c r="T1320" s="2">
        <v>1206</v>
      </c>
      <c r="U1320" s="48" t="s">
        <v>92</v>
      </c>
      <c r="V1320" s="2"/>
      <c r="W1320" s="2"/>
      <c r="X1320" s="2"/>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row>
    <row r="1321" spans="2:47" ht="14.25" customHeight="1" x14ac:dyDescent="0.3">
      <c r="B1321" s="3"/>
      <c r="Q1321" s="1"/>
      <c r="R1321" s="1"/>
      <c r="S1321" s="2"/>
      <c r="T1321" s="2">
        <v>1207</v>
      </c>
      <c r="U1321" s="48" t="s">
        <v>92</v>
      </c>
      <c r="V1321" s="2"/>
      <c r="W1321" s="2"/>
      <c r="X1321" s="2"/>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row>
    <row r="1322" spans="2:47" ht="14.25" customHeight="1" x14ac:dyDescent="0.3">
      <c r="B1322" s="3"/>
      <c r="Q1322" s="1"/>
      <c r="R1322" s="1"/>
      <c r="S1322" s="2"/>
      <c r="T1322" s="2">
        <v>1208</v>
      </c>
      <c r="U1322" s="48" t="s">
        <v>92</v>
      </c>
      <c r="V1322" s="2"/>
      <c r="W1322" s="2"/>
      <c r="X1322" s="2"/>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row>
    <row r="1323" spans="2:47" ht="14.25" customHeight="1" x14ac:dyDescent="0.3">
      <c r="B1323" s="3"/>
      <c r="Q1323" s="1"/>
      <c r="R1323" s="1"/>
      <c r="S1323" s="2"/>
      <c r="T1323" s="2">
        <v>1209</v>
      </c>
      <c r="U1323" s="48" t="s">
        <v>92</v>
      </c>
      <c r="V1323" s="2"/>
      <c r="W1323" s="2"/>
      <c r="X1323" s="2"/>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row>
    <row r="1324" spans="2:47" ht="14.25" customHeight="1" x14ac:dyDescent="0.3">
      <c r="B1324" s="3"/>
      <c r="Q1324" s="1"/>
      <c r="R1324" s="1"/>
      <c r="S1324" s="2"/>
      <c r="T1324" s="2">
        <v>1210</v>
      </c>
      <c r="U1324" s="48" t="s">
        <v>92</v>
      </c>
      <c r="V1324" s="2"/>
      <c r="W1324" s="2"/>
      <c r="X1324" s="2"/>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row>
    <row r="1325" spans="2:47" ht="14.25" customHeight="1" x14ac:dyDescent="0.3">
      <c r="B1325" s="3"/>
      <c r="Q1325" s="1"/>
      <c r="R1325" s="1"/>
      <c r="S1325" s="2"/>
      <c r="T1325" s="2">
        <v>1211</v>
      </c>
      <c r="U1325" s="48" t="s">
        <v>92</v>
      </c>
      <c r="V1325" s="2"/>
      <c r="W1325" s="2"/>
      <c r="X1325" s="2"/>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row>
    <row r="1326" spans="2:47" ht="14.25" customHeight="1" x14ac:dyDescent="0.3">
      <c r="B1326" s="3"/>
      <c r="Q1326" s="1"/>
      <c r="R1326" s="1"/>
      <c r="S1326" s="2"/>
      <c r="T1326" s="2">
        <v>1212</v>
      </c>
      <c r="U1326" s="48" t="s">
        <v>92</v>
      </c>
      <c r="V1326" s="2"/>
      <c r="W1326" s="2"/>
      <c r="X1326" s="2"/>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row>
    <row r="1327" spans="2:47" ht="14.25" customHeight="1" x14ac:dyDescent="0.3">
      <c r="B1327" s="3"/>
      <c r="Q1327" s="1"/>
      <c r="R1327" s="1"/>
      <c r="S1327" s="2"/>
      <c r="T1327" s="2">
        <v>1213</v>
      </c>
      <c r="U1327" s="48" t="s">
        <v>92</v>
      </c>
      <c r="V1327" s="2"/>
      <c r="W1327" s="2"/>
      <c r="X1327" s="2"/>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row>
    <row r="1328" spans="2:47" ht="14.25" customHeight="1" x14ac:dyDescent="0.3">
      <c r="B1328" s="3"/>
      <c r="Q1328" s="1"/>
      <c r="R1328" s="1"/>
      <c r="S1328" s="2"/>
      <c r="T1328" s="2">
        <v>1214</v>
      </c>
      <c r="U1328" s="48" t="s">
        <v>92</v>
      </c>
      <c r="V1328" s="2"/>
      <c r="W1328" s="2"/>
      <c r="X1328" s="2"/>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row>
    <row r="1329" spans="2:47" ht="14.25" customHeight="1" x14ac:dyDescent="0.3">
      <c r="B1329" s="3"/>
      <c r="Q1329" s="1"/>
      <c r="R1329" s="1"/>
      <c r="S1329" s="2"/>
      <c r="T1329" s="2">
        <v>1215</v>
      </c>
      <c r="U1329" s="48" t="s">
        <v>92</v>
      </c>
      <c r="V1329" s="2"/>
      <c r="W1329" s="2"/>
      <c r="X1329" s="2"/>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row>
    <row r="1330" spans="2:47" ht="14.25" customHeight="1" x14ac:dyDescent="0.3">
      <c r="B1330" s="3"/>
      <c r="Q1330" s="1"/>
      <c r="R1330" s="1"/>
      <c r="S1330" s="2"/>
      <c r="T1330" s="2">
        <v>1216</v>
      </c>
      <c r="U1330" s="48" t="s">
        <v>92</v>
      </c>
      <c r="V1330" s="2"/>
      <c r="W1330" s="2"/>
      <c r="X1330" s="2"/>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row>
    <row r="1331" spans="2:47" ht="14.25" customHeight="1" x14ac:dyDescent="0.3">
      <c r="B1331" s="3"/>
      <c r="Q1331" s="1"/>
      <c r="R1331" s="1"/>
      <c r="S1331" s="2"/>
      <c r="T1331" s="2">
        <v>1217</v>
      </c>
      <c r="U1331" s="48" t="s">
        <v>92</v>
      </c>
      <c r="V1331" s="2"/>
      <c r="W1331" s="2"/>
      <c r="X1331" s="2"/>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row>
    <row r="1332" spans="2:47" ht="14.25" customHeight="1" x14ac:dyDescent="0.3">
      <c r="B1332" s="3"/>
      <c r="Q1332" s="1"/>
      <c r="R1332" s="1"/>
      <c r="S1332" s="2"/>
      <c r="T1332" s="2">
        <v>1218</v>
      </c>
      <c r="U1332" s="48" t="s">
        <v>92</v>
      </c>
      <c r="V1332" s="2"/>
      <c r="W1332" s="2"/>
      <c r="X1332" s="2"/>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row>
    <row r="1333" spans="2:47" ht="14.25" customHeight="1" x14ac:dyDescent="0.3">
      <c r="B1333" s="3"/>
      <c r="Q1333" s="1"/>
      <c r="R1333" s="1"/>
      <c r="S1333" s="2"/>
      <c r="T1333" s="2">
        <v>1219</v>
      </c>
      <c r="U1333" s="48" t="s">
        <v>92</v>
      </c>
      <c r="V1333" s="2"/>
      <c r="W1333" s="2"/>
      <c r="X1333" s="2"/>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row>
    <row r="1334" spans="2:47" ht="14.25" customHeight="1" x14ac:dyDescent="0.3">
      <c r="B1334" s="3"/>
      <c r="Q1334" s="1"/>
      <c r="R1334" s="1"/>
      <c r="S1334" s="2"/>
      <c r="T1334" s="2">
        <v>1220</v>
      </c>
      <c r="U1334" s="48" t="s">
        <v>92</v>
      </c>
      <c r="V1334" s="2"/>
      <c r="W1334" s="2"/>
      <c r="X1334" s="2"/>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row>
    <row r="1335" spans="2:47" ht="14.25" customHeight="1" x14ac:dyDescent="0.3">
      <c r="B1335" s="3"/>
      <c r="Q1335" s="1"/>
      <c r="R1335" s="1"/>
      <c r="S1335" s="2"/>
      <c r="T1335" s="2">
        <v>1221</v>
      </c>
      <c r="U1335" s="48" t="s">
        <v>92</v>
      </c>
      <c r="V1335" s="2"/>
      <c r="W1335" s="2"/>
      <c r="X1335" s="2"/>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row>
    <row r="1336" spans="2:47" ht="14.25" customHeight="1" x14ac:dyDescent="0.3">
      <c r="B1336" s="3"/>
      <c r="Q1336" s="1"/>
      <c r="R1336" s="1"/>
      <c r="S1336" s="2"/>
      <c r="T1336" s="2">
        <v>1222</v>
      </c>
      <c r="U1336" s="48" t="s">
        <v>92</v>
      </c>
      <c r="V1336" s="2"/>
      <c r="W1336" s="2"/>
      <c r="X1336" s="2"/>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row>
    <row r="1337" spans="2:47" ht="14.25" customHeight="1" x14ac:dyDescent="0.3">
      <c r="B1337" s="3"/>
      <c r="Q1337" s="1"/>
      <c r="R1337" s="1"/>
      <c r="S1337" s="2"/>
      <c r="T1337" s="2">
        <v>1223</v>
      </c>
      <c r="U1337" s="48" t="s">
        <v>92</v>
      </c>
      <c r="V1337" s="2"/>
      <c r="W1337" s="2"/>
      <c r="X1337" s="2"/>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row>
    <row r="1338" spans="2:47" ht="14.25" customHeight="1" x14ac:dyDescent="0.3">
      <c r="B1338" s="3"/>
      <c r="Q1338" s="1"/>
      <c r="R1338" s="1"/>
      <c r="S1338" s="2"/>
      <c r="T1338" s="2">
        <v>1224</v>
      </c>
      <c r="U1338" s="48" t="s">
        <v>92</v>
      </c>
      <c r="V1338" s="2"/>
      <c r="W1338" s="2"/>
      <c r="X1338" s="2"/>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row>
    <row r="1339" spans="2:47" ht="14.25" customHeight="1" x14ac:dyDescent="0.3">
      <c r="B1339" s="3"/>
      <c r="Q1339" s="1"/>
      <c r="R1339" s="1"/>
      <c r="S1339" s="2"/>
      <c r="T1339" s="2">
        <v>1225</v>
      </c>
      <c r="U1339" s="48" t="s">
        <v>92</v>
      </c>
      <c r="V1339" s="2"/>
      <c r="W1339" s="2"/>
      <c r="X1339" s="2"/>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row>
    <row r="1340" spans="2:47" ht="14.25" customHeight="1" x14ac:dyDescent="0.3">
      <c r="B1340" s="3"/>
      <c r="Q1340" s="1"/>
      <c r="R1340" s="1"/>
      <c r="S1340" s="2"/>
      <c r="T1340" s="2">
        <v>1226</v>
      </c>
      <c r="U1340" s="48" t="s">
        <v>92</v>
      </c>
      <c r="V1340" s="2"/>
      <c r="W1340" s="2"/>
      <c r="X1340" s="2"/>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row>
    <row r="1341" spans="2:47" ht="14.25" customHeight="1" x14ac:dyDescent="0.3">
      <c r="B1341" s="3"/>
      <c r="Q1341" s="1"/>
      <c r="R1341" s="1"/>
      <c r="S1341" s="2"/>
      <c r="T1341" s="2">
        <v>1227</v>
      </c>
      <c r="U1341" s="48" t="s">
        <v>92</v>
      </c>
      <c r="V1341" s="2"/>
      <c r="W1341" s="2"/>
      <c r="X1341" s="2"/>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row>
    <row r="1342" spans="2:47" ht="14.25" customHeight="1" x14ac:dyDescent="0.3">
      <c r="B1342" s="3"/>
      <c r="Q1342" s="1"/>
      <c r="R1342" s="1"/>
      <c r="S1342" s="2"/>
      <c r="T1342" s="2">
        <v>1228</v>
      </c>
      <c r="U1342" s="48" t="s">
        <v>92</v>
      </c>
      <c r="V1342" s="2"/>
      <c r="W1342" s="2"/>
      <c r="X1342" s="2"/>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row>
    <row r="1343" spans="2:47" ht="14.25" customHeight="1" x14ac:dyDescent="0.3">
      <c r="B1343" s="3"/>
      <c r="Q1343" s="1"/>
      <c r="R1343" s="1"/>
      <c r="S1343" s="2"/>
      <c r="T1343" s="2">
        <v>1229</v>
      </c>
      <c r="U1343" s="48" t="s">
        <v>92</v>
      </c>
      <c r="V1343" s="2"/>
      <c r="W1343" s="2"/>
      <c r="X1343" s="2"/>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row>
    <row r="1344" spans="2:47" ht="14.25" customHeight="1" x14ac:dyDescent="0.3">
      <c r="B1344" s="3"/>
      <c r="Q1344" s="1"/>
      <c r="R1344" s="1"/>
      <c r="S1344" s="2"/>
      <c r="T1344" s="2">
        <v>1230</v>
      </c>
      <c r="U1344" s="48" t="s">
        <v>92</v>
      </c>
      <c r="V1344" s="2"/>
      <c r="W1344" s="2"/>
      <c r="X1344" s="2"/>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row>
    <row r="1345" spans="2:47" ht="14.25" customHeight="1" x14ac:dyDescent="0.3">
      <c r="B1345" s="3"/>
      <c r="Q1345" s="1"/>
      <c r="R1345" s="1"/>
      <c r="S1345" s="2"/>
      <c r="T1345" s="2">
        <v>1231</v>
      </c>
      <c r="U1345" s="48" t="s">
        <v>92</v>
      </c>
      <c r="V1345" s="2"/>
      <c r="W1345" s="2"/>
      <c r="X1345" s="2"/>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row>
    <row r="1346" spans="2:47" ht="14.25" customHeight="1" x14ac:dyDescent="0.3">
      <c r="B1346" s="3"/>
      <c r="Q1346" s="1"/>
      <c r="R1346" s="1"/>
      <c r="S1346" s="2"/>
      <c r="T1346" s="2">
        <v>1232</v>
      </c>
      <c r="U1346" s="48" t="s">
        <v>92</v>
      </c>
      <c r="V1346" s="2"/>
      <c r="W1346" s="2"/>
      <c r="X1346" s="2"/>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row>
    <row r="1347" spans="2:47" ht="14.25" customHeight="1" x14ac:dyDescent="0.3">
      <c r="B1347" s="3"/>
      <c r="Q1347" s="1"/>
      <c r="R1347" s="1"/>
      <c r="S1347" s="2"/>
      <c r="T1347" s="2">
        <v>1233</v>
      </c>
      <c r="U1347" s="48" t="s">
        <v>92</v>
      </c>
      <c r="V1347" s="2"/>
      <c r="W1347" s="2"/>
      <c r="X1347" s="2"/>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row>
    <row r="1348" spans="2:47" ht="14.25" customHeight="1" x14ac:dyDescent="0.3">
      <c r="B1348" s="3"/>
      <c r="Q1348" s="1"/>
      <c r="R1348" s="1"/>
      <c r="S1348" s="2"/>
      <c r="T1348" s="2">
        <v>1234</v>
      </c>
      <c r="U1348" s="48" t="s">
        <v>92</v>
      </c>
      <c r="V1348" s="2"/>
      <c r="W1348" s="2"/>
      <c r="X1348" s="2"/>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row>
    <row r="1349" spans="2:47" ht="14.25" customHeight="1" x14ac:dyDescent="0.3">
      <c r="B1349" s="3"/>
      <c r="Q1349" s="1"/>
      <c r="R1349" s="1"/>
      <c r="S1349" s="2"/>
      <c r="T1349" s="2">
        <v>1235</v>
      </c>
      <c r="U1349" s="48" t="s">
        <v>92</v>
      </c>
      <c r="V1349" s="2"/>
      <c r="W1349" s="2"/>
      <c r="X1349" s="2"/>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row>
    <row r="1350" spans="2:47" ht="14.25" customHeight="1" x14ac:dyDescent="0.3">
      <c r="B1350" s="3"/>
      <c r="Q1350" s="1"/>
      <c r="R1350" s="1"/>
      <c r="S1350" s="2"/>
      <c r="T1350" s="2">
        <v>1236</v>
      </c>
      <c r="U1350" s="48" t="s">
        <v>92</v>
      </c>
      <c r="V1350" s="2"/>
      <c r="W1350" s="2"/>
      <c r="X1350" s="2"/>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row>
    <row r="1351" spans="2:47" ht="14.25" customHeight="1" x14ac:dyDescent="0.3">
      <c r="B1351" s="3"/>
      <c r="Q1351" s="1"/>
      <c r="R1351" s="1"/>
      <c r="S1351" s="2"/>
      <c r="T1351" s="2">
        <v>1237</v>
      </c>
      <c r="U1351" s="48" t="s">
        <v>92</v>
      </c>
      <c r="V1351" s="2"/>
      <c r="W1351" s="2"/>
      <c r="X1351" s="2"/>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row>
    <row r="1352" spans="2:47" ht="14.25" customHeight="1" x14ac:dyDescent="0.3">
      <c r="B1352" s="3"/>
      <c r="Q1352" s="1"/>
      <c r="R1352" s="1"/>
      <c r="S1352" s="2"/>
      <c r="T1352" s="2">
        <v>1238</v>
      </c>
      <c r="U1352" s="48" t="s">
        <v>92</v>
      </c>
      <c r="V1352" s="2"/>
      <c r="W1352" s="2"/>
      <c r="X1352" s="2"/>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row>
    <row r="1353" spans="2:47" ht="14.25" customHeight="1" x14ac:dyDescent="0.3">
      <c r="B1353" s="3"/>
      <c r="Q1353" s="1"/>
      <c r="R1353" s="1"/>
      <c r="S1353" s="2"/>
      <c r="T1353" s="2">
        <v>1239</v>
      </c>
      <c r="U1353" s="48" t="s">
        <v>92</v>
      </c>
      <c r="V1353" s="2"/>
      <c r="W1353" s="2"/>
      <c r="X1353" s="2"/>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row>
    <row r="1354" spans="2:47" ht="14.25" customHeight="1" x14ac:dyDescent="0.3">
      <c r="B1354" s="3"/>
      <c r="Q1354" s="1"/>
      <c r="R1354" s="1"/>
      <c r="S1354" s="2"/>
      <c r="T1354" s="2">
        <v>1240</v>
      </c>
      <c r="U1354" s="48" t="s">
        <v>92</v>
      </c>
      <c r="V1354" s="2"/>
      <c r="W1354" s="2"/>
      <c r="X1354" s="2"/>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row>
    <row r="1355" spans="2:47" ht="14.25" customHeight="1" x14ac:dyDescent="0.3">
      <c r="B1355" s="3"/>
      <c r="Q1355" s="1"/>
      <c r="R1355" s="1"/>
      <c r="S1355" s="2"/>
      <c r="T1355" s="2">
        <v>1241</v>
      </c>
      <c r="U1355" s="48" t="s">
        <v>92</v>
      </c>
      <c r="V1355" s="2"/>
      <c r="W1355" s="2"/>
      <c r="X1355" s="2"/>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row>
    <row r="1356" spans="2:47" ht="14.25" customHeight="1" x14ac:dyDescent="0.3">
      <c r="B1356" s="3"/>
      <c r="Q1356" s="1"/>
      <c r="R1356" s="1"/>
      <c r="S1356" s="2"/>
      <c r="T1356" s="2">
        <v>1242</v>
      </c>
      <c r="U1356" s="48" t="s">
        <v>92</v>
      </c>
      <c r="V1356" s="2"/>
      <c r="W1356" s="2"/>
      <c r="X1356" s="2"/>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row>
    <row r="1357" spans="2:47" ht="14.25" customHeight="1" x14ac:dyDescent="0.3">
      <c r="B1357" s="3"/>
      <c r="Q1357" s="1"/>
      <c r="R1357" s="1"/>
      <c r="S1357" s="2"/>
      <c r="T1357" s="2">
        <v>1243</v>
      </c>
      <c r="U1357" s="48" t="s">
        <v>92</v>
      </c>
      <c r="V1357" s="2"/>
      <c r="W1357" s="2"/>
      <c r="X1357" s="2"/>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row>
    <row r="1358" spans="2:47" ht="14.25" customHeight="1" x14ac:dyDescent="0.3">
      <c r="B1358" s="3"/>
      <c r="Q1358" s="1"/>
      <c r="R1358" s="1"/>
      <c r="S1358" s="2"/>
      <c r="T1358" s="2">
        <v>1244</v>
      </c>
      <c r="U1358" s="48" t="s">
        <v>92</v>
      </c>
      <c r="V1358" s="2"/>
      <c r="W1358" s="2"/>
      <c r="X1358" s="2"/>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row>
    <row r="1359" spans="2:47" ht="14.25" customHeight="1" x14ac:dyDescent="0.3">
      <c r="B1359" s="3"/>
      <c r="Q1359" s="1"/>
      <c r="R1359" s="1"/>
      <c r="S1359" s="2"/>
      <c r="T1359" s="2">
        <v>1245</v>
      </c>
      <c r="U1359" s="48" t="s">
        <v>92</v>
      </c>
      <c r="V1359" s="2"/>
      <c r="W1359" s="2"/>
      <c r="X1359" s="2"/>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row>
    <row r="1360" spans="2:47" ht="14.25" customHeight="1" x14ac:dyDescent="0.3">
      <c r="B1360" s="3"/>
      <c r="Q1360" s="1"/>
      <c r="R1360" s="1"/>
      <c r="S1360" s="2"/>
      <c r="T1360" s="2">
        <v>1246</v>
      </c>
      <c r="U1360" s="48" t="s">
        <v>92</v>
      </c>
      <c r="V1360" s="2"/>
      <c r="W1360" s="2"/>
      <c r="X1360" s="2"/>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row>
    <row r="1361" spans="2:47" ht="14.25" customHeight="1" x14ac:dyDescent="0.3">
      <c r="B1361" s="3"/>
      <c r="Q1361" s="1"/>
      <c r="R1361" s="1"/>
      <c r="S1361" s="2"/>
      <c r="T1361" s="2">
        <v>1247</v>
      </c>
      <c r="U1361" s="48" t="s">
        <v>92</v>
      </c>
      <c r="V1361" s="2"/>
      <c r="W1361" s="2"/>
      <c r="X1361" s="2"/>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row>
    <row r="1362" spans="2:47" ht="14.25" customHeight="1" x14ac:dyDescent="0.3">
      <c r="B1362" s="3"/>
      <c r="Q1362" s="1"/>
      <c r="R1362" s="1"/>
      <c r="S1362" s="2"/>
      <c r="T1362" s="2">
        <v>1248</v>
      </c>
      <c r="U1362" s="48" t="s">
        <v>92</v>
      </c>
      <c r="V1362" s="2"/>
      <c r="W1362" s="2"/>
      <c r="X1362" s="2"/>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row>
    <row r="1363" spans="2:47" ht="14.25" customHeight="1" x14ac:dyDescent="0.3">
      <c r="B1363" s="3"/>
      <c r="Q1363" s="1"/>
      <c r="R1363" s="1"/>
      <c r="S1363" s="2"/>
      <c r="T1363" s="2">
        <v>1249</v>
      </c>
      <c r="U1363" s="48" t="s">
        <v>92</v>
      </c>
      <c r="V1363" s="2"/>
      <c r="W1363" s="2"/>
      <c r="X1363" s="2"/>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row>
    <row r="1364" spans="2:47" ht="14.25" customHeight="1" x14ac:dyDescent="0.3">
      <c r="B1364" s="3"/>
      <c r="Q1364" s="1"/>
      <c r="R1364" s="1"/>
      <c r="S1364" s="2"/>
      <c r="T1364" s="2">
        <v>1250</v>
      </c>
      <c r="U1364" s="48" t="s">
        <v>92</v>
      </c>
      <c r="V1364" s="2"/>
      <c r="W1364" s="2"/>
      <c r="X1364" s="2"/>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row>
    <row r="1365" spans="2:47" ht="14.25" customHeight="1" x14ac:dyDescent="0.3">
      <c r="B1365" s="3"/>
      <c r="Q1365" s="1"/>
      <c r="R1365" s="1"/>
      <c r="S1365" s="2"/>
      <c r="T1365" s="2">
        <v>1251</v>
      </c>
      <c r="U1365" s="48" t="s">
        <v>92</v>
      </c>
      <c r="V1365" s="2"/>
      <c r="W1365" s="2"/>
      <c r="X1365" s="2"/>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row>
    <row r="1366" spans="2:47" ht="14.25" customHeight="1" x14ac:dyDescent="0.3">
      <c r="B1366" s="3"/>
      <c r="Q1366" s="1"/>
      <c r="R1366" s="1"/>
      <c r="S1366" s="2"/>
      <c r="T1366" s="2">
        <v>1252</v>
      </c>
      <c r="U1366" s="48" t="s">
        <v>92</v>
      </c>
      <c r="V1366" s="2"/>
      <c r="W1366" s="2"/>
      <c r="X1366" s="2"/>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row>
    <row r="1367" spans="2:47" ht="14.25" customHeight="1" x14ac:dyDescent="0.3">
      <c r="B1367" s="3"/>
      <c r="Q1367" s="1"/>
      <c r="R1367" s="1"/>
      <c r="S1367" s="2"/>
      <c r="T1367" s="2">
        <v>1253</v>
      </c>
      <c r="U1367" s="48" t="s">
        <v>92</v>
      </c>
      <c r="V1367" s="2"/>
      <c r="W1367" s="2"/>
      <c r="X1367" s="2"/>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row>
    <row r="1368" spans="2:47" ht="14.25" customHeight="1" x14ac:dyDescent="0.3">
      <c r="B1368" s="3"/>
      <c r="Q1368" s="1"/>
      <c r="R1368" s="1"/>
      <c r="S1368" s="2"/>
      <c r="T1368" s="2">
        <v>1254</v>
      </c>
      <c r="U1368" s="48" t="s">
        <v>92</v>
      </c>
      <c r="V1368" s="2"/>
      <c r="W1368" s="2"/>
      <c r="X1368" s="2"/>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row>
    <row r="1369" spans="2:47" ht="14.25" customHeight="1" x14ac:dyDescent="0.3">
      <c r="B1369" s="3"/>
      <c r="Q1369" s="1"/>
      <c r="R1369" s="1"/>
      <c r="S1369" s="2"/>
      <c r="T1369" s="2">
        <v>1255</v>
      </c>
      <c r="U1369" s="48" t="s">
        <v>92</v>
      </c>
      <c r="V1369" s="2"/>
      <c r="W1369" s="2"/>
      <c r="X1369" s="2"/>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row>
    <row r="1370" spans="2:47" ht="14.25" customHeight="1" x14ac:dyDescent="0.3">
      <c r="B1370" s="3"/>
      <c r="Q1370" s="1"/>
      <c r="R1370" s="1"/>
      <c r="S1370" s="2"/>
      <c r="T1370" s="2">
        <v>1256</v>
      </c>
      <c r="U1370" s="48" t="s">
        <v>92</v>
      </c>
      <c r="V1370" s="2"/>
      <c r="W1370" s="2"/>
      <c r="X1370" s="2"/>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row>
    <row r="1371" spans="2:47" ht="14.25" customHeight="1" x14ac:dyDescent="0.3">
      <c r="B1371" s="3"/>
      <c r="Q1371" s="1"/>
      <c r="R1371" s="1"/>
      <c r="S1371" s="2"/>
      <c r="T1371" s="2">
        <v>1257</v>
      </c>
      <c r="U1371" s="48" t="s">
        <v>92</v>
      </c>
      <c r="V1371" s="2"/>
      <c r="W1371" s="2"/>
      <c r="X1371" s="2"/>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row>
    <row r="1372" spans="2:47" ht="14.25" customHeight="1" x14ac:dyDescent="0.3">
      <c r="B1372" s="3"/>
      <c r="Q1372" s="1"/>
      <c r="R1372" s="1"/>
      <c r="S1372" s="2"/>
      <c r="T1372" s="2">
        <v>1258</v>
      </c>
      <c r="U1372" s="48" t="s">
        <v>92</v>
      </c>
      <c r="V1372" s="2"/>
      <c r="W1372" s="2"/>
      <c r="X1372" s="2"/>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row>
    <row r="1373" spans="2:47" ht="14.25" customHeight="1" x14ac:dyDescent="0.3">
      <c r="B1373" s="3"/>
      <c r="Q1373" s="1"/>
      <c r="R1373" s="1"/>
      <c r="S1373" s="2"/>
      <c r="T1373" s="2">
        <v>1259</v>
      </c>
      <c r="U1373" s="48" t="s">
        <v>92</v>
      </c>
      <c r="V1373" s="2"/>
      <c r="W1373" s="2"/>
      <c r="X1373" s="2"/>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row>
    <row r="1374" spans="2:47" ht="14.25" customHeight="1" x14ac:dyDescent="0.3">
      <c r="B1374" s="3"/>
      <c r="Q1374" s="1"/>
      <c r="R1374" s="1"/>
      <c r="S1374" s="2"/>
      <c r="T1374" s="2">
        <v>1260</v>
      </c>
      <c r="U1374" s="48" t="s">
        <v>92</v>
      </c>
      <c r="V1374" s="2"/>
      <c r="W1374" s="2"/>
      <c r="X1374" s="2"/>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row>
    <row r="1375" spans="2:47" ht="14.25" customHeight="1" x14ac:dyDescent="0.3">
      <c r="B1375" s="3"/>
      <c r="Q1375" s="1"/>
      <c r="R1375" s="1"/>
      <c r="S1375" s="2"/>
      <c r="T1375" s="2">
        <v>1261</v>
      </c>
      <c r="U1375" s="48" t="s">
        <v>92</v>
      </c>
      <c r="V1375" s="2"/>
      <c r="W1375" s="2"/>
      <c r="X1375" s="2"/>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row>
    <row r="1376" spans="2:47" ht="14.25" customHeight="1" x14ac:dyDescent="0.3">
      <c r="B1376" s="3"/>
      <c r="Q1376" s="1"/>
      <c r="R1376" s="1"/>
      <c r="S1376" s="2"/>
      <c r="T1376" s="2">
        <v>1262</v>
      </c>
      <c r="U1376" s="48" t="s">
        <v>92</v>
      </c>
      <c r="V1376" s="2"/>
      <c r="W1376" s="2"/>
      <c r="X1376" s="2"/>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row>
    <row r="1377" spans="2:47" ht="14.25" customHeight="1" x14ac:dyDescent="0.3">
      <c r="B1377" s="3"/>
      <c r="Q1377" s="1"/>
      <c r="R1377" s="1"/>
      <c r="S1377" s="2"/>
      <c r="T1377" s="2">
        <v>1263</v>
      </c>
      <c r="U1377" s="48" t="s">
        <v>92</v>
      </c>
      <c r="V1377" s="2"/>
      <c r="W1377" s="2"/>
      <c r="X1377" s="2"/>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row>
    <row r="1378" spans="2:47" ht="14.25" customHeight="1" x14ac:dyDescent="0.3">
      <c r="B1378" s="3"/>
      <c r="Q1378" s="1"/>
      <c r="R1378" s="1"/>
      <c r="S1378" s="2"/>
      <c r="T1378" s="2">
        <v>1264</v>
      </c>
      <c r="U1378" s="48" t="s">
        <v>92</v>
      </c>
      <c r="V1378" s="2"/>
      <c r="W1378" s="2"/>
      <c r="X1378" s="2"/>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row>
    <row r="1379" spans="2:47" ht="14.25" customHeight="1" x14ac:dyDescent="0.3">
      <c r="B1379" s="3"/>
      <c r="Q1379" s="1"/>
      <c r="R1379" s="1"/>
      <c r="S1379" s="2"/>
      <c r="T1379" s="2">
        <v>1265</v>
      </c>
      <c r="U1379" s="48" t="s">
        <v>92</v>
      </c>
      <c r="V1379" s="2"/>
      <c r="W1379" s="2"/>
      <c r="X1379" s="2"/>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row>
    <row r="1380" spans="2:47" ht="14.25" customHeight="1" x14ac:dyDescent="0.3">
      <c r="B1380" s="3"/>
      <c r="Q1380" s="1"/>
      <c r="R1380" s="1"/>
      <c r="S1380" s="2"/>
      <c r="T1380" s="2">
        <v>1266</v>
      </c>
      <c r="U1380" s="48" t="s">
        <v>92</v>
      </c>
      <c r="V1380" s="2"/>
      <c r="W1380" s="2"/>
      <c r="X1380" s="2"/>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row>
    <row r="1381" spans="2:47" ht="14.25" customHeight="1" x14ac:dyDescent="0.3">
      <c r="B1381" s="3"/>
      <c r="Q1381" s="1"/>
      <c r="R1381" s="1"/>
      <c r="S1381" s="2"/>
      <c r="T1381" s="2">
        <v>1267</v>
      </c>
      <c r="U1381" s="48" t="s">
        <v>92</v>
      </c>
      <c r="V1381" s="2"/>
      <c r="W1381" s="2"/>
      <c r="X1381" s="2"/>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row>
    <row r="1382" spans="2:47" ht="14.25" customHeight="1" x14ac:dyDescent="0.3">
      <c r="B1382" s="3"/>
      <c r="Q1382" s="1"/>
      <c r="R1382" s="1"/>
      <c r="S1382" s="2"/>
      <c r="T1382" s="2">
        <v>1268</v>
      </c>
      <c r="U1382" s="48" t="s">
        <v>92</v>
      </c>
      <c r="V1382" s="2"/>
      <c r="W1382" s="2"/>
      <c r="X1382" s="2"/>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row>
    <row r="1383" spans="2:47" ht="14.25" customHeight="1" x14ac:dyDescent="0.3">
      <c r="B1383" s="3"/>
      <c r="Q1383" s="1"/>
      <c r="R1383" s="1"/>
      <c r="S1383" s="2"/>
      <c r="T1383" s="2">
        <v>1269</v>
      </c>
      <c r="U1383" s="48" t="s">
        <v>92</v>
      </c>
      <c r="V1383" s="2"/>
      <c r="W1383" s="2"/>
      <c r="X1383" s="2"/>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row>
    <row r="1384" spans="2:47" ht="14.25" customHeight="1" x14ac:dyDescent="0.3">
      <c r="B1384" s="3"/>
      <c r="Q1384" s="1"/>
      <c r="R1384" s="1"/>
      <c r="S1384" s="2"/>
      <c r="T1384" s="2">
        <v>1270</v>
      </c>
      <c r="U1384" s="48" t="s">
        <v>92</v>
      </c>
      <c r="V1384" s="2"/>
      <c r="W1384" s="2"/>
      <c r="X1384" s="2"/>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row>
    <row r="1385" spans="2:47" ht="14.25" customHeight="1" x14ac:dyDescent="0.3">
      <c r="B1385" s="3"/>
      <c r="Q1385" s="1"/>
      <c r="R1385" s="1"/>
      <c r="S1385" s="2"/>
      <c r="T1385" s="2">
        <v>1271</v>
      </c>
      <c r="U1385" s="48" t="s">
        <v>92</v>
      </c>
      <c r="V1385" s="2"/>
      <c r="W1385" s="2"/>
      <c r="X1385" s="2"/>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row>
    <row r="1386" spans="2:47" ht="14.25" customHeight="1" x14ac:dyDescent="0.3">
      <c r="B1386" s="3"/>
      <c r="Q1386" s="1"/>
      <c r="R1386" s="1"/>
      <c r="S1386" s="2"/>
      <c r="T1386" s="2">
        <v>1272</v>
      </c>
      <c r="U1386" s="48" t="s">
        <v>92</v>
      </c>
      <c r="V1386" s="2"/>
      <c r="W1386" s="2"/>
      <c r="X1386" s="2"/>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row>
    <row r="1387" spans="2:47" ht="14.25" customHeight="1" x14ac:dyDescent="0.3">
      <c r="B1387" s="3"/>
      <c r="Q1387" s="1"/>
      <c r="R1387" s="1"/>
      <c r="S1387" s="2"/>
      <c r="T1387" s="2">
        <v>1273</v>
      </c>
      <c r="U1387" s="48" t="s">
        <v>92</v>
      </c>
      <c r="V1387" s="2"/>
      <c r="W1387" s="2"/>
      <c r="X1387" s="2"/>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row>
    <row r="1388" spans="2:47" ht="14.25" customHeight="1" x14ac:dyDescent="0.3">
      <c r="B1388" s="3"/>
      <c r="Q1388" s="1"/>
      <c r="R1388" s="1"/>
      <c r="S1388" s="2"/>
      <c r="T1388" s="2">
        <v>1274</v>
      </c>
      <c r="U1388" s="48" t="s">
        <v>92</v>
      </c>
      <c r="V1388" s="2"/>
      <c r="W1388" s="2"/>
      <c r="X1388" s="2"/>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row>
    <row r="1389" spans="2:47" ht="14.25" customHeight="1" x14ac:dyDescent="0.3">
      <c r="B1389" s="3"/>
      <c r="Q1389" s="1"/>
      <c r="R1389" s="1"/>
      <c r="S1389" s="2"/>
      <c r="T1389" s="2">
        <v>1275</v>
      </c>
      <c r="U1389" s="48" t="s">
        <v>92</v>
      </c>
      <c r="V1389" s="2"/>
      <c r="W1389" s="2"/>
      <c r="X1389" s="2"/>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row>
    <row r="1390" spans="2:47" ht="14.25" customHeight="1" x14ac:dyDescent="0.3">
      <c r="B1390" s="3"/>
      <c r="Q1390" s="1"/>
      <c r="R1390" s="1"/>
      <c r="S1390" s="2"/>
      <c r="T1390" s="2">
        <v>1276</v>
      </c>
      <c r="U1390" s="48" t="s">
        <v>92</v>
      </c>
      <c r="V1390" s="2"/>
      <c r="W1390" s="2"/>
      <c r="X1390" s="2"/>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row>
    <row r="1391" spans="2:47" ht="14.25" customHeight="1" x14ac:dyDescent="0.3">
      <c r="B1391" s="3"/>
      <c r="Q1391" s="1"/>
      <c r="R1391" s="1"/>
      <c r="S1391" s="2"/>
      <c r="T1391" s="2">
        <v>1277</v>
      </c>
      <c r="U1391" s="48" t="s">
        <v>92</v>
      </c>
      <c r="V1391" s="2"/>
      <c r="W1391" s="2"/>
      <c r="X1391" s="2"/>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row>
    <row r="1392" spans="2:47" ht="14.25" customHeight="1" x14ac:dyDescent="0.3">
      <c r="B1392" s="3"/>
      <c r="Q1392" s="1"/>
      <c r="R1392" s="1"/>
      <c r="S1392" s="2"/>
      <c r="T1392" s="2">
        <v>1278</v>
      </c>
      <c r="U1392" s="48" t="s">
        <v>92</v>
      </c>
      <c r="V1392" s="2"/>
      <c r="W1392" s="2"/>
      <c r="X1392" s="2"/>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row>
    <row r="1393" spans="2:47" ht="14.25" customHeight="1" x14ac:dyDescent="0.3">
      <c r="B1393" s="3"/>
      <c r="Q1393" s="1"/>
      <c r="R1393" s="1"/>
      <c r="S1393" s="2"/>
      <c r="T1393" s="2">
        <v>1279</v>
      </c>
      <c r="U1393" s="48" t="s">
        <v>92</v>
      </c>
      <c r="V1393" s="2"/>
      <c r="W1393" s="2"/>
      <c r="X1393" s="2"/>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row>
    <row r="1394" spans="2:47" ht="14.25" customHeight="1" x14ac:dyDescent="0.3">
      <c r="B1394" s="3"/>
      <c r="Q1394" s="1"/>
      <c r="R1394" s="1"/>
      <c r="S1394" s="2"/>
      <c r="T1394" s="2">
        <v>1280</v>
      </c>
      <c r="U1394" s="48" t="s">
        <v>92</v>
      </c>
      <c r="V1394" s="2"/>
      <c r="W1394" s="2"/>
      <c r="X1394" s="2"/>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row>
    <row r="1395" spans="2:47" ht="14.25" customHeight="1" x14ac:dyDescent="0.3">
      <c r="B1395" s="3"/>
      <c r="Q1395" s="1"/>
      <c r="R1395" s="1"/>
      <c r="S1395" s="2"/>
      <c r="T1395" s="2">
        <v>1281</v>
      </c>
      <c r="U1395" s="48" t="s">
        <v>92</v>
      </c>
      <c r="V1395" s="2"/>
      <c r="W1395" s="2"/>
      <c r="X1395" s="2"/>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row>
    <row r="1396" spans="2:47" ht="14.25" customHeight="1" x14ac:dyDescent="0.3">
      <c r="B1396" s="3"/>
      <c r="Q1396" s="1"/>
      <c r="R1396" s="1"/>
      <c r="S1396" s="2"/>
      <c r="T1396" s="2">
        <v>1282</v>
      </c>
      <c r="U1396" s="48" t="s">
        <v>92</v>
      </c>
      <c r="V1396" s="2"/>
      <c r="W1396" s="2"/>
      <c r="X1396" s="2"/>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row>
    <row r="1397" spans="2:47" ht="14.25" customHeight="1" x14ac:dyDescent="0.3">
      <c r="B1397" s="3"/>
      <c r="Q1397" s="1"/>
      <c r="R1397" s="1"/>
      <c r="S1397" s="2"/>
      <c r="T1397" s="2">
        <v>1283</v>
      </c>
      <c r="U1397" s="48" t="s">
        <v>92</v>
      </c>
      <c r="V1397" s="2"/>
      <c r="W1397" s="2"/>
      <c r="X1397" s="2"/>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row>
    <row r="1398" spans="2:47" ht="14.25" customHeight="1" x14ac:dyDescent="0.3">
      <c r="B1398" s="3"/>
      <c r="Q1398" s="1"/>
      <c r="R1398" s="1"/>
      <c r="S1398" s="2"/>
      <c r="T1398" s="2">
        <v>1284</v>
      </c>
      <c r="U1398" s="48" t="s">
        <v>92</v>
      </c>
      <c r="V1398" s="2"/>
      <c r="W1398" s="2"/>
      <c r="X1398" s="2"/>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row>
    <row r="1399" spans="2:47" ht="14.25" customHeight="1" x14ac:dyDescent="0.3">
      <c r="B1399" s="3"/>
      <c r="Q1399" s="1"/>
      <c r="R1399" s="1"/>
      <c r="S1399" s="2"/>
      <c r="T1399" s="2">
        <v>1285</v>
      </c>
      <c r="U1399" s="48" t="s">
        <v>92</v>
      </c>
      <c r="V1399" s="2"/>
      <c r="W1399" s="2"/>
      <c r="X1399" s="2"/>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row>
    <row r="1400" spans="2:47" ht="14.25" customHeight="1" x14ac:dyDescent="0.3">
      <c r="B1400" s="3"/>
      <c r="Q1400" s="1"/>
      <c r="R1400" s="1"/>
      <c r="S1400" s="2"/>
      <c r="T1400" s="2">
        <v>1286</v>
      </c>
      <c r="U1400" s="48" t="s">
        <v>92</v>
      </c>
      <c r="V1400" s="2"/>
      <c r="W1400" s="2"/>
      <c r="X1400" s="2"/>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row>
    <row r="1401" spans="2:47" ht="14.25" customHeight="1" x14ac:dyDescent="0.3">
      <c r="B1401" s="3"/>
      <c r="Q1401" s="1"/>
      <c r="R1401" s="1"/>
      <c r="S1401" s="2"/>
      <c r="T1401" s="2">
        <v>1287</v>
      </c>
      <c r="U1401" s="48" t="s">
        <v>92</v>
      </c>
      <c r="V1401" s="2"/>
      <c r="W1401" s="2"/>
      <c r="X1401" s="2"/>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row>
    <row r="1402" spans="2:47" ht="14.25" customHeight="1" x14ac:dyDescent="0.3">
      <c r="B1402" s="3"/>
      <c r="Q1402" s="1"/>
      <c r="R1402" s="1"/>
      <c r="S1402" s="2"/>
      <c r="T1402" s="2">
        <v>1288</v>
      </c>
      <c r="U1402" s="48" t="s">
        <v>92</v>
      </c>
      <c r="V1402" s="2"/>
      <c r="W1402" s="2"/>
      <c r="X1402" s="2"/>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row>
    <row r="1403" spans="2:47" ht="14.25" customHeight="1" x14ac:dyDescent="0.3">
      <c r="B1403" s="3"/>
      <c r="Q1403" s="1"/>
      <c r="R1403" s="1"/>
      <c r="S1403" s="2"/>
      <c r="T1403" s="2">
        <v>1289</v>
      </c>
      <c r="U1403" s="48" t="s">
        <v>92</v>
      </c>
      <c r="V1403" s="2"/>
      <c r="W1403" s="2"/>
      <c r="X1403" s="2"/>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row>
    <row r="1404" spans="2:47" ht="14.25" customHeight="1" x14ac:dyDescent="0.3">
      <c r="B1404" s="3"/>
      <c r="Q1404" s="1"/>
      <c r="R1404" s="1"/>
      <c r="S1404" s="2"/>
      <c r="T1404" s="2">
        <v>1290</v>
      </c>
      <c r="U1404" s="48" t="s">
        <v>92</v>
      </c>
      <c r="V1404" s="2"/>
      <c r="W1404" s="2"/>
      <c r="X1404" s="2"/>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row>
    <row r="1405" spans="2:47" ht="14.25" customHeight="1" x14ac:dyDescent="0.3">
      <c r="B1405" s="3"/>
      <c r="Q1405" s="1"/>
      <c r="R1405" s="1"/>
      <c r="S1405" s="2"/>
      <c r="T1405" s="2">
        <v>1291</v>
      </c>
      <c r="U1405" s="48" t="s">
        <v>92</v>
      </c>
      <c r="V1405" s="2"/>
      <c r="W1405" s="2"/>
      <c r="X1405" s="2"/>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row>
    <row r="1406" spans="2:47" ht="14.25" customHeight="1" x14ac:dyDescent="0.3">
      <c r="B1406" s="3"/>
      <c r="Q1406" s="1"/>
      <c r="R1406" s="1"/>
      <c r="S1406" s="2"/>
      <c r="T1406" s="2">
        <v>1292</v>
      </c>
      <c r="U1406" s="48" t="s">
        <v>92</v>
      </c>
      <c r="V1406" s="2"/>
      <c r="W1406" s="2"/>
      <c r="X1406" s="2"/>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row>
    <row r="1407" spans="2:47" ht="14.25" customHeight="1" x14ac:dyDescent="0.3">
      <c r="B1407" s="3"/>
      <c r="Q1407" s="1"/>
      <c r="R1407" s="1"/>
      <c r="S1407" s="2"/>
      <c r="T1407" s="2">
        <v>1293</v>
      </c>
      <c r="U1407" s="48" t="s">
        <v>92</v>
      </c>
      <c r="V1407" s="2"/>
      <c r="W1407" s="2"/>
      <c r="X1407" s="2"/>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row>
    <row r="1408" spans="2:47" ht="14.25" customHeight="1" x14ac:dyDescent="0.3">
      <c r="B1408" s="3"/>
      <c r="Q1408" s="1"/>
      <c r="R1408" s="1"/>
      <c r="S1408" s="2"/>
      <c r="T1408" s="2">
        <v>1294</v>
      </c>
      <c r="U1408" s="48" t="s">
        <v>92</v>
      </c>
      <c r="V1408" s="2"/>
      <c r="W1408" s="2"/>
      <c r="X1408" s="2"/>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row>
    <row r="1409" spans="2:47" ht="14.25" customHeight="1" x14ac:dyDescent="0.3">
      <c r="B1409" s="3"/>
      <c r="Q1409" s="1"/>
      <c r="R1409" s="1"/>
      <c r="S1409" s="2"/>
      <c r="T1409" s="2">
        <v>1295</v>
      </c>
      <c r="U1409" s="48" t="s">
        <v>92</v>
      </c>
      <c r="V1409" s="2"/>
      <c r="W1409" s="2"/>
      <c r="X1409" s="2"/>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row>
    <row r="1410" spans="2:47" ht="14.25" customHeight="1" x14ac:dyDescent="0.3">
      <c r="B1410" s="3"/>
      <c r="Q1410" s="1"/>
      <c r="R1410" s="1"/>
      <c r="S1410" s="2"/>
      <c r="T1410" s="2">
        <v>1296</v>
      </c>
      <c r="U1410" s="48" t="s">
        <v>92</v>
      </c>
      <c r="V1410" s="2"/>
      <c r="W1410" s="2"/>
      <c r="X1410" s="2"/>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row>
    <row r="1411" spans="2:47" ht="14.25" customHeight="1" x14ac:dyDescent="0.3">
      <c r="B1411" s="3"/>
      <c r="Q1411" s="1"/>
      <c r="R1411" s="1"/>
      <c r="S1411" s="2"/>
      <c r="T1411" s="2">
        <v>1297</v>
      </c>
      <c r="U1411" s="48" t="s">
        <v>92</v>
      </c>
      <c r="V1411" s="2"/>
      <c r="W1411" s="2"/>
      <c r="X1411" s="2"/>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row>
    <row r="1412" spans="2:47" ht="14.25" customHeight="1" x14ac:dyDescent="0.3">
      <c r="B1412" s="3"/>
      <c r="Q1412" s="1"/>
      <c r="R1412" s="1"/>
      <c r="S1412" s="2"/>
      <c r="T1412" s="2">
        <v>1298</v>
      </c>
      <c r="U1412" s="48" t="s">
        <v>92</v>
      </c>
      <c r="V1412" s="2"/>
      <c r="W1412" s="2"/>
      <c r="X1412" s="2"/>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row>
    <row r="1413" spans="2:47" ht="14.25" customHeight="1" x14ac:dyDescent="0.3">
      <c r="B1413" s="3"/>
      <c r="Q1413" s="1"/>
      <c r="R1413" s="1"/>
      <c r="S1413" s="2"/>
      <c r="T1413" s="2">
        <v>1299</v>
      </c>
      <c r="U1413" s="48" t="s">
        <v>92</v>
      </c>
      <c r="V1413" s="2"/>
      <c r="W1413" s="2"/>
      <c r="X1413" s="2"/>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row>
    <row r="1414" spans="2:47" ht="14.25" customHeight="1" x14ac:dyDescent="0.3">
      <c r="B1414" s="3"/>
      <c r="Q1414" s="1"/>
      <c r="R1414" s="1"/>
      <c r="S1414" s="2"/>
      <c r="T1414" s="2">
        <v>1300</v>
      </c>
      <c r="U1414" s="48" t="s">
        <v>92</v>
      </c>
      <c r="V1414" s="2"/>
      <c r="W1414" s="2"/>
      <c r="X1414" s="2"/>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row>
    <row r="1415" spans="2:47" ht="14.25" customHeight="1" x14ac:dyDescent="0.3">
      <c r="B1415" s="3"/>
      <c r="Q1415" s="1"/>
      <c r="R1415" s="1"/>
      <c r="S1415" s="2"/>
      <c r="T1415" s="2">
        <v>1301</v>
      </c>
      <c r="U1415" s="48" t="s">
        <v>92</v>
      </c>
      <c r="V1415" s="2"/>
      <c r="W1415" s="2"/>
      <c r="X1415" s="2"/>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row>
    <row r="1416" spans="2:47" ht="14.25" customHeight="1" x14ac:dyDescent="0.3">
      <c r="B1416" s="3"/>
      <c r="Q1416" s="1"/>
      <c r="R1416" s="1"/>
      <c r="S1416" s="2"/>
      <c r="T1416" s="2">
        <v>1302</v>
      </c>
      <c r="U1416" s="48" t="s">
        <v>92</v>
      </c>
      <c r="V1416" s="2"/>
      <c r="W1416" s="2"/>
      <c r="X1416" s="2"/>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row>
    <row r="1417" spans="2:47" ht="14.25" customHeight="1" x14ac:dyDescent="0.3">
      <c r="B1417" s="3"/>
      <c r="Q1417" s="1"/>
      <c r="R1417" s="1"/>
      <c r="S1417" s="2"/>
      <c r="T1417" s="2">
        <v>1303</v>
      </c>
      <c r="U1417" s="48" t="s">
        <v>92</v>
      </c>
      <c r="V1417" s="2"/>
      <c r="W1417" s="2"/>
      <c r="X1417" s="2"/>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row>
    <row r="1418" spans="2:47" ht="14.25" customHeight="1" x14ac:dyDescent="0.3">
      <c r="B1418" s="3"/>
      <c r="Q1418" s="1"/>
      <c r="R1418" s="1"/>
      <c r="S1418" s="2"/>
      <c r="T1418" s="2">
        <v>1304</v>
      </c>
      <c r="U1418" s="48" t="s">
        <v>92</v>
      </c>
      <c r="V1418" s="2"/>
      <c r="W1418" s="2"/>
      <c r="X1418" s="2"/>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row>
    <row r="1419" spans="2:47" ht="14.25" customHeight="1" x14ac:dyDescent="0.3">
      <c r="B1419" s="3"/>
      <c r="Q1419" s="1"/>
      <c r="R1419" s="1"/>
      <c r="S1419" s="2"/>
      <c r="T1419" s="2">
        <v>1305</v>
      </c>
      <c r="U1419" s="48" t="s">
        <v>92</v>
      </c>
      <c r="V1419" s="2"/>
      <c r="W1419" s="2"/>
      <c r="X1419" s="2"/>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row>
    <row r="1420" spans="2:47" ht="14.25" customHeight="1" x14ac:dyDescent="0.3">
      <c r="B1420" s="3"/>
      <c r="Q1420" s="1"/>
      <c r="R1420" s="1"/>
      <c r="S1420" s="2"/>
      <c r="T1420" s="2">
        <v>1306</v>
      </c>
      <c r="U1420" s="48" t="s">
        <v>92</v>
      </c>
      <c r="V1420" s="2"/>
      <c r="W1420" s="2"/>
      <c r="X1420" s="2"/>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row>
    <row r="1421" spans="2:47" ht="14.25" customHeight="1" x14ac:dyDescent="0.3">
      <c r="B1421" s="3"/>
      <c r="Q1421" s="1"/>
      <c r="R1421" s="1"/>
      <c r="S1421" s="2"/>
      <c r="T1421" s="2">
        <v>1307</v>
      </c>
      <c r="U1421" s="48" t="s">
        <v>92</v>
      </c>
      <c r="V1421" s="2"/>
      <c r="W1421" s="2"/>
      <c r="X1421" s="2"/>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row>
    <row r="1422" spans="2:47" ht="14.25" customHeight="1" x14ac:dyDescent="0.3">
      <c r="B1422" s="3"/>
      <c r="Q1422" s="1"/>
      <c r="R1422" s="1"/>
      <c r="S1422" s="2"/>
      <c r="T1422" s="2">
        <v>1308</v>
      </c>
      <c r="U1422" s="48" t="s">
        <v>92</v>
      </c>
      <c r="V1422" s="2"/>
      <c r="W1422" s="2"/>
      <c r="X1422" s="2"/>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row>
    <row r="1423" spans="2:47" ht="14.25" customHeight="1" x14ac:dyDescent="0.3">
      <c r="B1423" s="3"/>
      <c r="Q1423" s="1"/>
      <c r="R1423" s="1"/>
      <c r="S1423" s="2"/>
      <c r="T1423" s="2">
        <v>1309</v>
      </c>
      <c r="U1423" s="48" t="s">
        <v>92</v>
      </c>
      <c r="V1423" s="2"/>
      <c r="W1423" s="2"/>
      <c r="X1423" s="2"/>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row>
    <row r="1424" spans="2:47" ht="14.25" customHeight="1" x14ac:dyDescent="0.3">
      <c r="B1424" s="3"/>
      <c r="Q1424" s="1"/>
      <c r="R1424" s="1"/>
      <c r="S1424" s="2"/>
      <c r="T1424" s="2">
        <v>1310</v>
      </c>
      <c r="U1424" s="48" t="s">
        <v>92</v>
      </c>
      <c r="V1424" s="2"/>
      <c r="W1424" s="2"/>
      <c r="X1424" s="2"/>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row>
    <row r="1425" spans="2:47" ht="14.25" customHeight="1" x14ac:dyDescent="0.3">
      <c r="B1425" s="3"/>
      <c r="Q1425" s="1"/>
      <c r="R1425" s="1"/>
      <c r="S1425" s="2"/>
      <c r="T1425" s="2">
        <v>1311</v>
      </c>
      <c r="U1425" s="48" t="s">
        <v>92</v>
      </c>
      <c r="V1425" s="2"/>
      <c r="W1425" s="2"/>
      <c r="X1425" s="2"/>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row>
    <row r="1426" spans="2:47" ht="14.25" customHeight="1" x14ac:dyDescent="0.3">
      <c r="B1426" s="3"/>
      <c r="Q1426" s="1"/>
      <c r="R1426" s="1"/>
      <c r="S1426" s="2"/>
      <c r="T1426" s="2">
        <v>1312</v>
      </c>
      <c r="U1426" s="48" t="s">
        <v>92</v>
      </c>
      <c r="V1426" s="2"/>
      <c r="W1426" s="2"/>
      <c r="X1426" s="2"/>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row>
    <row r="1427" spans="2:47" ht="14.25" customHeight="1" x14ac:dyDescent="0.3">
      <c r="B1427" s="3"/>
      <c r="Q1427" s="1"/>
      <c r="R1427" s="1"/>
      <c r="S1427" s="2"/>
      <c r="T1427" s="2">
        <v>1313</v>
      </c>
      <c r="U1427" s="48" t="s">
        <v>92</v>
      </c>
      <c r="V1427" s="2"/>
      <c r="W1427" s="2"/>
      <c r="X1427" s="2"/>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row>
    <row r="1428" spans="2:47" ht="14.25" customHeight="1" x14ac:dyDescent="0.3">
      <c r="B1428" s="3"/>
      <c r="Q1428" s="1"/>
      <c r="R1428" s="1"/>
      <c r="S1428" s="2"/>
      <c r="T1428" s="2">
        <v>1314</v>
      </c>
      <c r="U1428" s="48" t="s">
        <v>92</v>
      </c>
      <c r="V1428" s="2"/>
      <c r="W1428" s="2"/>
      <c r="X1428" s="2"/>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row>
    <row r="1429" spans="2:47" ht="14.25" customHeight="1" x14ac:dyDescent="0.3">
      <c r="B1429" s="3"/>
      <c r="Q1429" s="1"/>
      <c r="R1429" s="1"/>
      <c r="S1429" s="2"/>
      <c r="T1429" s="2">
        <v>1315</v>
      </c>
      <c r="U1429" s="48" t="s">
        <v>92</v>
      </c>
      <c r="V1429" s="2"/>
      <c r="W1429" s="2"/>
      <c r="X1429" s="2"/>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row>
    <row r="1430" spans="2:47" ht="14.25" customHeight="1" x14ac:dyDescent="0.3">
      <c r="B1430" s="3"/>
      <c r="Q1430" s="1"/>
      <c r="R1430" s="1"/>
      <c r="S1430" s="2"/>
      <c r="T1430" s="2">
        <v>1316</v>
      </c>
      <c r="U1430" s="48" t="s">
        <v>92</v>
      </c>
      <c r="V1430" s="2"/>
      <c r="W1430" s="2"/>
      <c r="X1430" s="2"/>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row>
    <row r="1431" spans="2:47" ht="14.25" customHeight="1" x14ac:dyDescent="0.3">
      <c r="B1431" s="3"/>
      <c r="Q1431" s="1"/>
      <c r="R1431" s="1"/>
      <c r="S1431" s="2"/>
      <c r="T1431" s="2">
        <v>1317</v>
      </c>
      <c r="U1431" s="48" t="s">
        <v>92</v>
      </c>
      <c r="V1431" s="2"/>
      <c r="W1431" s="2"/>
      <c r="X1431" s="2"/>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row>
    <row r="1432" spans="2:47" ht="14.25" customHeight="1" x14ac:dyDescent="0.3">
      <c r="B1432" s="3"/>
      <c r="Q1432" s="1"/>
      <c r="R1432" s="1"/>
      <c r="S1432" s="2"/>
      <c r="T1432" s="2">
        <v>1318</v>
      </c>
      <c r="U1432" s="48" t="s">
        <v>92</v>
      </c>
      <c r="V1432" s="2"/>
      <c r="W1432" s="2"/>
      <c r="X1432" s="2"/>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row>
    <row r="1433" spans="2:47" ht="14.25" customHeight="1" x14ac:dyDescent="0.3">
      <c r="B1433" s="3"/>
      <c r="Q1433" s="1"/>
      <c r="R1433" s="1"/>
      <c r="S1433" s="2"/>
      <c r="T1433" s="2">
        <v>1319</v>
      </c>
      <c r="U1433" s="48" t="s">
        <v>92</v>
      </c>
      <c r="V1433" s="2"/>
      <c r="W1433" s="2"/>
      <c r="X1433" s="2"/>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row>
    <row r="1434" spans="2:47" ht="14.25" customHeight="1" x14ac:dyDescent="0.3">
      <c r="B1434" s="3"/>
      <c r="Q1434" s="1"/>
      <c r="R1434" s="1"/>
      <c r="S1434" s="2"/>
      <c r="T1434" s="2">
        <v>1320</v>
      </c>
      <c r="U1434" s="48" t="s">
        <v>92</v>
      </c>
      <c r="V1434" s="2"/>
      <c r="W1434" s="2"/>
      <c r="X1434" s="2"/>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row>
    <row r="1435" spans="2:47" ht="14.25" customHeight="1" x14ac:dyDescent="0.3">
      <c r="B1435" s="3"/>
      <c r="Q1435" s="1"/>
      <c r="R1435" s="1"/>
      <c r="S1435" s="2"/>
      <c r="T1435" s="2">
        <v>1321</v>
      </c>
      <c r="U1435" s="48" t="s">
        <v>92</v>
      </c>
      <c r="V1435" s="2"/>
      <c r="W1435" s="2"/>
      <c r="X1435" s="2"/>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row>
    <row r="1436" spans="2:47" ht="14.25" customHeight="1" x14ac:dyDescent="0.3">
      <c r="B1436" s="3"/>
      <c r="Q1436" s="1"/>
      <c r="R1436" s="1"/>
      <c r="S1436" s="2"/>
      <c r="T1436" s="2">
        <v>1322</v>
      </c>
      <c r="U1436" s="48" t="s">
        <v>92</v>
      </c>
      <c r="V1436" s="2"/>
      <c r="W1436" s="2"/>
      <c r="X1436" s="2"/>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row>
    <row r="1437" spans="2:47" ht="14.25" customHeight="1" x14ac:dyDescent="0.3">
      <c r="B1437" s="3"/>
      <c r="Q1437" s="1"/>
      <c r="R1437" s="1"/>
      <c r="S1437" s="2"/>
      <c r="T1437" s="2">
        <v>1323</v>
      </c>
      <c r="U1437" s="48" t="s">
        <v>92</v>
      </c>
      <c r="V1437" s="2"/>
      <c r="W1437" s="2"/>
      <c r="X1437" s="2"/>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row>
    <row r="1438" spans="2:47" ht="14.25" customHeight="1" x14ac:dyDescent="0.3">
      <c r="B1438" s="3"/>
      <c r="Q1438" s="1"/>
      <c r="R1438" s="1"/>
      <c r="S1438" s="2"/>
      <c r="T1438" s="2">
        <v>1324</v>
      </c>
      <c r="U1438" s="48" t="s">
        <v>92</v>
      </c>
      <c r="V1438" s="2"/>
      <c r="W1438" s="2"/>
      <c r="X1438" s="2"/>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row>
    <row r="1439" spans="2:47" ht="14.25" customHeight="1" x14ac:dyDescent="0.3">
      <c r="B1439" s="3"/>
      <c r="Q1439" s="1"/>
      <c r="R1439" s="1"/>
      <c r="S1439" s="2"/>
      <c r="T1439" s="2">
        <v>1325</v>
      </c>
      <c r="U1439" s="48" t="s">
        <v>92</v>
      </c>
      <c r="V1439" s="2"/>
      <c r="W1439" s="2"/>
      <c r="X1439" s="2"/>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row>
    <row r="1440" spans="2:47" ht="14.25" customHeight="1" x14ac:dyDescent="0.3">
      <c r="B1440" s="3"/>
      <c r="Q1440" s="1"/>
      <c r="R1440" s="1"/>
      <c r="S1440" s="2"/>
      <c r="T1440" s="2">
        <v>1326</v>
      </c>
      <c r="U1440" s="48" t="s">
        <v>92</v>
      </c>
      <c r="V1440" s="2"/>
      <c r="W1440" s="2"/>
      <c r="X1440" s="2"/>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row>
    <row r="1441" spans="2:47" ht="14.25" customHeight="1" x14ac:dyDescent="0.3">
      <c r="B1441" s="3"/>
      <c r="Q1441" s="1"/>
      <c r="R1441" s="1"/>
      <c r="S1441" s="2"/>
      <c r="T1441" s="2">
        <v>1327</v>
      </c>
      <c r="U1441" s="48" t="s">
        <v>92</v>
      </c>
      <c r="V1441" s="2"/>
      <c r="W1441" s="2"/>
      <c r="X1441" s="2"/>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row>
    <row r="1442" spans="2:47" ht="14.25" customHeight="1" x14ac:dyDescent="0.3">
      <c r="B1442" s="3"/>
      <c r="Q1442" s="1"/>
      <c r="R1442" s="1"/>
      <c r="S1442" s="2"/>
      <c r="T1442" s="2">
        <v>1328</v>
      </c>
      <c r="U1442" s="48" t="s">
        <v>92</v>
      </c>
      <c r="V1442" s="2"/>
      <c r="W1442" s="2"/>
      <c r="X1442" s="2"/>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row>
    <row r="1443" spans="2:47" ht="14.25" customHeight="1" x14ac:dyDescent="0.3">
      <c r="B1443" s="3"/>
      <c r="Q1443" s="1"/>
      <c r="R1443" s="1"/>
      <c r="S1443" s="2"/>
      <c r="T1443" s="2">
        <v>1329</v>
      </c>
      <c r="U1443" s="48" t="s">
        <v>92</v>
      </c>
      <c r="V1443" s="2"/>
      <c r="W1443" s="2"/>
      <c r="X1443" s="2"/>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row>
    <row r="1444" spans="2:47" ht="14.25" customHeight="1" x14ac:dyDescent="0.3">
      <c r="B1444" s="3"/>
      <c r="Q1444" s="1"/>
      <c r="R1444" s="1"/>
      <c r="S1444" s="2"/>
      <c r="T1444" s="2">
        <v>1330</v>
      </c>
      <c r="U1444" s="48" t="s">
        <v>92</v>
      </c>
      <c r="V1444" s="2"/>
      <c r="W1444" s="2"/>
      <c r="X1444" s="2"/>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row>
    <row r="1445" spans="2:47" ht="14.25" customHeight="1" x14ac:dyDescent="0.3">
      <c r="B1445" s="3"/>
      <c r="Q1445" s="1"/>
      <c r="R1445" s="1"/>
      <c r="S1445" s="2"/>
      <c r="T1445" s="2">
        <v>1331</v>
      </c>
      <c r="U1445" s="48" t="s">
        <v>92</v>
      </c>
      <c r="V1445" s="2"/>
      <c r="W1445" s="2"/>
      <c r="X1445" s="2"/>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row>
    <row r="1446" spans="2:47" ht="14.25" customHeight="1" x14ac:dyDescent="0.3">
      <c r="B1446" s="3"/>
      <c r="Q1446" s="1"/>
      <c r="R1446" s="1"/>
      <c r="S1446" s="2"/>
      <c r="T1446" s="2">
        <v>1332</v>
      </c>
      <c r="U1446" s="48" t="s">
        <v>92</v>
      </c>
      <c r="V1446" s="2"/>
      <c r="W1446" s="2"/>
      <c r="X1446" s="2"/>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row>
    <row r="1447" spans="2:47" ht="14.25" customHeight="1" x14ac:dyDescent="0.3">
      <c r="B1447" s="3"/>
      <c r="Q1447" s="1"/>
      <c r="R1447" s="1"/>
      <c r="S1447" s="2"/>
      <c r="T1447" s="2">
        <v>1333</v>
      </c>
      <c r="U1447" s="48" t="s">
        <v>92</v>
      </c>
      <c r="V1447" s="2"/>
      <c r="W1447" s="2"/>
      <c r="X1447" s="2"/>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row>
    <row r="1448" spans="2:47" ht="14.25" customHeight="1" x14ac:dyDescent="0.3">
      <c r="B1448" s="3"/>
      <c r="Q1448" s="1"/>
      <c r="R1448" s="1"/>
      <c r="S1448" s="2"/>
      <c r="T1448" s="2">
        <v>1334</v>
      </c>
      <c r="U1448" s="48" t="s">
        <v>92</v>
      </c>
      <c r="V1448" s="2"/>
      <c r="W1448" s="2"/>
      <c r="X1448" s="2"/>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row>
    <row r="1449" spans="2:47" ht="14.25" customHeight="1" x14ac:dyDescent="0.3">
      <c r="B1449" s="3"/>
      <c r="Q1449" s="1"/>
      <c r="R1449" s="1"/>
      <c r="S1449" s="2"/>
      <c r="T1449" s="2">
        <v>1335</v>
      </c>
      <c r="U1449" s="48" t="s">
        <v>92</v>
      </c>
      <c r="V1449" s="2"/>
      <c r="W1449" s="2"/>
      <c r="X1449" s="2"/>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row>
    <row r="1450" spans="2:47" ht="14.25" customHeight="1" x14ac:dyDescent="0.3">
      <c r="B1450" s="3"/>
      <c r="Q1450" s="1"/>
      <c r="R1450" s="1"/>
      <c r="S1450" s="2"/>
      <c r="T1450" s="2">
        <v>1336</v>
      </c>
      <c r="U1450" s="48" t="s">
        <v>92</v>
      </c>
      <c r="V1450" s="2"/>
      <c r="W1450" s="2"/>
      <c r="X1450" s="2"/>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row>
    <row r="1451" spans="2:47" ht="14.25" customHeight="1" x14ac:dyDescent="0.3">
      <c r="B1451" s="3"/>
      <c r="Q1451" s="1"/>
      <c r="R1451" s="1"/>
      <c r="S1451" s="2"/>
      <c r="T1451" s="2">
        <v>1337</v>
      </c>
      <c r="U1451" s="48" t="s">
        <v>92</v>
      </c>
      <c r="V1451" s="2"/>
      <c r="W1451" s="2"/>
      <c r="X1451" s="2"/>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row>
    <row r="1452" spans="2:47" ht="14.25" customHeight="1" x14ac:dyDescent="0.3">
      <c r="B1452" s="3"/>
      <c r="Q1452" s="1"/>
      <c r="R1452" s="1"/>
      <c r="S1452" s="2"/>
      <c r="T1452" s="2">
        <v>1338</v>
      </c>
      <c r="U1452" s="48" t="s">
        <v>92</v>
      </c>
      <c r="V1452" s="2"/>
      <c r="W1452" s="2"/>
      <c r="X1452" s="2"/>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row>
    <row r="1453" spans="2:47" ht="14.25" customHeight="1" x14ac:dyDescent="0.3">
      <c r="B1453" s="3"/>
      <c r="Q1453" s="1"/>
      <c r="R1453" s="1"/>
      <c r="S1453" s="2"/>
      <c r="T1453" s="2">
        <v>1339</v>
      </c>
      <c r="U1453" s="48" t="s">
        <v>92</v>
      </c>
      <c r="V1453" s="2"/>
      <c r="W1453" s="2"/>
      <c r="X1453" s="2"/>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row>
    <row r="1454" spans="2:47" ht="14.25" customHeight="1" x14ac:dyDescent="0.3">
      <c r="B1454" s="3"/>
      <c r="Q1454" s="1"/>
      <c r="R1454" s="1"/>
      <c r="S1454" s="2"/>
      <c r="T1454" s="2">
        <v>1340</v>
      </c>
      <c r="U1454" s="48" t="s">
        <v>92</v>
      </c>
      <c r="V1454" s="2"/>
      <c r="W1454" s="2"/>
      <c r="X1454" s="2"/>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row>
    <row r="1455" spans="2:47" ht="14.25" customHeight="1" x14ac:dyDescent="0.3">
      <c r="B1455" s="3"/>
      <c r="Q1455" s="1"/>
      <c r="R1455" s="1"/>
      <c r="S1455" s="2"/>
      <c r="T1455" s="2">
        <v>1341</v>
      </c>
      <c r="U1455" s="48" t="s">
        <v>92</v>
      </c>
      <c r="V1455" s="2"/>
      <c r="W1455" s="2"/>
      <c r="X1455" s="2"/>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row>
    <row r="1456" spans="2:47" ht="14.25" customHeight="1" x14ac:dyDescent="0.3">
      <c r="B1456" s="3"/>
      <c r="Q1456" s="1"/>
      <c r="R1456" s="1"/>
      <c r="S1456" s="2"/>
      <c r="T1456" s="2">
        <v>1342</v>
      </c>
      <c r="U1456" s="48" t="s">
        <v>92</v>
      </c>
      <c r="V1456" s="2"/>
      <c r="W1456" s="2"/>
      <c r="X1456" s="2"/>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row>
    <row r="1457" spans="2:47" ht="14.25" customHeight="1" x14ac:dyDescent="0.3">
      <c r="B1457" s="3"/>
      <c r="Q1457" s="1"/>
      <c r="R1457" s="1"/>
      <c r="S1457" s="2"/>
      <c r="T1457" s="2">
        <v>1343</v>
      </c>
      <c r="U1457" s="48" t="s">
        <v>92</v>
      </c>
      <c r="V1457" s="2"/>
      <c r="W1457" s="2"/>
      <c r="X1457" s="2"/>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row>
    <row r="1458" spans="2:47" ht="14.25" customHeight="1" x14ac:dyDescent="0.3">
      <c r="B1458" s="3"/>
      <c r="Q1458" s="1"/>
      <c r="R1458" s="1"/>
      <c r="S1458" s="2"/>
      <c r="T1458" s="2">
        <v>1344</v>
      </c>
      <c r="U1458" s="48" t="s">
        <v>92</v>
      </c>
      <c r="V1458" s="2"/>
      <c r="W1458" s="2"/>
      <c r="X1458" s="2"/>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row>
    <row r="1459" spans="2:47" ht="14.25" customHeight="1" x14ac:dyDescent="0.3">
      <c r="B1459" s="3"/>
      <c r="Q1459" s="1"/>
      <c r="R1459" s="1"/>
      <c r="S1459" s="2"/>
      <c r="T1459" s="2">
        <v>1345</v>
      </c>
      <c r="U1459" s="48" t="s">
        <v>92</v>
      </c>
      <c r="V1459" s="2"/>
      <c r="W1459" s="2"/>
      <c r="X1459" s="2"/>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row>
    <row r="1460" spans="2:47" ht="14.25" customHeight="1" x14ac:dyDescent="0.3">
      <c r="B1460" s="3"/>
      <c r="Q1460" s="1"/>
      <c r="R1460" s="1"/>
      <c r="S1460" s="2"/>
      <c r="T1460" s="2">
        <v>1346</v>
      </c>
      <c r="U1460" s="48" t="s">
        <v>92</v>
      </c>
      <c r="V1460" s="2"/>
      <c r="W1460" s="2"/>
      <c r="X1460" s="2"/>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row>
    <row r="1461" spans="2:47" ht="14.25" customHeight="1" x14ac:dyDescent="0.3">
      <c r="B1461" s="3"/>
      <c r="Q1461" s="1"/>
      <c r="R1461" s="1"/>
      <c r="S1461" s="2"/>
      <c r="T1461" s="2">
        <v>1347</v>
      </c>
      <c r="U1461" s="48" t="s">
        <v>92</v>
      </c>
      <c r="V1461" s="2"/>
      <c r="W1461" s="2"/>
      <c r="X1461" s="2"/>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row>
    <row r="1462" spans="2:47" ht="14.25" customHeight="1" x14ac:dyDescent="0.3">
      <c r="B1462" s="3"/>
      <c r="Q1462" s="1"/>
      <c r="R1462" s="1"/>
      <c r="S1462" s="2"/>
      <c r="T1462" s="2">
        <v>1348</v>
      </c>
      <c r="U1462" s="48" t="s">
        <v>92</v>
      </c>
      <c r="V1462" s="2"/>
      <c r="W1462" s="2"/>
      <c r="X1462" s="2"/>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row>
    <row r="1463" spans="2:47" ht="14.25" customHeight="1" x14ac:dyDescent="0.3">
      <c r="B1463" s="3"/>
      <c r="Q1463" s="1"/>
      <c r="R1463" s="1"/>
      <c r="S1463" s="2"/>
      <c r="T1463" s="2">
        <v>1349</v>
      </c>
      <c r="U1463" s="48" t="s">
        <v>92</v>
      </c>
      <c r="V1463" s="2"/>
      <c r="W1463" s="2"/>
      <c r="X1463" s="2"/>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row>
    <row r="1464" spans="2:47" ht="14.25" customHeight="1" x14ac:dyDescent="0.3">
      <c r="B1464" s="3"/>
      <c r="Q1464" s="1"/>
      <c r="R1464" s="1"/>
      <c r="S1464" s="2"/>
      <c r="T1464" s="2">
        <v>1350</v>
      </c>
      <c r="U1464" s="48" t="s">
        <v>92</v>
      </c>
      <c r="V1464" s="2"/>
      <c r="W1464" s="2"/>
      <c r="X1464" s="2"/>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row>
    <row r="1465" spans="2:47" ht="14.25" customHeight="1" x14ac:dyDescent="0.3">
      <c r="B1465" s="3"/>
      <c r="Q1465" s="1"/>
      <c r="R1465" s="1"/>
      <c r="S1465" s="2"/>
      <c r="T1465" s="2">
        <v>1351</v>
      </c>
      <c r="U1465" s="48" t="s">
        <v>92</v>
      </c>
      <c r="V1465" s="2"/>
      <c r="W1465" s="2"/>
      <c r="X1465" s="2"/>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row>
    <row r="1466" spans="2:47" ht="14.25" customHeight="1" x14ac:dyDescent="0.3">
      <c r="B1466" s="3"/>
      <c r="Q1466" s="1"/>
      <c r="R1466" s="1"/>
      <c r="S1466" s="2"/>
      <c r="T1466" s="2">
        <v>1352</v>
      </c>
      <c r="U1466" s="48" t="s">
        <v>92</v>
      </c>
      <c r="V1466" s="2"/>
      <c r="W1466" s="2"/>
      <c r="X1466" s="2"/>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row>
    <row r="1467" spans="2:47" ht="14.25" customHeight="1" x14ac:dyDescent="0.3">
      <c r="B1467" s="3"/>
      <c r="Q1467" s="1"/>
      <c r="R1467" s="1"/>
      <c r="S1467" s="2"/>
      <c r="T1467" s="2">
        <v>1353</v>
      </c>
      <c r="U1467" s="48" t="s">
        <v>92</v>
      </c>
      <c r="V1467" s="2"/>
      <c r="W1467" s="2"/>
      <c r="X1467" s="2"/>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row>
    <row r="1468" spans="2:47" ht="14.25" customHeight="1" x14ac:dyDescent="0.3">
      <c r="B1468" s="3"/>
      <c r="Q1468" s="1"/>
      <c r="R1468" s="1"/>
      <c r="S1468" s="2"/>
      <c r="T1468" s="2">
        <v>1354</v>
      </c>
      <c r="U1468" s="48" t="s">
        <v>92</v>
      </c>
      <c r="V1468" s="2"/>
      <c r="W1468" s="2"/>
      <c r="X1468" s="2"/>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row>
    <row r="1469" spans="2:47" ht="14.25" customHeight="1" x14ac:dyDescent="0.3">
      <c r="B1469" s="3"/>
      <c r="Q1469" s="1"/>
      <c r="R1469" s="1"/>
      <c r="S1469" s="2"/>
      <c r="T1469" s="2">
        <v>1355</v>
      </c>
      <c r="U1469" s="48" t="s">
        <v>92</v>
      </c>
      <c r="V1469" s="2"/>
      <c r="W1469" s="2"/>
      <c r="X1469" s="2"/>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row>
    <row r="1470" spans="2:47" ht="14.25" customHeight="1" x14ac:dyDescent="0.3">
      <c r="B1470" s="3"/>
      <c r="Q1470" s="1"/>
      <c r="R1470" s="1"/>
      <c r="S1470" s="2"/>
      <c r="T1470" s="2">
        <v>1356</v>
      </c>
      <c r="U1470" s="48" t="s">
        <v>92</v>
      </c>
      <c r="V1470" s="2"/>
      <c r="W1470" s="2"/>
      <c r="X1470" s="2"/>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row>
    <row r="1471" spans="2:47" ht="14.25" customHeight="1" x14ac:dyDescent="0.3">
      <c r="B1471" s="3"/>
      <c r="Q1471" s="1"/>
      <c r="R1471" s="1"/>
      <c r="S1471" s="2"/>
      <c r="T1471" s="2">
        <v>1357</v>
      </c>
      <c r="U1471" s="48" t="s">
        <v>92</v>
      </c>
      <c r="V1471" s="2"/>
      <c r="W1471" s="2"/>
      <c r="X1471" s="2"/>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row>
    <row r="1472" spans="2:47" ht="14.25" customHeight="1" x14ac:dyDescent="0.3">
      <c r="B1472" s="3"/>
      <c r="Q1472" s="1"/>
      <c r="R1472" s="1"/>
      <c r="S1472" s="2"/>
      <c r="T1472" s="2">
        <v>1358</v>
      </c>
      <c r="U1472" s="48" t="s">
        <v>92</v>
      </c>
      <c r="V1472" s="2"/>
      <c r="W1472" s="2"/>
      <c r="X1472" s="2"/>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row>
    <row r="1473" spans="2:47" ht="14.25" customHeight="1" x14ac:dyDescent="0.3">
      <c r="B1473" s="3"/>
      <c r="Q1473" s="1"/>
      <c r="R1473" s="1"/>
      <c r="S1473" s="2"/>
      <c r="T1473" s="2">
        <v>1359</v>
      </c>
      <c r="U1473" s="48" t="s">
        <v>92</v>
      </c>
      <c r="V1473" s="2"/>
      <c r="W1473" s="2"/>
      <c r="X1473" s="2"/>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row>
    <row r="1474" spans="2:47" ht="14.25" customHeight="1" x14ac:dyDescent="0.3">
      <c r="B1474" s="3"/>
      <c r="Q1474" s="1"/>
      <c r="R1474" s="1"/>
      <c r="S1474" s="2"/>
      <c r="T1474" s="2">
        <v>1360</v>
      </c>
      <c r="U1474" s="48" t="s">
        <v>92</v>
      </c>
      <c r="V1474" s="2"/>
      <c r="W1474" s="2"/>
      <c r="X1474" s="2"/>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row>
    <row r="1475" spans="2:47" ht="14.25" customHeight="1" x14ac:dyDescent="0.3">
      <c r="B1475" s="3"/>
      <c r="Q1475" s="1"/>
      <c r="R1475" s="1"/>
      <c r="S1475" s="2"/>
      <c r="T1475" s="2">
        <v>1361</v>
      </c>
      <c r="U1475" s="48" t="s">
        <v>92</v>
      </c>
      <c r="V1475" s="2"/>
      <c r="W1475" s="2"/>
      <c r="X1475" s="2"/>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row>
    <row r="1476" spans="2:47" ht="14.25" customHeight="1" x14ac:dyDescent="0.3">
      <c r="B1476" s="3"/>
      <c r="Q1476" s="1"/>
      <c r="R1476" s="1"/>
      <c r="S1476" s="2"/>
      <c r="T1476" s="2">
        <v>1362</v>
      </c>
      <c r="U1476" s="48" t="s">
        <v>92</v>
      </c>
      <c r="V1476" s="2"/>
      <c r="W1476" s="2"/>
      <c r="X1476" s="2"/>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row>
    <row r="1477" spans="2:47" ht="14.25" customHeight="1" x14ac:dyDescent="0.3">
      <c r="B1477" s="3"/>
      <c r="Q1477" s="1"/>
      <c r="R1477" s="1"/>
      <c r="S1477" s="2"/>
      <c r="T1477" s="2">
        <v>1363</v>
      </c>
      <c r="U1477" s="48" t="s">
        <v>92</v>
      </c>
      <c r="V1477" s="2"/>
      <c r="W1477" s="2"/>
      <c r="X1477" s="2"/>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row>
    <row r="1478" spans="2:47" ht="14.25" customHeight="1" x14ac:dyDescent="0.3">
      <c r="B1478" s="3"/>
      <c r="Q1478" s="1"/>
      <c r="R1478" s="1"/>
      <c r="S1478" s="2"/>
      <c r="T1478" s="2">
        <v>1364</v>
      </c>
      <c r="U1478" s="48" t="s">
        <v>92</v>
      </c>
      <c r="V1478" s="2"/>
      <c r="W1478" s="2"/>
      <c r="X1478" s="2"/>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row>
    <row r="1479" spans="2:47" ht="14.25" customHeight="1" x14ac:dyDescent="0.3">
      <c r="B1479" s="3"/>
      <c r="Q1479" s="1"/>
      <c r="R1479" s="1"/>
      <c r="S1479" s="2"/>
      <c r="T1479" s="2">
        <v>1365</v>
      </c>
      <c r="U1479" s="48" t="s">
        <v>92</v>
      </c>
      <c r="V1479" s="2"/>
      <c r="W1479" s="2"/>
      <c r="X1479" s="2"/>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row>
    <row r="1480" spans="2:47" ht="14.25" customHeight="1" x14ac:dyDescent="0.3">
      <c r="B1480" s="3"/>
      <c r="Q1480" s="1"/>
      <c r="R1480" s="1"/>
      <c r="S1480" s="2"/>
      <c r="T1480" s="2">
        <v>1366</v>
      </c>
      <c r="U1480" s="48" t="s">
        <v>92</v>
      </c>
      <c r="V1480" s="2"/>
      <c r="W1480" s="2"/>
      <c r="X1480" s="2"/>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row>
    <row r="1481" spans="2:47" ht="14.25" customHeight="1" x14ac:dyDescent="0.3">
      <c r="B1481" s="3"/>
      <c r="Q1481" s="1"/>
      <c r="R1481" s="1"/>
      <c r="S1481" s="2"/>
      <c r="T1481" s="2">
        <v>1367</v>
      </c>
      <c r="U1481" s="48" t="s">
        <v>92</v>
      </c>
      <c r="V1481" s="2"/>
      <c r="W1481" s="2"/>
      <c r="X1481" s="2"/>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row>
    <row r="1482" spans="2:47" ht="14.25" customHeight="1" x14ac:dyDescent="0.3">
      <c r="B1482" s="3"/>
      <c r="Q1482" s="1"/>
      <c r="R1482" s="1"/>
      <c r="S1482" s="2"/>
      <c r="T1482" s="2">
        <v>1368</v>
      </c>
      <c r="U1482" s="48" t="s">
        <v>92</v>
      </c>
      <c r="V1482" s="2"/>
      <c r="W1482" s="2"/>
      <c r="X1482" s="2"/>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row>
    <row r="1483" spans="2:47" ht="14.25" customHeight="1" x14ac:dyDescent="0.3">
      <c r="B1483" s="3"/>
      <c r="Q1483" s="1"/>
      <c r="R1483" s="1"/>
      <c r="S1483" s="2"/>
      <c r="T1483" s="2">
        <v>1369</v>
      </c>
      <c r="U1483" s="48" t="s">
        <v>92</v>
      </c>
      <c r="V1483" s="2"/>
      <c r="W1483" s="2"/>
      <c r="X1483" s="2"/>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row>
    <row r="1484" spans="2:47" ht="14.25" customHeight="1" x14ac:dyDescent="0.3">
      <c r="B1484" s="3"/>
      <c r="Q1484" s="1"/>
      <c r="R1484" s="1"/>
      <c r="S1484" s="2"/>
      <c r="T1484" s="2">
        <v>1370</v>
      </c>
      <c r="U1484" s="48" t="s">
        <v>92</v>
      </c>
      <c r="V1484" s="2"/>
      <c r="W1484" s="2"/>
      <c r="X1484" s="2"/>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row>
    <row r="1485" spans="2:47" ht="14.25" customHeight="1" x14ac:dyDescent="0.3">
      <c r="B1485" s="3"/>
      <c r="Q1485" s="1"/>
      <c r="R1485" s="1"/>
      <c r="S1485" s="2"/>
      <c r="T1485" s="2">
        <v>1371</v>
      </c>
      <c r="U1485" s="48" t="s">
        <v>92</v>
      </c>
      <c r="V1485" s="2"/>
      <c r="W1485" s="2"/>
      <c r="X1485" s="2"/>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row>
    <row r="1486" spans="2:47" ht="14.25" customHeight="1" x14ac:dyDescent="0.3">
      <c r="B1486" s="3"/>
      <c r="Q1486" s="1"/>
      <c r="R1486" s="1"/>
      <c r="S1486" s="2"/>
      <c r="T1486" s="2">
        <v>1372</v>
      </c>
      <c r="U1486" s="48" t="s">
        <v>92</v>
      </c>
      <c r="V1486" s="2"/>
      <c r="W1486" s="2"/>
      <c r="X1486" s="2"/>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row>
    <row r="1487" spans="2:47" ht="14.25" customHeight="1" x14ac:dyDescent="0.3">
      <c r="B1487" s="3"/>
      <c r="Q1487" s="1"/>
      <c r="R1487" s="1"/>
      <c r="S1487" s="2"/>
      <c r="T1487" s="2">
        <v>1373</v>
      </c>
      <c r="U1487" s="48" t="s">
        <v>92</v>
      </c>
      <c r="V1487" s="2"/>
      <c r="W1487" s="2"/>
      <c r="X1487" s="2"/>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row>
    <row r="1488" spans="2:47" ht="14.25" customHeight="1" x14ac:dyDescent="0.3">
      <c r="B1488" s="3"/>
      <c r="Q1488" s="1"/>
      <c r="R1488" s="1"/>
      <c r="S1488" s="2"/>
      <c r="T1488" s="2">
        <v>1374</v>
      </c>
      <c r="U1488" s="48" t="s">
        <v>92</v>
      </c>
      <c r="V1488" s="2"/>
      <c r="W1488" s="2"/>
      <c r="X1488" s="2"/>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row>
    <row r="1489" spans="2:47" ht="14.25" customHeight="1" x14ac:dyDescent="0.3">
      <c r="B1489" s="3"/>
      <c r="Q1489" s="1"/>
      <c r="R1489" s="1"/>
      <c r="S1489" s="2"/>
      <c r="T1489" s="2">
        <v>1375</v>
      </c>
      <c r="U1489" s="48" t="s">
        <v>92</v>
      </c>
      <c r="V1489" s="2"/>
      <c r="W1489" s="2"/>
      <c r="X1489" s="2"/>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row>
    <row r="1490" spans="2:47" ht="14.25" customHeight="1" x14ac:dyDescent="0.3">
      <c r="B1490" s="3"/>
      <c r="Q1490" s="1"/>
      <c r="R1490" s="1"/>
      <c r="S1490" s="2"/>
      <c r="T1490" s="2">
        <v>1376</v>
      </c>
      <c r="U1490" s="48" t="s">
        <v>92</v>
      </c>
      <c r="V1490" s="2"/>
      <c r="W1490" s="2"/>
      <c r="X1490" s="2"/>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row>
    <row r="1491" spans="2:47" ht="14.25" customHeight="1" x14ac:dyDescent="0.3">
      <c r="B1491" s="3"/>
      <c r="Q1491" s="1"/>
      <c r="R1491" s="1"/>
      <c r="S1491" s="2"/>
      <c r="T1491" s="2">
        <v>1377</v>
      </c>
      <c r="U1491" s="48" t="s">
        <v>92</v>
      </c>
      <c r="V1491" s="2"/>
      <c r="W1491" s="2"/>
      <c r="X1491" s="2"/>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row>
    <row r="1492" spans="2:47" ht="14.25" customHeight="1" x14ac:dyDescent="0.3">
      <c r="B1492" s="3"/>
      <c r="Q1492" s="1"/>
      <c r="R1492" s="1"/>
      <c r="S1492" s="2"/>
      <c r="T1492" s="2">
        <v>1378</v>
      </c>
      <c r="U1492" s="48" t="s">
        <v>92</v>
      </c>
      <c r="V1492" s="2"/>
      <c r="W1492" s="2"/>
      <c r="X1492" s="2"/>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row>
    <row r="1493" spans="2:47" ht="14.25" customHeight="1" x14ac:dyDescent="0.3">
      <c r="B1493" s="3"/>
      <c r="Q1493" s="1"/>
      <c r="R1493" s="1"/>
      <c r="S1493" s="2"/>
      <c r="T1493" s="2">
        <v>1379</v>
      </c>
      <c r="U1493" s="48" t="s">
        <v>92</v>
      </c>
      <c r="V1493" s="2"/>
      <c r="W1493" s="2"/>
      <c r="X1493" s="2"/>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row>
    <row r="1494" spans="2:47" ht="14.25" customHeight="1" x14ac:dyDescent="0.3">
      <c r="B1494" s="3"/>
      <c r="Q1494" s="1"/>
      <c r="R1494" s="1"/>
      <c r="S1494" s="2"/>
      <c r="T1494" s="2">
        <v>1380</v>
      </c>
      <c r="U1494" s="48" t="s">
        <v>92</v>
      </c>
      <c r="V1494" s="2"/>
      <c r="W1494" s="2"/>
      <c r="X1494" s="2"/>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row>
    <row r="1495" spans="2:47" ht="14.25" customHeight="1" x14ac:dyDescent="0.3">
      <c r="B1495" s="3"/>
      <c r="Q1495" s="1"/>
      <c r="R1495" s="1"/>
      <c r="S1495" s="2"/>
      <c r="T1495" s="2">
        <v>1381</v>
      </c>
      <c r="U1495" s="48" t="s">
        <v>92</v>
      </c>
      <c r="V1495" s="2"/>
      <c r="W1495" s="2"/>
      <c r="X1495" s="2"/>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row>
    <row r="1496" spans="2:47" ht="14.25" customHeight="1" x14ac:dyDescent="0.3">
      <c r="B1496" s="3"/>
      <c r="Q1496" s="1"/>
      <c r="R1496" s="1"/>
      <c r="S1496" s="2"/>
      <c r="T1496" s="2">
        <v>1382</v>
      </c>
      <c r="U1496" s="48" t="s">
        <v>92</v>
      </c>
      <c r="V1496" s="2"/>
      <c r="W1496" s="2"/>
      <c r="X1496" s="2"/>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row>
    <row r="1497" spans="2:47" ht="14.25" customHeight="1" x14ac:dyDescent="0.3">
      <c r="B1497" s="3"/>
      <c r="Q1497" s="1"/>
      <c r="R1497" s="1"/>
      <c r="S1497" s="2"/>
      <c r="T1497" s="2">
        <v>1383</v>
      </c>
      <c r="U1497" s="48" t="s">
        <v>92</v>
      </c>
      <c r="V1497" s="2"/>
      <c r="W1497" s="2"/>
      <c r="X1497" s="2"/>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row>
    <row r="1498" spans="2:47" ht="14.25" customHeight="1" x14ac:dyDescent="0.3">
      <c r="B1498" s="3"/>
      <c r="Q1498" s="1"/>
      <c r="R1498" s="1"/>
      <c r="S1498" s="2"/>
      <c r="T1498" s="2">
        <v>1384</v>
      </c>
      <c r="U1498" s="48" t="s">
        <v>92</v>
      </c>
      <c r="V1498" s="2"/>
      <c r="W1498" s="2"/>
      <c r="X1498" s="2"/>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row>
    <row r="1499" spans="2:47" ht="14.25" customHeight="1" x14ac:dyDescent="0.3">
      <c r="B1499" s="3"/>
      <c r="Q1499" s="1"/>
      <c r="R1499" s="1"/>
      <c r="S1499" s="2"/>
      <c r="T1499" s="2">
        <v>1385</v>
      </c>
      <c r="U1499" s="48" t="s">
        <v>92</v>
      </c>
      <c r="V1499" s="2"/>
      <c r="W1499" s="2"/>
      <c r="X1499" s="2"/>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row>
    <row r="1500" spans="2:47" ht="14.25" customHeight="1" x14ac:dyDescent="0.3">
      <c r="B1500" s="3"/>
      <c r="Q1500" s="1"/>
      <c r="R1500" s="1"/>
      <c r="S1500" s="2"/>
      <c r="T1500" s="2">
        <v>1386</v>
      </c>
      <c r="U1500" s="48" t="s">
        <v>92</v>
      </c>
      <c r="V1500" s="2"/>
      <c r="W1500" s="2"/>
      <c r="X1500" s="2"/>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row>
    <row r="1501" spans="2:47" ht="14.25" customHeight="1" x14ac:dyDescent="0.3">
      <c r="B1501" s="3"/>
      <c r="Q1501" s="1"/>
      <c r="R1501" s="1"/>
      <c r="S1501" s="2"/>
      <c r="T1501" s="2">
        <v>1387</v>
      </c>
      <c r="U1501" s="48" t="s">
        <v>92</v>
      </c>
      <c r="V1501" s="2"/>
      <c r="W1501" s="2"/>
      <c r="X1501" s="2"/>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row>
    <row r="1502" spans="2:47" ht="14.25" customHeight="1" x14ac:dyDescent="0.3">
      <c r="B1502" s="3"/>
      <c r="Q1502" s="1"/>
      <c r="R1502" s="1"/>
      <c r="S1502" s="2"/>
      <c r="T1502" s="2">
        <v>1388</v>
      </c>
      <c r="U1502" s="48" t="s">
        <v>92</v>
      </c>
      <c r="V1502" s="2"/>
      <c r="W1502" s="2"/>
      <c r="X1502" s="2"/>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row>
    <row r="1503" spans="2:47" ht="14.25" customHeight="1" x14ac:dyDescent="0.3">
      <c r="B1503" s="3"/>
      <c r="Q1503" s="1"/>
      <c r="R1503" s="1"/>
      <c r="S1503" s="2"/>
      <c r="T1503" s="2">
        <v>1389</v>
      </c>
      <c r="U1503" s="48" t="s">
        <v>92</v>
      </c>
      <c r="V1503" s="2"/>
      <c r="W1503" s="2"/>
      <c r="X1503" s="2"/>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row>
    <row r="1504" spans="2:47" ht="14.25" customHeight="1" x14ac:dyDescent="0.3">
      <c r="B1504" s="3"/>
      <c r="Q1504" s="1"/>
      <c r="R1504" s="1"/>
      <c r="S1504" s="2"/>
      <c r="T1504" s="2">
        <v>1390</v>
      </c>
      <c r="U1504" s="48" t="s">
        <v>92</v>
      </c>
      <c r="V1504" s="2"/>
      <c r="W1504" s="2"/>
      <c r="X1504" s="2"/>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row>
    <row r="1505" spans="2:47" ht="14.25" customHeight="1" x14ac:dyDescent="0.3">
      <c r="B1505" s="3"/>
      <c r="Q1505" s="1"/>
      <c r="R1505" s="1"/>
      <c r="S1505" s="2"/>
      <c r="T1505" s="2">
        <v>1391</v>
      </c>
      <c r="U1505" s="48" t="s">
        <v>92</v>
      </c>
      <c r="V1505" s="2"/>
      <c r="W1505" s="2"/>
      <c r="X1505" s="2"/>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row>
    <row r="1506" spans="2:47" ht="14.25" customHeight="1" x14ac:dyDescent="0.3">
      <c r="B1506" s="3"/>
      <c r="Q1506" s="1"/>
      <c r="R1506" s="1"/>
      <c r="S1506" s="2"/>
      <c r="T1506" s="2">
        <v>1392</v>
      </c>
      <c r="U1506" s="48" t="s">
        <v>92</v>
      </c>
      <c r="V1506" s="2"/>
      <c r="W1506" s="2"/>
      <c r="X1506" s="2"/>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row>
    <row r="1507" spans="2:47" ht="14.25" customHeight="1" x14ac:dyDescent="0.3">
      <c r="B1507" s="3"/>
      <c r="Q1507" s="1"/>
      <c r="R1507" s="1"/>
      <c r="S1507" s="2"/>
      <c r="T1507" s="2">
        <v>1393</v>
      </c>
      <c r="U1507" s="48" t="s">
        <v>92</v>
      </c>
      <c r="V1507" s="2"/>
      <c r="W1507" s="2"/>
      <c r="X1507" s="2"/>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row>
    <row r="1508" spans="2:47" ht="14.25" customHeight="1" x14ac:dyDescent="0.3">
      <c r="B1508" s="3"/>
      <c r="Q1508" s="1"/>
      <c r="R1508" s="1"/>
      <c r="S1508" s="2"/>
      <c r="T1508" s="2">
        <v>1394</v>
      </c>
      <c r="U1508" s="48" t="s">
        <v>92</v>
      </c>
      <c r="V1508" s="2"/>
      <c r="W1508" s="2"/>
      <c r="X1508" s="2"/>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row>
    <row r="1509" spans="2:47" ht="14.25" customHeight="1" x14ac:dyDescent="0.3">
      <c r="B1509" s="3"/>
      <c r="Q1509" s="1"/>
      <c r="R1509" s="1"/>
      <c r="S1509" s="2"/>
      <c r="T1509" s="2">
        <v>1395</v>
      </c>
      <c r="U1509" s="48" t="s">
        <v>92</v>
      </c>
      <c r="V1509" s="2"/>
      <c r="W1509" s="2"/>
      <c r="X1509" s="2"/>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row>
    <row r="1510" spans="2:47" ht="14.25" customHeight="1" x14ac:dyDescent="0.3">
      <c r="B1510" s="3"/>
      <c r="Q1510" s="1"/>
      <c r="R1510" s="1"/>
      <c r="S1510" s="2"/>
      <c r="T1510" s="2">
        <v>1396</v>
      </c>
      <c r="U1510" s="48" t="s">
        <v>92</v>
      </c>
      <c r="V1510" s="2"/>
      <c r="W1510" s="2"/>
      <c r="X1510" s="2"/>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row>
    <row r="1511" spans="2:47" ht="14.25" customHeight="1" x14ac:dyDescent="0.3">
      <c r="B1511" s="3"/>
      <c r="Q1511" s="1"/>
      <c r="R1511" s="1"/>
      <c r="S1511" s="2"/>
      <c r="T1511" s="2">
        <v>1397</v>
      </c>
      <c r="U1511" s="48" t="s">
        <v>92</v>
      </c>
      <c r="V1511" s="2"/>
      <c r="W1511" s="2"/>
      <c r="X1511" s="2"/>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row>
    <row r="1512" spans="2:47" ht="14.25" customHeight="1" x14ac:dyDescent="0.3">
      <c r="B1512" s="3"/>
      <c r="Q1512" s="1"/>
      <c r="R1512" s="1"/>
      <c r="S1512" s="2"/>
      <c r="T1512" s="2">
        <v>1398</v>
      </c>
      <c r="U1512" s="48" t="s">
        <v>92</v>
      </c>
      <c r="V1512" s="2"/>
      <c r="W1512" s="2"/>
      <c r="X1512" s="2"/>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row>
    <row r="1513" spans="2:47" ht="14.25" customHeight="1" x14ac:dyDescent="0.3">
      <c r="B1513" s="3"/>
      <c r="Q1513" s="1"/>
      <c r="R1513" s="1"/>
      <c r="S1513" s="2"/>
      <c r="T1513" s="2">
        <v>1399</v>
      </c>
      <c r="U1513" s="48" t="s">
        <v>92</v>
      </c>
      <c r="V1513" s="2"/>
      <c r="W1513" s="2"/>
      <c r="X1513" s="2"/>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row>
    <row r="1514" spans="2:47" ht="14.25" customHeight="1" x14ac:dyDescent="0.3">
      <c r="B1514" s="3"/>
      <c r="Q1514" s="1"/>
      <c r="R1514" s="1"/>
      <c r="S1514" s="2"/>
      <c r="T1514" s="2">
        <v>1400</v>
      </c>
      <c r="U1514" s="48" t="s">
        <v>92</v>
      </c>
      <c r="V1514" s="2"/>
      <c r="W1514" s="2"/>
      <c r="X1514" s="2"/>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row>
    <row r="1515" spans="2:47" ht="14.25" customHeight="1" x14ac:dyDescent="0.3">
      <c r="B1515" s="3"/>
      <c r="Q1515" s="1"/>
      <c r="R1515" s="1"/>
      <c r="S1515" s="2"/>
      <c r="T1515" s="2">
        <v>1401</v>
      </c>
      <c r="U1515" s="48" t="s">
        <v>92</v>
      </c>
      <c r="V1515" s="2"/>
      <c r="W1515" s="2"/>
      <c r="X1515" s="2"/>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row>
    <row r="1516" spans="2:47" ht="14.25" customHeight="1" x14ac:dyDescent="0.3">
      <c r="B1516" s="3"/>
      <c r="Q1516" s="1"/>
      <c r="R1516" s="1"/>
      <c r="S1516" s="2"/>
      <c r="T1516" s="2">
        <v>1402</v>
      </c>
      <c r="U1516" s="48" t="s">
        <v>92</v>
      </c>
      <c r="V1516" s="2"/>
      <c r="W1516" s="2"/>
      <c r="X1516" s="2"/>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row>
    <row r="1517" spans="2:47" ht="14.25" customHeight="1" x14ac:dyDescent="0.3">
      <c r="B1517" s="3"/>
      <c r="Q1517" s="1"/>
      <c r="R1517" s="1"/>
      <c r="S1517" s="2"/>
      <c r="T1517" s="2">
        <v>1403</v>
      </c>
      <c r="U1517" s="48" t="s">
        <v>92</v>
      </c>
      <c r="V1517" s="2"/>
      <c r="W1517" s="2"/>
      <c r="X1517" s="2"/>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row>
    <row r="1518" spans="2:47" ht="14.25" customHeight="1" x14ac:dyDescent="0.3">
      <c r="B1518" s="3"/>
      <c r="Q1518" s="1"/>
      <c r="R1518" s="1"/>
      <c r="S1518" s="2"/>
      <c r="T1518" s="2">
        <v>1404</v>
      </c>
      <c r="U1518" s="48" t="s">
        <v>92</v>
      </c>
      <c r="V1518" s="2"/>
      <c r="W1518" s="2"/>
      <c r="X1518" s="2"/>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row>
    <row r="1519" spans="2:47" ht="14.25" customHeight="1" x14ac:dyDescent="0.3">
      <c r="B1519" s="3"/>
      <c r="Q1519" s="1"/>
      <c r="R1519" s="1"/>
      <c r="S1519" s="2"/>
      <c r="T1519" s="2">
        <v>1405</v>
      </c>
      <c r="U1519" s="48" t="s">
        <v>92</v>
      </c>
      <c r="V1519" s="2"/>
      <c r="W1519" s="2"/>
      <c r="X1519" s="2"/>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row>
    <row r="1520" spans="2:47" ht="14.25" customHeight="1" x14ac:dyDescent="0.3">
      <c r="B1520" s="3"/>
      <c r="Q1520" s="1"/>
      <c r="R1520" s="1"/>
      <c r="S1520" s="2"/>
      <c r="T1520" s="2">
        <v>1406</v>
      </c>
      <c r="U1520" s="48" t="s">
        <v>92</v>
      </c>
      <c r="V1520" s="2"/>
      <c r="W1520" s="2"/>
      <c r="X1520" s="2"/>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row>
    <row r="1521" spans="2:47" ht="14.25" customHeight="1" x14ac:dyDescent="0.3">
      <c r="B1521" s="3"/>
      <c r="Q1521" s="1"/>
      <c r="R1521" s="1"/>
      <c r="S1521" s="2"/>
      <c r="T1521" s="2">
        <v>1407</v>
      </c>
      <c r="U1521" s="48" t="s">
        <v>92</v>
      </c>
      <c r="V1521" s="2"/>
      <c r="W1521" s="2"/>
      <c r="X1521" s="2"/>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row>
    <row r="1522" spans="2:47" ht="14.25" customHeight="1" x14ac:dyDescent="0.3">
      <c r="B1522" s="3"/>
      <c r="Q1522" s="1"/>
      <c r="R1522" s="1"/>
      <c r="S1522" s="2"/>
      <c r="T1522" s="2">
        <v>1408</v>
      </c>
      <c r="U1522" s="48" t="s">
        <v>92</v>
      </c>
      <c r="V1522" s="2"/>
      <c r="W1522" s="2"/>
      <c r="X1522" s="2"/>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row>
    <row r="1523" spans="2:47" ht="14.25" customHeight="1" x14ac:dyDescent="0.3">
      <c r="B1523" s="3"/>
      <c r="Q1523" s="1"/>
      <c r="R1523" s="1"/>
      <c r="S1523" s="2"/>
      <c r="T1523" s="2">
        <v>1409</v>
      </c>
      <c r="U1523" s="48" t="s">
        <v>92</v>
      </c>
      <c r="V1523" s="2"/>
      <c r="W1523" s="2"/>
      <c r="X1523" s="2"/>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row>
    <row r="1524" spans="2:47" ht="14.25" customHeight="1" x14ac:dyDescent="0.3">
      <c r="B1524" s="3"/>
      <c r="Q1524" s="1"/>
      <c r="R1524" s="1"/>
      <c r="S1524" s="2"/>
      <c r="T1524" s="2">
        <v>1410</v>
      </c>
      <c r="U1524" s="48" t="s">
        <v>92</v>
      </c>
      <c r="V1524" s="2"/>
      <c r="W1524" s="2"/>
      <c r="X1524" s="2"/>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row>
    <row r="1525" spans="2:47" ht="14.25" customHeight="1" x14ac:dyDescent="0.3">
      <c r="B1525" s="3"/>
      <c r="Q1525" s="1"/>
      <c r="R1525" s="1"/>
      <c r="S1525" s="2"/>
      <c r="T1525" s="2">
        <v>1411</v>
      </c>
      <c r="U1525" s="48" t="s">
        <v>92</v>
      </c>
      <c r="V1525" s="2"/>
      <c r="W1525" s="2"/>
      <c r="X1525" s="2"/>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row>
    <row r="1526" spans="2:47" ht="14.25" customHeight="1" x14ac:dyDescent="0.3">
      <c r="B1526" s="3"/>
      <c r="Q1526" s="1"/>
      <c r="R1526" s="1"/>
      <c r="S1526" s="2"/>
      <c r="T1526" s="2">
        <v>1412</v>
      </c>
      <c r="U1526" s="48" t="s">
        <v>92</v>
      </c>
      <c r="V1526" s="2"/>
      <c r="W1526" s="2"/>
      <c r="X1526" s="2"/>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row>
    <row r="1527" spans="2:47" ht="14.25" customHeight="1" x14ac:dyDescent="0.3">
      <c r="B1527" s="3"/>
      <c r="Q1527" s="1"/>
      <c r="R1527" s="1"/>
      <c r="S1527" s="2"/>
      <c r="T1527" s="2">
        <v>1413</v>
      </c>
      <c r="U1527" s="48" t="s">
        <v>92</v>
      </c>
      <c r="V1527" s="2"/>
      <c r="W1527" s="2"/>
      <c r="X1527" s="2"/>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row>
    <row r="1528" spans="2:47" ht="14.25" customHeight="1" x14ac:dyDescent="0.3">
      <c r="B1528" s="3"/>
      <c r="Q1528" s="1"/>
      <c r="R1528" s="1"/>
      <c r="S1528" s="2"/>
      <c r="T1528" s="2">
        <v>1414</v>
      </c>
      <c r="U1528" s="48" t="s">
        <v>92</v>
      </c>
      <c r="V1528" s="2"/>
      <c r="W1528" s="2"/>
      <c r="X1528" s="2"/>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row>
    <row r="1529" spans="2:47" ht="14.25" customHeight="1" x14ac:dyDescent="0.3">
      <c r="B1529" s="3"/>
      <c r="Q1529" s="1"/>
      <c r="R1529" s="1"/>
      <c r="S1529" s="2"/>
      <c r="T1529" s="2">
        <v>1415</v>
      </c>
      <c r="U1529" s="48" t="s">
        <v>92</v>
      </c>
      <c r="V1529" s="2"/>
      <c r="W1529" s="2"/>
      <c r="X1529" s="2"/>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row>
    <row r="1530" spans="2:47" ht="14.25" customHeight="1" x14ac:dyDescent="0.3">
      <c r="B1530" s="3"/>
      <c r="Q1530" s="1"/>
      <c r="R1530" s="1"/>
      <c r="S1530" s="2"/>
      <c r="T1530" s="2">
        <v>1416</v>
      </c>
      <c r="U1530" s="48" t="s">
        <v>92</v>
      </c>
      <c r="V1530" s="2"/>
      <c r="W1530" s="2"/>
      <c r="X1530" s="2"/>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row>
    <row r="1531" spans="2:47" ht="14.25" customHeight="1" x14ac:dyDescent="0.3">
      <c r="B1531" s="3"/>
      <c r="Q1531" s="1"/>
      <c r="R1531" s="1"/>
      <c r="S1531" s="2"/>
      <c r="T1531" s="2">
        <v>1417</v>
      </c>
      <c r="U1531" s="48" t="s">
        <v>92</v>
      </c>
      <c r="V1531" s="2"/>
      <c r="W1531" s="2"/>
      <c r="X1531" s="2"/>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row>
    <row r="1532" spans="2:47" ht="14.25" customHeight="1" x14ac:dyDescent="0.3">
      <c r="B1532" s="3"/>
      <c r="Q1532" s="1"/>
      <c r="R1532" s="1"/>
      <c r="S1532" s="2"/>
      <c r="T1532" s="2">
        <v>1418</v>
      </c>
      <c r="U1532" s="48" t="s">
        <v>92</v>
      </c>
      <c r="V1532" s="2"/>
      <c r="W1532" s="2"/>
      <c r="X1532" s="2"/>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row>
    <row r="1533" spans="2:47" ht="14.25" customHeight="1" x14ac:dyDescent="0.3">
      <c r="B1533" s="3"/>
      <c r="Q1533" s="1"/>
      <c r="R1533" s="1"/>
      <c r="S1533" s="2"/>
      <c r="T1533" s="2">
        <v>1419</v>
      </c>
      <c r="U1533" s="48" t="s">
        <v>92</v>
      </c>
      <c r="V1533" s="2"/>
      <c r="W1533" s="2"/>
      <c r="X1533" s="2"/>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row>
    <row r="1534" spans="2:47" ht="14.25" customHeight="1" x14ac:dyDescent="0.3">
      <c r="B1534" s="3"/>
      <c r="Q1534" s="1"/>
      <c r="R1534" s="1"/>
      <c r="S1534" s="2"/>
      <c r="T1534" s="2">
        <v>1420</v>
      </c>
      <c r="U1534" s="48" t="s">
        <v>92</v>
      </c>
      <c r="V1534" s="2"/>
      <c r="W1534" s="2"/>
      <c r="X1534" s="2"/>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row>
    <row r="1535" spans="2:47" ht="14.25" customHeight="1" x14ac:dyDescent="0.3">
      <c r="B1535" s="3"/>
      <c r="Q1535" s="1"/>
      <c r="R1535" s="1"/>
      <c r="S1535" s="2"/>
      <c r="T1535" s="2">
        <v>1421</v>
      </c>
      <c r="U1535" s="48" t="s">
        <v>92</v>
      </c>
      <c r="V1535" s="2"/>
      <c r="W1535" s="2"/>
      <c r="X1535" s="2"/>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row>
    <row r="1536" spans="2:47" ht="14.25" customHeight="1" x14ac:dyDescent="0.3">
      <c r="B1536" s="3"/>
      <c r="Q1536" s="1"/>
      <c r="R1536" s="1"/>
      <c r="S1536" s="2"/>
      <c r="T1536" s="2">
        <v>1422</v>
      </c>
      <c r="U1536" s="48" t="s">
        <v>92</v>
      </c>
      <c r="V1536" s="2"/>
      <c r="W1536" s="2"/>
      <c r="X1536" s="2"/>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row>
    <row r="1537" spans="2:47" ht="14.25" customHeight="1" x14ac:dyDescent="0.3">
      <c r="B1537" s="3"/>
      <c r="Q1537" s="1"/>
      <c r="R1537" s="1"/>
      <c r="S1537" s="2"/>
      <c r="T1537" s="2">
        <v>1423</v>
      </c>
      <c r="U1537" s="48" t="s">
        <v>92</v>
      </c>
      <c r="V1537" s="2"/>
      <c r="W1537" s="2"/>
      <c r="X1537" s="2"/>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row>
    <row r="1538" spans="2:47" ht="14.25" customHeight="1" x14ac:dyDescent="0.3">
      <c r="B1538" s="3"/>
      <c r="Q1538" s="1"/>
      <c r="R1538" s="1"/>
      <c r="S1538" s="2"/>
      <c r="T1538" s="2">
        <v>1424</v>
      </c>
      <c r="U1538" s="48" t="s">
        <v>92</v>
      </c>
      <c r="V1538" s="2"/>
      <c r="W1538" s="2"/>
      <c r="X1538" s="2"/>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row>
    <row r="1539" spans="2:47" ht="14.25" customHeight="1" x14ac:dyDescent="0.3">
      <c r="B1539" s="3"/>
      <c r="Q1539" s="1"/>
      <c r="R1539" s="1"/>
      <c r="S1539" s="2"/>
      <c r="T1539" s="2">
        <v>1425</v>
      </c>
      <c r="U1539" s="48" t="s">
        <v>92</v>
      </c>
      <c r="V1539" s="2"/>
      <c r="W1539" s="2"/>
      <c r="X1539" s="2"/>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row>
    <row r="1540" spans="2:47" ht="14.25" customHeight="1" x14ac:dyDescent="0.3">
      <c r="B1540" s="3"/>
      <c r="Q1540" s="1"/>
      <c r="R1540" s="1"/>
      <c r="S1540" s="2"/>
      <c r="T1540" s="2">
        <v>1426</v>
      </c>
      <c r="U1540" s="48" t="s">
        <v>92</v>
      </c>
      <c r="V1540" s="2"/>
      <c r="W1540" s="2"/>
      <c r="X1540" s="2"/>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row>
    <row r="1541" spans="2:47" ht="14.25" customHeight="1" x14ac:dyDescent="0.3">
      <c r="B1541" s="3"/>
      <c r="Q1541" s="1"/>
      <c r="R1541" s="1"/>
      <c r="S1541" s="2"/>
      <c r="T1541" s="2">
        <v>1427</v>
      </c>
      <c r="U1541" s="48" t="s">
        <v>92</v>
      </c>
      <c r="V1541" s="2"/>
      <c r="W1541" s="2"/>
      <c r="X1541" s="2"/>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row>
    <row r="1542" spans="2:47" ht="14.25" customHeight="1" x14ac:dyDescent="0.3">
      <c r="B1542" s="3"/>
      <c r="Q1542" s="1"/>
      <c r="R1542" s="1"/>
      <c r="S1542" s="2"/>
      <c r="T1542" s="2">
        <v>1428</v>
      </c>
      <c r="U1542" s="48" t="s">
        <v>92</v>
      </c>
      <c r="V1542" s="2"/>
      <c r="W1542" s="2"/>
      <c r="X1542" s="2"/>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row>
    <row r="1543" spans="2:47" ht="14.25" customHeight="1" x14ac:dyDescent="0.3">
      <c r="B1543" s="3"/>
      <c r="Q1543" s="1"/>
      <c r="R1543" s="1"/>
      <c r="S1543" s="2"/>
      <c r="T1543" s="2">
        <v>1429</v>
      </c>
      <c r="U1543" s="48" t="s">
        <v>92</v>
      </c>
      <c r="V1543" s="2"/>
      <c r="W1543" s="2"/>
      <c r="X1543" s="2"/>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row>
    <row r="1544" spans="2:47" ht="14.25" customHeight="1" x14ac:dyDescent="0.3">
      <c r="B1544" s="3"/>
      <c r="Q1544" s="1"/>
      <c r="R1544" s="1"/>
      <c r="S1544" s="2"/>
      <c r="T1544" s="2">
        <v>1430</v>
      </c>
      <c r="U1544" s="48" t="s">
        <v>92</v>
      </c>
      <c r="V1544" s="2"/>
      <c r="W1544" s="2"/>
      <c r="X1544" s="2"/>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row>
    <row r="1545" spans="2:47" ht="14.25" customHeight="1" x14ac:dyDescent="0.3">
      <c r="B1545" s="3"/>
      <c r="Q1545" s="1"/>
      <c r="R1545" s="1"/>
      <c r="S1545" s="2"/>
      <c r="T1545" s="2">
        <v>1431</v>
      </c>
      <c r="U1545" s="48" t="s">
        <v>92</v>
      </c>
      <c r="V1545" s="2"/>
      <c r="W1545" s="2"/>
      <c r="X1545" s="2"/>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row>
    <row r="1546" spans="2:47" ht="14.25" customHeight="1" x14ac:dyDescent="0.3">
      <c r="B1546" s="3"/>
      <c r="Q1546" s="1"/>
      <c r="R1546" s="1"/>
      <c r="S1546" s="2"/>
      <c r="T1546" s="2">
        <v>1432</v>
      </c>
      <c r="U1546" s="48" t="s">
        <v>92</v>
      </c>
      <c r="V1546" s="2"/>
      <c r="W1546" s="2"/>
      <c r="X1546" s="2"/>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row>
    <row r="1547" spans="2:47" ht="14.25" customHeight="1" x14ac:dyDescent="0.3">
      <c r="B1547" s="3"/>
      <c r="Q1547" s="1"/>
      <c r="R1547" s="1"/>
      <c r="S1547" s="2"/>
      <c r="T1547" s="2">
        <v>1433</v>
      </c>
      <c r="U1547" s="48" t="s">
        <v>92</v>
      </c>
      <c r="V1547" s="2"/>
      <c r="W1547" s="2"/>
      <c r="X1547" s="2"/>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row>
    <row r="1548" spans="2:47" ht="14.25" customHeight="1" x14ac:dyDescent="0.3">
      <c r="B1548" s="3"/>
      <c r="Q1548" s="1"/>
      <c r="R1548" s="1"/>
      <c r="S1548" s="2"/>
      <c r="T1548" s="2">
        <v>1434</v>
      </c>
      <c r="U1548" s="48" t="s">
        <v>92</v>
      </c>
      <c r="V1548" s="2"/>
      <c r="W1548" s="2"/>
      <c r="X1548" s="2"/>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row>
    <row r="1549" spans="2:47" ht="14.25" customHeight="1" x14ac:dyDescent="0.3">
      <c r="B1549" s="3"/>
      <c r="Q1549" s="1"/>
      <c r="R1549" s="1"/>
      <c r="S1549" s="2"/>
      <c r="T1549" s="2">
        <v>1435</v>
      </c>
      <c r="U1549" s="48" t="s">
        <v>92</v>
      </c>
      <c r="V1549" s="2"/>
      <c r="W1549" s="2"/>
      <c r="X1549" s="2"/>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row>
    <row r="1550" spans="2:47" ht="14.25" customHeight="1" x14ac:dyDescent="0.3">
      <c r="B1550" s="3"/>
      <c r="Q1550" s="1"/>
      <c r="R1550" s="1"/>
      <c r="S1550" s="2"/>
      <c r="T1550" s="2">
        <v>1436</v>
      </c>
      <c r="U1550" s="48" t="s">
        <v>92</v>
      </c>
      <c r="V1550" s="2"/>
      <c r="W1550" s="2"/>
      <c r="X1550" s="2"/>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row>
    <row r="1551" spans="2:47" ht="14.25" customHeight="1" x14ac:dyDescent="0.3">
      <c r="B1551" s="3"/>
      <c r="Q1551" s="1"/>
      <c r="R1551" s="1"/>
      <c r="S1551" s="2"/>
      <c r="T1551" s="2">
        <v>1437</v>
      </c>
      <c r="U1551" s="48" t="s">
        <v>92</v>
      </c>
      <c r="V1551" s="2"/>
      <c r="W1551" s="2"/>
      <c r="X1551" s="2"/>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row>
    <row r="1552" spans="2:47" ht="14.25" customHeight="1" x14ac:dyDescent="0.3">
      <c r="B1552" s="3"/>
      <c r="Q1552" s="1"/>
      <c r="R1552" s="1"/>
      <c r="S1552" s="2"/>
      <c r="T1552" s="2">
        <v>1438</v>
      </c>
      <c r="U1552" s="48" t="s">
        <v>92</v>
      </c>
      <c r="V1552" s="2"/>
      <c r="W1552" s="2"/>
      <c r="X1552" s="2"/>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row>
    <row r="1553" spans="2:47" ht="14.25" customHeight="1" x14ac:dyDescent="0.3">
      <c r="B1553" s="3"/>
      <c r="Q1553" s="1"/>
      <c r="R1553" s="1"/>
      <c r="S1553" s="2"/>
      <c r="T1553" s="2">
        <v>1439</v>
      </c>
      <c r="U1553" s="48" t="s">
        <v>92</v>
      </c>
      <c r="V1553" s="2"/>
      <c r="W1553" s="2"/>
      <c r="X1553" s="2"/>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row>
    <row r="1554" spans="2:47" ht="14.25" customHeight="1" x14ac:dyDescent="0.3">
      <c r="B1554" s="3"/>
      <c r="Q1554" s="1"/>
      <c r="R1554" s="1"/>
      <c r="S1554" s="2"/>
      <c r="T1554" s="2">
        <v>1440</v>
      </c>
      <c r="U1554" s="48" t="s">
        <v>92</v>
      </c>
      <c r="V1554" s="2"/>
      <c r="W1554" s="2"/>
      <c r="X1554" s="2"/>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row>
    <row r="1555" spans="2:47" ht="14.25" customHeight="1" x14ac:dyDescent="0.3">
      <c r="B1555" s="3"/>
      <c r="Q1555" s="1"/>
      <c r="R1555" s="1"/>
      <c r="S1555" s="2"/>
      <c r="T1555" s="2">
        <v>1441</v>
      </c>
      <c r="U1555" s="48" t="s">
        <v>92</v>
      </c>
      <c r="V1555" s="2"/>
      <c r="W1555" s="2"/>
      <c r="X1555" s="2"/>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row>
    <row r="1556" spans="2:47" ht="14.25" customHeight="1" x14ac:dyDescent="0.3">
      <c r="B1556" s="3"/>
      <c r="Q1556" s="1"/>
      <c r="R1556" s="1"/>
      <c r="S1556" s="2"/>
      <c r="T1556" s="2">
        <v>1442</v>
      </c>
      <c r="U1556" s="48" t="s">
        <v>92</v>
      </c>
      <c r="V1556" s="2"/>
      <c r="W1556" s="2"/>
      <c r="X1556" s="2"/>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row>
    <row r="1557" spans="2:47" ht="14.25" customHeight="1" x14ac:dyDescent="0.3">
      <c r="B1557" s="3"/>
      <c r="Q1557" s="1"/>
      <c r="R1557" s="1"/>
      <c r="S1557" s="2"/>
      <c r="T1557" s="2">
        <v>1443</v>
      </c>
      <c r="U1557" s="48" t="s">
        <v>92</v>
      </c>
      <c r="V1557" s="2"/>
      <c r="W1557" s="2"/>
      <c r="X1557" s="2"/>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row>
    <row r="1558" spans="2:47" ht="14.25" customHeight="1" x14ac:dyDescent="0.3">
      <c r="B1558" s="3"/>
      <c r="Q1558" s="1"/>
      <c r="R1558" s="1"/>
      <c r="S1558" s="2"/>
      <c r="T1558" s="2">
        <v>1444</v>
      </c>
      <c r="U1558" s="48" t="s">
        <v>92</v>
      </c>
      <c r="V1558" s="2"/>
      <c r="W1558" s="2"/>
      <c r="X1558" s="2"/>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row>
    <row r="1559" spans="2:47" ht="14.25" customHeight="1" x14ac:dyDescent="0.3">
      <c r="B1559" s="3"/>
      <c r="Q1559" s="1"/>
      <c r="R1559" s="1"/>
      <c r="S1559" s="2"/>
      <c r="T1559" s="2">
        <v>1445</v>
      </c>
      <c r="U1559" s="48" t="s">
        <v>92</v>
      </c>
      <c r="V1559" s="2"/>
      <c r="W1559" s="2"/>
      <c r="X1559" s="2"/>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row>
    <row r="1560" spans="2:47" ht="14.25" customHeight="1" x14ac:dyDescent="0.3">
      <c r="B1560" s="3"/>
      <c r="Q1560" s="1"/>
      <c r="R1560" s="1"/>
      <c r="S1560" s="2"/>
      <c r="T1560" s="2">
        <v>1446</v>
      </c>
      <c r="U1560" s="48" t="s">
        <v>92</v>
      </c>
      <c r="V1560" s="2"/>
      <c r="W1560" s="2"/>
      <c r="X1560" s="2"/>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row>
    <row r="1561" spans="2:47" ht="14.25" customHeight="1" x14ac:dyDescent="0.3">
      <c r="B1561" s="3"/>
      <c r="Q1561" s="1"/>
      <c r="R1561" s="1"/>
      <c r="S1561" s="2"/>
      <c r="T1561" s="2">
        <v>1447</v>
      </c>
      <c r="U1561" s="48" t="s">
        <v>92</v>
      </c>
      <c r="V1561" s="2"/>
      <c r="W1561" s="2"/>
      <c r="X1561" s="2"/>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row>
    <row r="1562" spans="2:47" ht="14.25" customHeight="1" x14ac:dyDescent="0.3">
      <c r="B1562" s="3"/>
      <c r="Q1562" s="1"/>
      <c r="R1562" s="1"/>
      <c r="S1562" s="2"/>
      <c r="T1562" s="2">
        <v>1448</v>
      </c>
      <c r="U1562" s="48" t="s">
        <v>92</v>
      </c>
      <c r="V1562" s="2"/>
      <c r="W1562" s="2"/>
      <c r="X1562" s="2"/>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row>
    <row r="1563" spans="2:47" ht="14.25" customHeight="1" x14ac:dyDescent="0.3">
      <c r="B1563" s="3"/>
      <c r="Q1563" s="1"/>
      <c r="R1563" s="1"/>
      <c r="S1563" s="2"/>
      <c r="T1563" s="2">
        <v>1449</v>
      </c>
      <c r="U1563" s="48" t="s">
        <v>92</v>
      </c>
      <c r="V1563" s="2"/>
      <c r="W1563" s="2"/>
      <c r="X1563" s="2"/>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row>
    <row r="1564" spans="2:47" ht="14.25" customHeight="1" x14ac:dyDescent="0.3">
      <c r="B1564" s="3"/>
      <c r="Q1564" s="1"/>
      <c r="R1564" s="1"/>
      <c r="S1564" s="2"/>
      <c r="T1564" s="2">
        <v>1450</v>
      </c>
      <c r="U1564" s="48" t="s">
        <v>92</v>
      </c>
      <c r="V1564" s="2"/>
      <c r="W1564" s="2"/>
      <c r="X1564" s="2"/>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row>
    <row r="1565" spans="2:47" ht="14.25" customHeight="1" x14ac:dyDescent="0.3">
      <c r="B1565" s="3"/>
      <c r="Q1565" s="1"/>
      <c r="R1565" s="1"/>
      <c r="S1565" s="2"/>
      <c r="T1565" s="2">
        <v>1451</v>
      </c>
      <c r="U1565" s="48" t="s">
        <v>92</v>
      </c>
      <c r="V1565" s="2"/>
      <c r="W1565" s="2"/>
      <c r="X1565" s="2"/>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row>
    <row r="1566" spans="2:47" ht="14.25" customHeight="1" x14ac:dyDescent="0.3">
      <c r="B1566" s="3"/>
      <c r="Q1566" s="1"/>
      <c r="R1566" s="1"/>
      <c r="S1566" s="2"/>
      <c r="T1566" s="2">
        <v>1452</v>
      </c>
      <c r="U1566" s="48" t="s">
        <v>92</v>
      </c>
      <c r="V1566" s="2"/>
      <c r="W1566" s="2"/>
      <c r="X1566" s="2"/>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row>
    <row r="1567" spans="2:47" ht="14.25" customHeight="1" x14ac:dyDescent="0.3">
      <c r="B1567" s="3"/>
      <c r="Q1567" s="1"/>
      <c r="R1567" s="1"/>
      <c r="S1567" s="2"/>
      <c r="T1567" s="2">
        <v>1453</v>
      </c>
      <c r="U1567" s="48" t="s">
        <v>92</v>
      </c>
      <c r="V1567" s="2"/>
      <c r="W1567" s="2"/>
      <c r="X1567" s="2"/>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row>
    <row r="1568" spans="2:47" ht="14.25" customHeight="1" x14ac:dyDescent="0.3">
      <c r="B1568" s="3"/>
      <c r="Q1568" s="1"/>
      <c r="R1568" s="1"/>
      <c r="S1568" s="2"/>
      <c r="T1568" s="2">
        <v>1454</v>
      </c>
      <c r="U1568" s="48" t="s">
        <v>92</v>
      </c>
      <c r="V1568" s="2"/>
      <c r="W1568" s="2"/>
      <c r="X1568" s="2"/>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row>
    <row r="1569" spans="2:47" ht="14.25" customHeight="1" x14ac:dyDescent="0.3">
      <c r="B1569" s="3"/>
      <c r="Q1569" s="1"/>
      <c r="R1569" s="1"/>
      <c r="S1569" s="2"/>
      <c r="T1569" s="2">
        <v>1455</v>
      </c>
      <c r="U1569" s="48" t="s">
        <v>92</v>
      </c>
      <c r="V1569" s="2"/>
      <c r="W1569" s="2"/>
      <c r="X1569" s="2"/>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row>
    <row r="1570" spans="2:47" ht="14.25" customHeight="1" x14ac:dyDescent="0.3">
      <c r="B1570" s="3"/>
      <c r="Q1570" s="1"/>
      <c r="R1570" s="1"/>
      <c r="S1570" s="2"/>
      <c r="T1570" s="2">
        <v>1456</v>
      </c>
      <c r="U1570" s="48" t="s">
        <v>92</v>
      </c>
      <c r="V1570" s="2"/>
      <c r="W1570" s="2"/>
      <c r="X1570" s="2"/>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row>
    <row r="1571" spans="2:47" ht="14.25" customHeight="1" x14ac:dyDescent="0.3">
      <c r="B1571" s="3"/>
      <c r="Q1571" s="1"/>
      <c r="R1571" s="1"/>
      <c r="S1571" s="2"/>
      <c r="T1571" s="2">
        <v>1457</v>
      </c>
      <c r="U1571" s="48" t="s">
        <v>92</v>
      </c>
      <c r="V1571" s="2"/>
      <c r="W1571" s="2"/>
      <c r="X1571" s="2"/>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row>
    <row r="1572" spans="2:47" ht="14.25" customHeight="1" x14ac:dyDescent="0.3">
      <c r="B1572" s="3"/>
      <c r="Q1572" s="1"/>
      <c r="R1572" s="1"/>
      <c r="S1572" s="2"/>
      <c r="T1572" s="2">
        <v>1458</v>
      </c>
      <c r="U1572" s="48" t="s">
        <v>92</v>
      </c>
      <c r="V1572" s="2"/>
      <c r="W1572" s="2"/>
      <c r="X1572" s="2"/>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row>
    <row r="1573" spans="2:47" ht="14.25" customHeight="1" x14ac:dyDescent="0.3">
      <c r="B1573" s="3"/>
      <c r="Q1573" s="1"/>
      <c r="R1573" s="1"/>
      <c r="S1573" s="2"/>
      <c r="T1573" s="2">
        <v>1459</v>
      </c>
      <c r="U1573" s="48" t="s">
        <v>92</v>
      </c>
      <c r="V1573" s="2"/>
      <c r="W1573" s="2"/>
      <c r="X1573" s="2"/>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row>
    <row r="1574" spans="2:47" ht="14.25" customHeight="1" x14ac:dyDescent="0.3">
      <c r="B1574" s="3"/>
      <c r="Q1574" s="1"/>
      <c r="R1574" s="1"/>
      <c r="S1574" s="2"/>
      <c r="T1574" s="2">
        <v>1460</v>
      </c>
      <c r="U1574" s="48" t="s">
        <v>92</v>
      </c>
      <c r="V1574" s="2"/>
      <c r="W1574" s="2"/>
      <c r="X1574" s="2"/>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row>
    <row r="1575" spans="2:47" ht="14.25" customHeight="1" x14ac:dyDescent="0.3">
      <c r="B1575" s="3"/>
      <c r="Q1575" s="1"/>
      <c r="R1575" s="1"/>
      <c r="S1575" s="2"/>
      <c r="T1575" s="2">
        <v>1461</v>
      </c>
      <c r="U1575" s="48" t="s">
        <v>92</v>
      </c>
      <c r="V1575" s="2"/>
      <c r="W1575" s="2"/>
      <c r="X1575" s="2"/>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row>
    <row r="1576" spans="2:47" ht="14.25" customHeight="1" x14ac:dyDescent="0.3">
      <c r="B1576" s="3"/>
      <c r="Q1576" s="1"/>
      <c r="R1576" s="1"/>
      <c r="S1576" s="2"/>
      <c r="T1576" s="2">
        <v>1462</v>
      </c>
      <c r="U1576" s="48" t="s">
        <v>92</v>
      </c>
      <c r="V1576" s="2"/>
      <c r="W1576" s="2"/>
      <c r="X1576" s="2"/>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row>
    <row r="1577" spans="2:47" ht="14.25" customHeight="1" x14ac:dyDescent="0.3">
      <c r="B1577" s="3"/>
      <c r="Q1577" s="1"/>
      <c r="R1577" s="1"/>
      <c r="S1577" s="2"/>
      <c r="T1577" s="2">
        <v>1463</v>
      </c>
      <c r="U1577" s="48" t="s">
        <v>92</v>
      </c>
      <c r="V1577" s="2"/>
      <c r="W1577" s="2"/>
      <c r="X1577" s="2"/>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row>
    <row r="1578" spans="2:47" ht="14.25" customHeight="1" x14ac:dyDescent="0.3">
      <c r="B1578" s="3"/>
      <c r="Q1578" s="1"/>
      <c r="R1578" s="1"/>
      <c r="S1578" s="2"/>
      <c r="T1578" s="2">
        <v>1464</v>
      </c>
      <c r="U1578" s="48" t="s">
        <v>92</v>
      </c>
      <c r="V1578" s="2"/>
      <c r="W1578" s="2"/>
      <c r="X1578" s="2"/>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row>
    <row r="1579" spans="2:47" ht="14.25" customHeight="1" x14ac:dyDescent="0.3">
      <c r="B1579" s="3"/>
      <c r="Q1579" s="1"/>
      <c r="R1579" s="1"/>
      <c r="S1579" s="2"/>
      <c r="T1579" s="2">
        <v>1465</v>
      </c>
      <c r="U1579" s="48" t="s">
        <v>92</v>
      </c>
      <c r="V1579" s="2"/>
      <c r="W1579" s="2"/>
      <c r="X1579" s="2"/>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row>
    <row r="1580" spans="2:47" ht="14.25" customHeight="1" x14ac:dyDescent="0.3">
      <c r="B1580" s="3"/>
      <c r="Q1580" s="1"/>
      <c r="R1580" s="1"/>
      <c r="S1580" s="2"/>
      <c r="T1580" s="2">
        <v>1466</v>
      </c>
      <c r="U1580" s="48" t="s">
        <v>92</v>
      </c>
      <c r="V1580" s="2"/>
      <c r="W1580" s="2"/>
      <c r="X1580" s="2"/>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row>
    <row r="1581" spans="2:47" ht="14.25" customHeight="1" x14ac:dyDescent="0.3">
      <c r="B1581" s="3"/>
      <c r="Q1581" s="1"/>
      <c r="R1581" s="1"/>
      <c r="S1581" s="2"/>
      <c r="T1581" s="2">
        <v>1467</v>
      </c>
      <c r="U1581" s="48" t="s">
        <v>92</v>
      </c>
      <c r="V1581" s="2"/>
      <c r="W1581" s="2"/>
      <c r="X1581" s="2"/>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row>
    <row r="1582" spans="2:47" ht="14.25" customHeight="1" x14ac:dyDescent="0.3">
      <c r="B1582" s="3"/>
      <c r="Q1582" s="1"/>
      <c r="R1582" s="1"/>
      <c r="S1582" s="2"/>
      <c r="T1582" s="2">
        <v>1468</v>
      </c>
      <c r="U1582" s="48" t="s">
        <v>92</v>
      </c>
      <c r="V1582" s="2"/>
      <c r="W1582" s="2"/>
      <c r="X1582" s="2"/>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row>
    <row r="1583" spans="2:47" ht="14.25" customHeight="1" x14ac:dyDescent="0.3">
      <c r="B1583" s="3"/>
      <c r="Q1583" s="1"/>
      <c r="R1583" s="1"/>
      <c r="S1583" s="2"/>
      <c r="T1583" s="2">
        <v>1469</v>
      </c>
      <c r="U1583" s="48" t="s">
        <v>92</v>
      </c>
      <c r="V1583" s="2"/>
      <c r="W1583" s="2"/>
      <c r="X1583" s="2"/>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row>
    <row r="1584" spans="2:47" ht="14.25" customHeight="1" x14ac:dyDescent="0.3">
      <c r="B1584" s="3"/>
      <c r="Q1584" s="1"/>
      <c r="R1584" s="1"/>
      <c r="S1584" s="2"/>
      <c r="T1584" s="2">
        <v>1470</v>
      </c>
      <c r="U1584" s="48" t="s">
        <v>92</v>
      </c>
      <c r="V1584" s="2"/>
      <c r="W1584" s="2"/>
      <c r="X1584" s="2"/>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row>
    <row r="1585" spans="2:47" ht="14.25" customHeight="1" x14ac:dyDescent="0.3">
      <c r="B1585" s="3"/>
      <c r="Q1585" s="1"/>
      <c r="R1585" s="1"/>
      <c r="S1585" s="2"/>
      <c r="T1585" s="2">
        <v>1471</v>
      </c>
      <c r="U1585" s="48" t="s">
        <v>92</v>
      </c>
      <c r="V1585" s="2"/>
      <c r="W1585" s="2"/>
      <c r="X1585" s="2"/>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row>
    <row r="1586" spans="2:47" ht="14.25" customHeight="1" x14ac:dyDescent="0.3">
      <c r="B1586" s="3"/>
      <c r="Q1586" s="1"/>
      <c r="R1586" s="1"/>
      <c r="S1586" s="2"/>
      <c r="T1586" s="2">
        <v>1472</v>
      </c>
      <c r="U1586" s="48" t="s">
        <v>92</v>
      </c>
      <c r="V1586" s="2"/>
      <c r="W1586" s="2"/>
      <c r="X1586" s="2"/>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row>
    <row r="1587" spans="2:47" ht="14.25" customHeight="1" x14ac:dyDescent="0.3">
      <c r="B1587" s="3"/>
      <c r="Q1587" s="1"/>
      <c r="R1587" s="1"/>
      <c r="S1587" s="2"/>
      <c r="T1587" s="2">
        <v>1473</v>
      </c>
      <c r="U1587" s="48" t="s">
        <v>92</v>
      </c>
      <c r="V1587" s="2"/>
      <c r="W1587" s="2"/>
      <c r="X1587" s="2"/>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row>
    <row r="1588" spans="2:47" ht="14.25" customHeight="1" x14ac:dyDescent="0.3">
      <c r="B1588" s="3"/>
      <c r="Q1588" s="1"/>
      <c r="R1588" s="1"/>
      <c r="S1588" s="2"/>
      <c r="T1588" s="2">
        <v>1474</v>
      </c>
      <c r="U1588" s="48" t="s">
        <v>92</v>
      </c>
      <c r="V1588" s="2"/>
      <c r="W1588" s="2"/>
      <c r="X1588" s="2"/>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row>
    <row r="1589" spans="2:47" ht="14.25" customHeight="1" x14ac:dyDescent="0.3">
      <c r="B1589" s="3"/>
      <c r="Q1589" s="1"/>
      <c r="R1589" s="1"/>
      <c r="S1589" s="2"/>
      <c r="T1589" s="2">
        <v>1475</v>
      </c>
      <c r="U1589" s="48" t="s">
        <v>92</v>
      </c>
      <c r="V1589" s="2"/>
      <c r="W1589" s="2"/>
      <c r="X1589" s="2"/>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row>
    <row r="1590" spans="2:47" ht="14.25" customHeight="1" x14ac:dyDescent="0.3">
      <c r="B1590" s="3"/>
      <c r="Q1590" s="1"/>
      <c r="R1590" s="1"/>
      <c r="S1590" s="2"/>
      <c r="T1590" s="2">
        <v>1476</v>
      </c>
      <c r="U1590" s="48" t="s">
        <v>92</v>
      </c>
      <c r="V1590" s="2"/>
      <c r="W1590" s="2"/>
      <c r="X1590" s="2"/>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row>
    <row r="1591" spans="2:47" ht="14.25" customHeight="1" x14ac:dyDescent="0.3">
      <c r="B1591" s="3"/>
      <c r="Q1591" s="1"/>
      <c r="R1591" s="1"/>
      <c r="S1591" s="2"/>
      <c r="T1591" s="2">
        <v>1477</v>
      </c>
      <c r="U1591" s="48" t="s">
        <v>92</v>
      </c>
      <c r="V1591" s="2"/>
      <c r="W1591" s="2"/>
      <c r="X1591" s="2"/>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row>
    <row r="1592" spans="2:47" ht="14.25" customHeight="1" x14ac:dyDescent="0.3">
      <c r="B1592" s="3"/>
      <c r="Q1592" s="1"/>
      <c r="R1592" s="1"/>
      <c r="S1592" s="2"/>
      <c r="T1592" s="2">
        <v>1478</v>
      </c>
      <c r="U1592" s="48" t="s">
        <v>92</v>
      </c>
      <c r="V1592" s="2"/>
      <c r="W1592" s="2"/>
      <c r="X1592" s="2"/>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row>
    <row r="1593" spans="2:47" ht="14.25" customHeight="1" x14ac:dyDescent="0.3">
      <c r="B1593" s="3"/>
      <c r="Q1593" s="1"/>
      <c r="R1593" s="1"/>
      <c r="S1593" s="2"/>
      <c r="T1593" s="2">
        <v>1479</v>
      </c>
      <c r="U1593" s="48" t="s">
        <v>92</v>
      </c>
      <c r="V1593" s="2"/>
      <c r="W1593" s="2"/>
      <c r="X1593" s="2"/>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row>
    <row r="1594" spans="2:47" ht="14.25" customHeight="1" x14ac:dyDescent="0.3">
      <c r="B1594" s="3"/>
      <c r="Q1594" s="1"/>
      <c r="R1594" s="1"/>
      <c r="S1594" s="2"/>
      <c r="T1594" s="2">
        <v>1480</v>
      </c>
      <c r="U1594" s="48" t="s">
        <v>92</v>
      </c>
      <c r="V1594" s="2"/>
      <c r="W1594" s="2"/>
      <c r="X1594" s="2"/>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row>
    <row r="1595" spans="2:47" ht="14.25" customHeight="1" x14ac:dyDescent="0.3">
      <c r="B1595" s="3"/>
      <c r="Q1595" s="1"/>
      <c r="R1595" s="1"/>
      <c r="S1595" s="2"/>
      <c r="T1595" s="2">
        <v>1481</v>
      </c>
      <c r="U1595" s="48" t="s">
        <v>92</v>
      </c>
      <c r="V1595" s="2"/>
      <c r="W1595" s="2"/>
      <c r="X1595" s="2"/>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row>
    <row r="1596" spans="2:47" ht="14.25" customHeight="1" x14ac:dyDescent="0.3">
      <c r="B1596" s="3"/>
      <c r="Q1596" s="1"/>
      <c r="R1596" s="1"/>
      <c r="S1596" s="2"/>
      <c r="T1596" s="2">
        <v>1482</v>
      </c>
      <c r="U1596" s="48" t="s">
        <v>92</v>
      </c>
      <c r="V1596" s="2"/>
      <c r="W1596" s="2"/>
      <c r="X1596" s="2"/>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row>
    <row r="1597" spans="2:47" ht="14.25" customHeight="1" x14ac:dyDescent="0.3">
      <c r="B1597" s="3"/>
      <c r="Q1597" s="1"/>
      <c r="R1597" s="1"/>
      <c r="S1597" s="2"/>
      <c r="T1597" s="2">
        <v>1483</v>
      </c>
      <c r="U1597" s="48" t="s">
        <v>92</v>
      </c>
      <c r="V1597" s="2"/>
      <c r="W1597" s="2"/>
      <c r="X1597" s="2"/>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row>
    <row r="1598" spans="2:47" ht="14.25" customHeight="1" x14ac:dyDescent="0.3">
      <c r="B1598" s="3"/>
      <c r="Q1598" s="1"/>
      <c r="R1598" s="1"/>
      <c r="S1598" s="2"/>
      <c r="T1598" s="2">
        <v>1484</v>
      </c>
      <c r="U1598" s="48" t="s">
        <v>92</v>
      </c>
      <c r="V1598" s="2"/>
      <c r="W1598" s="2"/>
      <c r="X1598" s="2"/>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row>
    <row r="1599" spans="2:47" ht="14.25" customHeight="1" x14ac:dyDescent="0.3">
      <c r="B1599" s="3"/>
      <c r="Q1599" s="1"/>
      <c r="R1599" s="1"/>
      <c r="S1599" s="2"/>
      <c r="T1599" s="2">
        <v>1485</v>
      </c>
      <c r="U1599" s="48" t="s">
        <v>92</v>
      </c>
      <c r="V1599" s="2"/>
      <c r="W1599" s="2"/>
      <c r="X1599" s="2"/>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row>
    <row r="1600" spans="2:47" ht="14.25" customHeight="1" x14ac:dyDescent="0.3">
      <c r="B1600" s="3"/>
      <c r="Q1600" s="1"/>
      <c r="R1600" s="1"/>
      <c r="S1600" s="2"/>
      <c r="T1600" s="2">
        <v>1486</v>
      </c>
      <c r="U1600" s="48" t="s">
        <v>92</v>
      </c>
      <c r="V1600" s="2"/>
      <c r="W1600" s="2"/>
      <c r="X1600" s="2"/>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row>
    <row r="1601" spans="2:47" ht="14.25" customHeight="1" x14ac:dyDescent="0.3">
      <c r="B1601" s="3"/>
      <c r="Q1601" s="1"/>
      <c r="R1601" s="1"/>
      <c r="S1601" s="2"/>
      <c r="T1601" s="2">
        <v>1487</v>
      </c>
      <c r="U1601" s="48" t="s">
        <v>92</v>
      </c>
      <c r="V1601" s="2"/>
      <c r="W1601" s="2"/>
      <c r="X1601" s="2"/>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row>
    <row r="1602" spans="2:47" ht="14.25" customHeight="1" x14ac:dyDescent="0.3">
      <c r="B1602" s="3"/>
      <c r="Q1602" s="1"/>
      <c r="R1602" s="1"/>
      <c r="S1602" s="2"/>
      <c r="T1602" s="2">
        <v>1488</v>
      </c>
      <c r="U1602" s="48" t="s">
        <v>92</v>
      </c>
      <c r="V1602" s="2"/>
      <c r="W1602" s="2"/>
      <c r="X1602" s="2"/>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row>
    <row r="1603" spans="2:47" ht="14.25" customHeight="1" x14ac:dyDescent="0.3">
      <c r="B1603" s="3"/>
      <c r="Q1603" s="1"/>
      <c r="R1603" s="1"/>
      <c r="S1603" s="2"/>
      <c r="T1603" s="2">
        <v>1489</v>
      </c>
      <c r="U1603" s="48" t="s">
        <v>92</v>
      </c>
      <c r="V1603" s="2"/>
      <c r="W1603" s="2"/>
      <c r="X1603" s="2"/>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row>
    <row r="1604" spans="2:47" ht="14.25" customHeight="1" x14ac:dyDescent="0.3">
      <c r="B1604" s="3"/>
      <c r="Q1604" s="1"/>
      <c r="R1604" s="1"/>
      <c r="S1604" s="2"/>
      <c r="T1604" s="2">
        <v>1490</v>
      </c>
      <c r="U1604" s="48" t="s">
        <v>92</v>
      </c>
      <c r="V1604" s="2"/>
      <c r="W1604" s="2"/>
      <c r="X1604" s="2"/>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row>
    <row r="1605" spans="2:47" ht="14.25" customHeight="1" x14ac:dyDescent="0.3">
      <c r="B1605" s="3"/>
      <c r="Q1605" s="1"/>
      <c r="R1605" s="1"/>
      <c r="S1605" s="2"/>
      <c r="T1605" s="2">
        <v>1491</v>
      </c>
      <c r="U1605" s="48" t="s">
        <v>92</v>
      </c>
      <c r="V1605" s="2"/>
      <c r="W1605" s="2"/>
      <c r="X1605" s="2"/>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row>
    <row r="1606" spans="2:47" ht="14.25" customHeight="1" x14ac:dyDescent="0.3">
      <c r="B1606" s="3"/>
      <c r="Q1606" s="1"/>
      <c r="R1606" s="1"/>
      <c r="S1606" s="2"/>
      <c r="T1606" s="2">
        <v>1492</v>
      </c>
      <c r="U1606" s="48" t="s">
        <v>92</v>
      </c>
      <c r="V1606" s="2"/>
      <c r="W1606" s="2"/>
      <c r="X1606" s="2"/>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row>
    <row r="1607" spans="2:47" ht="14.25" customHeight="1" x14ac:dyDescent="0.3">
      <c r="B1607" s="3"/>
      <c r="Q1607" s="1"/>
      <c r="R1607" s="1"/>
      <c r="S1607" s="2"/>
      <c r="T1607" s="2">
        <v>1493</v>
      </c>
      <c r="U1607" s="48" t="s">
        <v>92</v>
      </c>
      <c r="V1607" s="2"/>
      <c r="W1607" s="2"/>
      <c r="X1607" s="2"/>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row>
    <row r="1608" spans="2:47" ht="14.25" customHeight="1" x14ac:dyDescent="0.3">
      <c r="B1608" s="3"/>
      <c r="Q1608" s="1"/>
      <c r="R1608" s="1"/>
      <c r="S1608" s="2"/>
      <c r="T1608" s="2">
        <v>1494</v>
      </c>
      <c r="U1608" s="48" t="s">
        <v>92</v>
      </c>
      <c r="V1608" s="2"/>
      <c r="W1608" s="2"/>
      <c r="X1608" s="2"/>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row>
    <row r="1609" spans="2:47" ht="14.25" customHeight="1" x14ac:dyDescent="0.3">
      <c r="B1609" s="3"/>
      <c r="Q1609" s="1"/>
      <c r="R1609" s="1"/>
      <c r="S1609" s="2"/>
      <c r="T1609" s="2">
        <v>1495</v>
      </c>
      <c r="U1609" s="48" t="s">
        <v>92</v>
      </c>
      <c r="V1609" s="2"/>
      <c r="W1609" s="2"/>
      <c r="X1609" s="2"/>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row>
    <row r="1610" spans="2:47" ht="14.25" customHeight="1" x14ac:dyDescent="0.3">
      <c r="B1610" s="3"/>
      <c r="Q1610" s="1"/>
      <c r="R1610" s="1"/>
      <c r="S1610" s="2"/>
      <c r="T1610" s="2">
        <v>1496</v>
      </c>
      <c r="U1610" s="48" t="s">
        <v>92</v>
      </c>
      <c r="V1610" s="2"/>
      <c r="W1610" s="2"/>
      <c r="X1610" s="2"/>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row>
    <row r="1611" spans="2:47" ht="14.25" customHeight="1" x14ac:dyDescent="0.3">
      <c r="B1611" s="3"/>
      <c r="Q1611" s="1"/>
      <c r="R1611" s="1"/>
      <c r="S1611" s="2"/>
      <c r="T1611" s="2">
        <v>1497</v>
      </c>
      <c r="U1611" s="48" t="s">
        <v>92</v>
      </c>
      <c r="V1611" s="2"/>
      <c r="W1611" s="2"/>
      <c r="X1611" s="2"/>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row>
    <row r="1612" spans="2:47" ht="14.25" customHeight="1" x14ac:dyDescent="0.3">
      <c r="B1612" s="3"/>
      <c r="Q1612" s="1"/>
      <c r="R1612" s="1"/>
      <c r="S1612" s="2"/>
      <c r="T1612" s="2">
        <v>1498</v>
      </c>
      <c r="U1612" s="48" t="s">
        <v>92</v>
      </c>
      <c r="V1612" s="2"/>
      <c r="W1612" s="2"/>
      <c r="X1612" s="2"/>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row>
    <row r="1613" spans="2:47" ht="14.25" customHeight="1" x14ac:dyDescent="0.3">
      <c r="B1613" s="3"/>
      <c r="Q1613" s="1"/>
      <c r="R1613" s="1"/>
      <c r="S1613" s="2"/>
      <c r="T1613" s="2">
        <v>1499</v>
      </c>
      <c r="U1613" s="48" t="s">
        <v>92</v>
      </c>
      <c r="V1613" s="2"/>
      <c r="W1613" s="2"/>
      <c r="X1613" s="2"/>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row>
    <row r="1614" spans="2:47" ht="14.25" customHeight="1" x14ac:dyDescent="0.3">
      <c r="B1614" s="3"/>
      <c r="Q1614" s="1"/>
      <c r="R1614" s="1"/>
      <c r="S1614" s="2"/>
      <c r="T1614" s="2">
        <v>1500</v>
      </c>
      <c r="U1614" s="48" t="s">
        <v>92</v>
      </c>
      <c r="V1614" s="2"/>
      <c r="W1614" s="2"/>
      <c r="X1614" s="2"/>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row>
    <row r="1615" spans="2:47" ht="14.25" customHeight="1" x14ac:dyDescent="0.3">
      <c r="B1615" s="3"/>
      <c r="Q1615" s="1"/>
      <c r="R1615" s="1"/>
      <c r="S1615" s="2"/>
      <c r="T1615" s="2">
        <v>1501</v>
      </c>
      <c r="U1615" s="48" t="s">
        <v>92</v>
      </c>
      <c r="V1615" s="2"/>
      <c r="W1615" s="2"/>
      <c r="X1615" s="2"/>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row>
    <row r="1616" spans="2:47" ht="14.25" customHeight="1" x14ac:dyDescent="0.3">
      <c r="B1616" s="3"/>
      <c r="Q1616" s="1"/>
      <c r="R1616" s="1"/>
      <c r="S1616" s="2"/>
      <c r="T1616" s="2">
        <v>1502</v>
      </c>
      <c r="U1616" s="48" t="s">
        <v>92</v>
      </c>
      <c r="V1616" s="2"/>
      <c r="W1616" s="2"/>
      <c r="X1616" s="2"/>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row>
    <row r="1617" spans="2:47" ht="14.25" customHeight="1" x14ac:dyDescent="0.3">
      <c r="B1617" s="3"/>
      <c r="Q1617" s="1"/>
      <c r="R1617" s="1"/>
      <c r="S1617" s="2"/>
      <c r="T1617" s="2">
        <v>1503</v>
      </c>
      <c r="U1617" s="48" t="s">
        <v>92</v>
      </c>
      <c r="V1617" s="2"/>
      <c r="W1617" s="2"/>
      <c r="X1617" s="2"/>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row>
    <row r="1618" spans="2:47" ht="14.25" customHeight="1" x14ac:dyDescent="0.3">
      <c r="B1618" s="3"/>
      <c r="Q1618" s="1"/>
      <c r="R1618" s="1"/>
      <c r="S1618" s="2"/>
      <c r="T1618" s="2">
        <v>1504</v>
      </c>
      <c r="U1618" s="48" t="s">
        <v>92</v>
      </c>
      <c r="V1618" s="2"/>
      <c r="W1618" s="2"/>
      <c r="X1618" s="2"/>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row>
    <row r="1619" spans="2:47" ht="14.25" customHeight="1" x14ac:dyDescent="0.3">
      <c r="B1619" s="3"/>
      <c r="Q1619" s="1"/>
      <c r="R1619" s="1"/>
      <c r="S1619" s="2"/>
      <c r="T1619" s="2">
        <v>1505</v>
      </c>
      <c r="U1619" s="48" t="s">
        <v>92</v>
      </c>
      <c r="V1619" s="2"/>
      <c r="W1619" s="2"/>
      <c r="X1619" s="2"/>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row>
    <row r="1620" spans="2:47" ht="14.25" customHeight="1" x14ac:dyDescent="0.3">
      <c r="B1620" s="3"/>
      <c r="Q1620" s="1"/>
      <c r="R1620" s="1"/>
      <c r="S1620" s="2"/>
      <c r="T1620" s="2">
        <v>1506</v>
      </c>
      <c r="U1620" s="48" t="s">
        <v>92</v>
      </c>
      <c r="V1620" s="2"/>
      <c r="W1620" s="2"/>
      <c r="X1620" s="2"/>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row>
    <row r="1621" spans="2:47" ht="14.25" customHeight="1" x14ac:dyDescent="0.3">
      <c r="B1621" s="3"/>
      <c r="Q1621" s="1"/>
      <c r="R1621" s="1"/>
      <c r="S1621" s="2"/>
      <c r="T1621" s="2">
        <v>1507</v>
      </c>
      <c r="U1621" s="48" t="s">
        <v>92</v>
      </c>
      <c r="V1621" s="2"/>
      <c r="W1621" s="2"/>
      <c r="X1621" s="2"/>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row>
    <row r="1622" spans="2:47" ht="14.25" customHeight="1" x14ac:dyDescent="0.3">
      <c r="B1622" s="3"/>
      <c r="Q1622" s="1"/>
      <c r="R1622" s="1"/>
      <c r="S1622" s="2"/>
      <c r="T1622" s="2">
        <v>1508</v>
      </c>
      <c r="U1622" s="48" t="s">
        <v>92</v>
      </c>
      <c r="V1622" s="2"/>
      <c r="W1622" s="2"/>
      <c r="X1622" s="2"/>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row>
    <row r="1623" spans="2:47" ht="14.25" customHeight="1" x14ac:dyDescent="0.3">
      <c r="B1623" s="3"/>
      <c r="Q1623" s="1"/>
      <c r="R1623" s="1"/>
      <c r="S1623" s="2"/>
      <c r="T1623" s="2">
        <v>1509</v>
      </c>
      <c r="U1623" s="48" t="s">
        <v>92</v>
      </c>
      <c r="V1623" s="2"/>
      <c r="W1623" s="2"/>
      <c r="X1623" s="2"/>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row>
    <row r="1624" spans="2:47" ht="14.25" customHeight="1" x14ac:dyDescent="0.3">
      <c r="B1624" s="3"/>
      <c r="Q1624" s="1"/>
      <c r="R1624" s="1"/>
      <c r="S1624" s="2"/>
      <c r="T1624" s="2">
        <v>1510</v>
      </c>
      <c r="U1624" s="48" t="s">
        <v>92</v>
      </c>
      <c r="V1624" s="2"/>
      <c r="W1624" s="2"/>
      <c r="X1624" s="2"/>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row>
    <row r="1625" spans="2:47" ht="14.25" customHeight="1" x14ac:dyDescent="0.3">
      <c r="B1625" s="3"/>
      <c r="Q1625" s="1"/>
      <c r="R1625" s="1"/>
      <c r="S1625" s="2"/>
      <c r="T1625" s="2">
        <v>1511</v>
      </c>
      <c r="U1625" s="48" t="s">
        <v>92</v>
      </c>
      <c r="V1625" s="2"/>
      <c r="W1625" s="2"/>
      <c r="X1625" s="2"/>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row>
    <row r="1626" spans="2:47" ht="14.25" customHeight="1" x14ac:dyDescent="0.3">
      <c r="B1626" s="3"/>
      <c r="Q1626" s="1"/>
      <c r="R1626" s="1"/>
      <c r="S1626" s="2"/>
      <c r="T1626" s="2">
        <v>1512</v>
      </c>
      <c r="U1626" s="48" t="s">
        <v>92</v>
      </c>
      <c r="V1626" s="2"/>
      <c r="W1626" s="2"/>
      <c r="X1626" s="2"/>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row>
    <row r="1627" spans="2:47" ht="14.25" customHeight="1" x14ac:dyDescent="0.3">
      <c r="B1627" s="3"/>
      <c r="Q1627" s="1"/>
      <c r="R1627" s="1"/>
      <c r="S1627" s="2"/>
      <c r="T1627" s="2">
        <v>1513</v>
      </c>
      <c r="U1627" s="48" t="s">
        <v>92</v>
      </c>
      <c r="V1627" s="2"/>
      <c r="W1627" s="2"/>
      <c r="X1627" s="2"/>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row>
    <row r="1628" spans="2:47" ht="14.25" customHeight="1" x14ac:dyDescent="0.3">
      <c r="B1628" s="3"/>
      <c r="Q1628" s="1"/>
      <c r="R1628" s="1"/>
      <c r="S1628" s="2"/>
      <c r="T1628" s="2">
        <v>1514</v>
      </c>
      <c r="U1628" s="48" t="s">
        <v>92</v>
      </c>
      <c r="V1628" s="2"/>
      <c r="W1628" s="2"/>
      <c r="X1628" s="2"/>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row>
    <row r="1629" spans="2:47" ht="14.25" customHeight="1" x14ac:dyDescent="0.3">
      <c r="B1629" s="3"/>
      <c r="Q1629" s="1"/>
      <c r="R1629" s="1"/>
      <c r="S1629" s="2"/>
      <c r="T1629" s="2">
        <v>1515</v>
      </c>
      <c r="U1629" s="48" t="s">
        <v>92</v>
      </c>
      <c r="V1629" s="2"/>
      <c r="W1629" s="2"/>
      <c r="X1629" s="2"/>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row>
    <row r="1630" spans="2:47" ht="14.25" customHeight="1" x14ac:dyDescent="0.3">
      <c r="B1630" s="3"/>
      <c r="Q1630" s="1"/>
      <c r="R1630" s="1"/>
      <c r="S1630" s="2"/>
      <c r="T1630" s="2">
        <v>1516</v>
      </c>
      <c r="U1630" s="48" t="s">
        <v>92</v>
      </c>
      <c r="V1630" s="2"/>
      <c r="W1630" s="2"/>
      <c r="X1630" s="2"/>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row>
    <row r="1631" spans="2:47" ht="14.25" customHeight="1" x14ac:dyDescent="0.3">
      <c r="B1631" s="3"/>
      <c r="Q1631" s="1"/>
      <c r="R1631" s="1"/>
      <c r="S1631" s="2"/>
      <c r="T1631" s="2">
        <v>1517</v>
      </c>
      <c r="U1631" s="48" t="s">
        <v>92</v>
      </c>
      <c r="V1631" s="2"/>
      <c r="W1631" s="2"/>
      <c r="X1631" s="2"/>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row>
    <row r="1632" spans="2:47" ht="14.25" customHeight="1" x14ac:dyDescent="0.3">
      <c r="B1632" s="3"/>
      <c r="Q1632" s="1"/>
      <c r="R1632" s="1"/>
      <c r="S1632" s="2"/>
      <c r="T1632" s="2">
        <v>1518</v>
      </c>
      <c r="U1632" s="48" t="s">
        <v>92</v>
      </c>
      <c r="V1632" s="2"/>
      <c r="W1632" s="2"/>
      <c r="X1632" s="2"/>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row>
    <row r="1633" spans="2:47" ht="14.25" customHeight="1" x14ac:dyDescent="0.3">
      <c r="B1633" s="3"/>
      <c r="Q1633" s="1"/>
      <c r="R1633" s="1"/>
      <c r="S1633" s="2"/>
      <c r="T1633" s="2">
        <v>1519</v>
      </c>
      <c r="U1633" s="48" t="s">
        <v>92</v>
      </c>
      <c r="V1633" s="2"/>
      <c r="W1633" s="2"/>
      <c r="X1633" s="2"/>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row>
    <row r="1634" spans="2:47" ht="14.25" customHeight="1" x14ac:dyDescent="0.3">
      <c r="B1634" s="3"/>
      <c r="Q1634" s="1"/>
      <c r="R1634" s="1"/>
      <c r="S1634" s="2"/>
      <c r="T1634" s="2">
        <v>1520</v>
      </c>
      <c r="U1634" s="48" t="s">
        <v>92</v>
      </c>
      <c r="V1634" s="2"/>
      <c r="W1634" s="2"/>
      <c r="X1634" s="2"/>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row>
    <row r="1635" spans="2:47" ht="14.25" customHeight="1" x14ac:dyDescent="0.3">
      <c r="B1635" s="3"/>
      <c r="Q1635" s="1"/>
      <c r="R1635" s="1"/>
      <c r="S1635" s="2"/>
      <c r="T1635" s="2">
        <v>1521</v>
      </c>
      <c r="U1635" s="48" t="s">
        <v>92</v>
      </c>
      <c r="V1635" s="2"/>
      <c r="W1635" s="2"/>
      <c r="X1635" s="2"/>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row>
    <row r="1636" spans="2:47" ht="14.25" customHeight="1" x14ac:dyDescent="0.3">
      <c r="B1636" s="3"/>
      <c r="Q1636" s="1"/>
      <c r="R1636" s="1"/>
      <c r="S1636" s="2"/>
      <c r="T1636" s="2">
        <v>1522</v>
      </c>
      <c r="U1636" s="48" t="s">
        <v>92</v>
      </c>
      <c r="V1636" s="2"/>
      <c r="W1636" s="2"/>
      <c r="X1636" s="2"/>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row>
    <row r="1637" spans="2:47" ht="14.25" customHeight="1" x14ac:dyDescent="0.3">
      <c r="B1637" s="3"/>
      <c r="Q1637" s="1"/>
      <c r="R1637" s="1"/>
      <c r="S1637" s="2"/>
      <c r="T1637" s="2">
        <v>1523</v>
      </c>
      <c r="U1637" s="48" t="s">
        <v>92</v>
      </c>
      <c r="V1637" s="2"/>
      <c r="W1637" s="2"/>
      <c r="X1637" s="2"/>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row>
    <row r="1638" spans="2:47" ht="14.25" customHeight="1" x14ac:dyDescent="0.3">
      <c r="B1638" s="3"/>
      <c r="Q1638" s="1"/>
      <c r="R1638" s="1"/>
      <c r="S1638" s="2"/>
      <c r="T1638" s="2">
        <v>1524</v>
      </c>
      <c r="U1638" s="48" t="s">
        <v>92</v>
      </c>
      <c r="V1638" s="2"/>
      <c r="W1638" s="2"/>
      <c r="X1638" s="2"/>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row>
    <row r="1639" spans="2:47" ht="14.25" customHeight="1" x14ac:dyDescent="0.3">
      <c r="B1639" s="3"/>
      <c r="Q1639" s="1"/>
      <c r="R1639" s="1"/>
      <c r="S1639" s="2"/>
      <c r="T1639" s="2">
        <v>1525</v>
      </c>
      <c r="U1639" s="48" t="s">
        <v>92</v>
      </c>
      <c r="V1639" s="2"/>
      <c r="W1639" s="2"/>
      <c r="X1639" s="2"/>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row>
    <row r="1640" spans="2:47" ht="14.25" customHeight="1" x14ac:dyDescent="0.3">
      <c r="B1640" s="3"/>
      <c r="Q1640" s="1"/>
      <c r="R1640" s="1"/>
      <c r="S1640" s="2"/>
      <c r="T1640" s="2">
        <v>1526</v>
      </c>
      <c r="U1640" s="48" t="s">
        <v>92</v>
      </c>
      <c r="V1640" s="2"/>
      <c r="W1640" s="2"/>
      <c r="X1640" s="2"/>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row>
    <row r="1641" spans="2:47" ht="14.25" customHeight="1" x14ac:dyDescent="0.3">
      <c r="B1641" s="3"/>
      <c r="Q1641" s="1"/>
      <c r="R1641" s="1"/>
      <c r="S1641" s="2"/>
      <c r="T1641" s="2">
        <v>1527</v>
      </c>
      <c r="U1641" s="48" t="s">
        <v>92</v>
      </c>
      <c r="V1641" s="2"/>
      <c r="W1641" s="2"/>
      <c r="X1641" s="2"/>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row>
    <row r="1642" spans="2:47" ht="14.25" customHeight="1" x14ac:dyDescent="0.3">
      <c r="B1642" s="3"/>
      <c r="Q1642" s="1"/>
      <c r="R1642" s="1"/>
      <c r="S1642" s="2"/>
      <c r="T1642" s="2">
        <v>1528</v>
      </c>
      <c r="U1642" s="48" t="s">
        <v>92</v>
      </c>
      <c r="V1642" s="2"/>
      <c r="W1642" s="2"/>
      <c r="X1642" s="2"/>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row>
    <row r="1643" spans="2:47" ht="14.25" customHeight="1" x14ac:dyDescent="0.3">
      <c r="B1643" s="3"/>
      <c r="Q1643" s="1"/>
      <c r="R1643" s="1"/>
      <c r="S1643" s="2"/>
      <c r="T1643" s="2">
        <v>1529</v>
      </c>
      <c r="U1643" s="48" t="s">
        <v>92</v>
      </c>
      <c r="V1643" s="2"/>
      <c r="W1643" s="2"/>
      <c r="X1643" s="2"/>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row>
    <row r="1644" spans="2:47" ht="14.25" customHeight="1" x14ac:dyDescent="0.3">
      <c r="B1644" s="3"/>
      <c r="Q1644" s="1"/>
      <c r="R1644" s="1"/>
      <c r="S1644" s="2"/>
      <c r="T1644" s="2">
        <v>1530</v>
      </c>
      <c r="U1644" s="48" t="s">
        <v>92</v>
      </c>
      <c r="V1644" s="2"/>
      <c r="W1644" s="2"/>
      <c r="X1644" s="2"/>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row>
    <row r="1645" spans="2:47" ht="14.25" customHeight="1" x14ac:dyDescent="0.3">
      <c r="B1645" s="3"/>
      <c r="Q1645" s="1"/>
      <c r="R1645" s="1"/>
      <c r="S1645" s="2"/>
      <c r="T1645" s="2">
        <v>1531</v>
      </c>
      <c r="U1645" s="48" t="s">
        <v>92</v>
      </c>
      <c r="V1645" s="2"/>
      <c r="W1645" s="2"/>
      <c r="X1645" s="2"/>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row>
    <row r="1646" spans="2:47" ht="14.25" customHeight="1" x14ac:dyDescent="0.3">
      <c r="B1646" s="3"/>
      <c r="Q1646" s="1"/>
      <c r="R1646" s="1"/>
      <c r="S1646" s="2"/>
      <c r="T1646" s="2">
        <v>1532</v>
      </c>
      <c r="U1646" s="48" t="s">
        <v>92</v>
      </c>
      <c r="V1646" s="2"/>
      <c r="W1646" s="2"/>
      <c r="X1646" s="2"/>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row>
    <row r="1647" spans="2:47" ht="14.25" customHeight="1" x14ac:dyDescent="0.3">
      <c r="B1647" s="3"/>
      <c r="Q1647" s="1"/>
      <c r="R1647" s="1"/>
      <c r="S1647" s="2"/>
      <c r="T1647" s="2">
        <v>1533</v>
      </c>
      <c r="U1647" s="48" t="s">
        <v>92</v>
      </c>
      <c r="V1647" s="2"/>
      <c r="W1647" s="2"/>
      <c r="X1647" s="2"/>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row>
    <row r="1648" spans="2:47" ht="14.25" customHeight="1" x14ac:dyDescent="0.3">
      <c r="B1648" s="3"/>
      <c r="Q1648" s="1"/>
      <c r="R1648" s="1"/>
      <c r="S1648" s="2"/>
      <c r="T1648" s="2">
        <v>1534</v>
      </c>
      <c r="U1648" s="48" t="s">
        <v>92</v>
      </c>
      <c r="V1648" s="2"/>
      <c r="W1648" s="2"/>
      <c r="X1648" s="2"/>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row>
    <row r="1649" spans="2:47" ht="14.25" customHeight="1" x14ac:dyDescent="0.3">
      <c r="B1649" s="3"/>
      <c r="Q1649" s="1"/>
      <c r="R1649" s="1"/>
      <c r="S1649" s="2"/>
      <c r="T1649" s="2">
        <v>1535</v>
      </c>
      <c r="U1649" s="48" t="s">
        <v>92</v>
      </c>
      <c r="V1649" s="2"/>
      <c r="W1649" s="2"/>
      <c r="X1649" s="2"/>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row>
    <row r="1650" spans="2:47" ht="14.25" customHeight="1" x14ac:dyDescent="0.3">
      <c r="B1650" s="3"/>
      <c r="Q1650" s="1"/>
      <c r="R1650" s="1"/>
      <c r="S1650" s="2"/>
      <c r="T1650" s="2">
        <v>1536</v>
      </c>
      <c r="U1650" s="48" t="s">
        <v>92</v>
      </c>
      <c r="V1650" s="2"/>
      <c r="W1650" s="2"/>
      <c r="X1650" s="2"/>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row>
    <row r="1651" spans="2:47" ht="14.25" customHeight="1" x14ac:dyDescent="0.3">
      <c r="B1651" s="3"/>
      <c r="Q1651" s="1"/>
      <c r="R1651" s="1"/>
      <c r="S1651" s="2"/>
      <c r="T1651" s="2">
        <v>1537</v>
      </c>
      <c r="U1651" s="48" t="s">
        <v>92</v>
      </c>
      <c r="V1651" s="2"/>
      <c r="W1651" s="2"/>
      <c r="X1651" s="2"/>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row>
    <row r="1652" spans="2:47" ht="14.25" customHeight="1" x14ac:dyDescent="0.3">
      <c r="B1652" s="3"/>
      <c r="Q1652" s="1"/>
      <c r="R1652" s="1"/>
      <c r="S1652" s="2"/>
      <c r="T1652" s="2">
        <v>1538</v>
      </c>
      <c r="U1652" s="48" t="s">
        <v>92</v>
      </c>
      <c r="V1652" s="2"/>
      <c r="W1652" s="2"/>
      <c r="X1652" s="2"/>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row>
    <row r="1653" spans="2:47" ht="14.25" customHeight="1" x14ac:dyDescent="0.3">
      <c r="B1653" s="3"/>
      <c r="Q1653" s="1"/>
      <c r="R1653" s="1"/>
      <c r="S1653" s="2"/>
      <c r="T1653" s="2">
        <v>1539</v>
      </c>
      <c r="U1653" s="48" t="s">
        <v>92</v>
      </c>
      <c r="V1653" s="2"/>
      <c r="W1653" s="2"/>
      <c r="X1653" s="2"/>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row>
    <row r="1654" spans="2:47" ht="14.25" customHeight="1" x14ac:dyDescent="0.3">
      <c r="B1654" s="3"/>
      <c r="Q1654" s="1"/>
      <c r="R1654" s="1"/>
      <c r="S1654" s="2"/>
      <c r="T1654" s="2">
        <v>1540</v>
      </c>
      <c r="U1654" s="48" t="s">
        <v>92</v>
      </c>
      <c r="V1654" s="2"/>
      <c r="W1654" s="2"/>
      <c r="X1654" s="2"/>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row>
    <row r="1655" spans="2:47" ht="14.25" customHeight="1" x14ac:dyDescent="0.3">
      <c r="B1655" s="3"/>
      <c r="Q1655" s="1"/>
      <c r="R1655" s="1"/>
      <c r="S1655" s="2"/>
      <c r="T1655" s="2">
        <v>1541</v>
      </c>
      <c r="U1655" s="48" t="s">
        <v>92</v>
      </c>
      <c r="V1655" s="2"/>
      <c r="W1655" s="2"/>
      <c r="X1655" s="2"/>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row>
    <row r="1656" spans="2:47" ht="14.25" customHeight="1" x14ac:dyDescent="0.3">
      <c r="B1656" s="3"/>
      <c r="Q1656" s="1"/>
      <c r="R1656" s="1"/>
      <c r="S1656" s="2"/>
      <c r="T1656" s="2">
        <v>1542</v>
      </c>
      <c r="U1656" s="48" t="s">
        <v>92</v>
      </c>
      <c r="V1656" s="2"/>
      <c r="W1656" s="2"/>
      <c r="X1656" s="2"/>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row>
    <row r="1657" spans="2:47" ht="14.25" customHeight="1" x14ac:dyDescent="0.3">
      <c r="B1657" s="3"/>
      <c r="Q1657" s="1"/>
      <c r="R1657" s="1"/>
      <c r="S1657" s="2"/>
      <c r="T1657" s="2">
        <v>1543</v>
      </c>
      <c r="U1657" s="48" t="s">
        <v>92</v>
      </c>
      <c r="V1657" s="2"/>
      <c r="W1657" s="2"/>
      <c r="X1657" s="2"/>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row>
    <row r="1658" spans="2:47" ht="14.25" customHeight="1" x14ac:dyDescent="0.3">
      <c r="B1658" s="3"/>
      <c r="Q1658" s="1"/>
      <c r="R1658" s="1"/>
      <c r="S1658" s="2"/>
      <c r="T1658" s="2">
        <v>1544</v>
      </c>
      <c r="U1658" s="48" t="s">
        <v>92</v>
      </c>
      <c r="V1658" s="2"/>
      <c r="W1658" s="2"/>
      <c r="X1658" s="2"/>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row>
    <row r="1659" spans="2:47" ht="14.25" customHeight="1" x14ac:dyDescent="0.3">
      <c r="B1659" s="3"/>
      <c r="Q1659" s="1"/>
      <c r="R1659" s="1"/>
      <c r="S1659" s="2"/>
      <c r="T1659" s="2">
        <v>1545</v>
      </c>
      <c r="U1659" s="48" t="s">
        <v>92</v>
      </c>
      <c r="V1659" s="2"/>
      <c r="W1659" s="2"/>
      <c r="X1659" s="2"/>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row>
    <row r="1660" spans="2:47" ht="14.25" customHeight="1" x14ac:dyDescent="0.3">
      <c r="B1660" s="3"/>
      <c r="Q1660" s="1"/>
      <c r="R1660" s="1"/>
      <c r="S1660" s="2"/>
      <c r="T1660" s="2">
        <v>1546</v>
      </c>
      <c r="U1660" s="48" t="s">
        <v>92</v>
      </c>
      <c r="V1660" s="2"/>
      <c r="W1660" s="2"/>
      <c r="X1660" s="2"/>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row>
    <row r="1661" spans="2:47" ht="14.25" customHeight="1" x14ac:dyDescent="0.3">
      <c r="B1661" s="3"/>
      <c r="Q1661" s="1"/>
      <c r="R1661" s="1"/>
      <c r="S1661" s="2"/>
      <c r="T1661" s="2">
        <v>1547</v>
      </c>
      <c r="U1661" s="48" t="s">
        <v>92</v>
      </c>
      <c r="V1661" s="2"/>
      <c r="W1661" s="2"/>
      <c r="X1661" s="2"/>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row>
    <row r="1662" spans="2:47" ht="14.25" customHeight="1" x14ac:dyDescent="0.3">
      <c r="B1662" s="3"/>
      <c r="Q1662" s="1"/>
      <c r="R1662" s="1"/>
      <c r="S1662" s="2"/>
      <c r="T1662" s="2">
        <v>1548</v>
      </c>
      <c r="U1662" s="48" t="s">
        <v>92</v>
      </c>
      <c r="V1662" s="2"/>
      <c r="W1662" s="2"/>
      <c r="X1662" s="2"/>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row>
    <row r="1663" spans="2:47" ht="14.25" customHeight="1" x14ac:dyDescent="0.3">
      <c r="B1663" s="3"/>
      <c r="Q1663" s="1"/>
      <c r="R1663" s="1"/>
      <c r="S1663" s="2"/>
      <c r="T1663" s="2">
        <v>1549</v>
      </c>
      <c r="U1663" s="48" t="s">
        <v>92</v>
      </c>
      <c r="V1663" s="2"/>
      <c r="W1663" s="2"/>
      <c r="X1663" s="2"/>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row>
    <row r="1664" spans="2:47" ht="14.25" customHeight="1" x14ac:dyDescent="0.3">
      <c r="B1664" s="3"/>
      <c r="Q1664" s="1"/>
      <c r="R1664" s="1"/>
      <c r="S1664" s="2"/>
      <c r="T1664" s="2">
        <v>1550</v>
      </c>
      <c r="U1664" s="48" t="s">
        <v>92</v>
      </c>
      <c r="V1664" s="2"/>
      <c r="W1664" s="2"/>
      <c r="X1664" s="2"/>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row>
    <row r="1665" spans="2:47" ht="14.25" customHeight="1" x14ac:dyDescent="0.3">
      <c r="B1665" s="3"/>
      <c r="Q1665" s="1"/>
      <c r="R1665" s="1"/>
      <c r="S1665" s="2"/>
      <c r="T1665" s="2">
        <v>1551</v>
      </c>
      <c r="U1665" s="48" t="s">
        <v>92</v>
      </c>
      <c r="V1665" s="2"/>
      <c r="W1665" s="2"/>
      <c r="X1665" s="2"/>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row>
    <row r="1666" spans="2:47" ht="14.25" customHeight="1" x14ac:dyDescent="0.3">
      <c r="B1666" s="3"/>
      <c r="Q1666" s="1"/>
      <c r="R1666" s="1"/>
      <c r="S1666" s="2"/>
      <c r="T1666" s="2">
        <v>1552</v>
      </c>
      <c r="U1666" s="48" t="s">
        <v>92</v>
      </c>
      <c r="V1666" s="2"/>
      <c r="W1666" s="2"/>
      <c r="X1666" s="2"/>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row>
    <row r="1667" spans="2:47" ht="14.25" customHeight="1" x14ac:dyDescent="0.3">
      <c r="B1667" s="3"/>
      <c r="Q1667" s="1"/>
      <c r="R1667" s="1"/>
      <c r="S1667" s="2"/>
      <c r="T1667" s="2">
        <v>1553</v>
      </c>
      <c r="U1667" s="48" t="s">
        <v>92</v>
      </c>
      <c r="V1667" s="2"/>
      <c r="W1667" s="2"/>
      <c r="X1667" s="2"/>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row>
    <row r="1668" spans="2:47" ht="14.25" customHeight="1" x14ac:dyDescent="0.3">
      <c r="B1668" s="3"/>
      <c r="Q1668" s="1"/>
      <c r="R1668" s="1"/>
      <c r="S1668" s="2"/>
      <c r="T1668" s="2">
        <v>1554</v>
      </c>
      <c r="U1668" s="48" t="s">
        <v>92</v>
      </c>
      <c r="V1668" s="2"/>
      <c r="W1668" s="2"/>
      <c r="X1668" s="2"/>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row>
    <row r="1669" spans="2:47" ht="14.25" customHeight="1" x14ac:dyDescent="0.3">
      <c r="B1669" s="3"/>
      <c r="Q1669" s="1"/>
      <c r="R1669" s="1"/>
      <c r="S1669" s="2"/>
      <c r="T1669" s="2">
        <v>1555</v>
      </c>
      <c r="U1669" s="48" t="s">
        <v>92</v>
      </c>
      <c r="V1669" s="2"/>
      <c r="W1669" s="2"/>
      <c r="X1669" s="2"/>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row>
    <row r="1670" spans="2:47" ht="14.25" customHeight="1" x14ac:dyDescent="0.3">
      <c r="B1670" s="3"/>
      <c r="Q1670" s="1"/>
      <c r="R1670" s="1"/>
      <c r="S1670" s="2"/>
      <c r="T1670" s="2">
        <v>1556</v>
      </c>
      <c r="U1670" s="48" t="s">
        <v>92</v>
      </c>
      <c r="V1670" s="2"/>
      <c r="W1670" s="2"/>
      <c r="X1670" s="2"/>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row>
    <row r="1671" spans="2:47" ht="14.25" customHeight="1" x14ac:dyDescent="0.3">
      <c r="B1671" s="3"/>
      <c r="Q1671" s="1"/>
      <c r="R1671" s="1"/>
      <c r="S1671" s="2"/>
      <c r="T1671" s="2">
        <v>1557</v>
      </c>
      <c r="U1671" s="48" t="s">
        <v>92</v>
      </c>
      <c r="V1671" s="2"/>
      <c r="W1671" s="2"/>
      <c r="X1671" s="2"/>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row>
    <row r="1672" spans="2:47" ht="14.25" customHeight="1" x14ac:dyDescent="0.3">
      <c r="B1672" s="3"/>
      <c r="Q1672" s="1"/>
      <c r="R1672" s="1"/>
      <c r="S1672" s="2"/>
      <c r="T1672" s="2">
        <v>1558</v>
      </c>
      <c r="U1672" s="48" t="s">
        <v>92</v>
      </c>
      <c r="V1672" s="2"/>
      <c r="W1672" s="2"/>
      <c r="X1672" s="2"/>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row>
    <row r="1673" spans="2:47" ht="14.25" customHeight="1" x14ac:dyDescent="0.3">
      <c r="B1673" s="3"/>
      <c r="Q1673" s="1"/>
      <c r="R1673" s="1"/>
      <c r="S1673" s="2"/>
      <c r="T1673" s="2">
        <v>1559</v>
      </c>
      <c r="U1673" s="48" t="s">
        <v>92</v>
      </c>
      <c r="V1673" s="2"/>
      <c r="W1673" s="2"/>
      <c r="X1673" s="2"/>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row>
    <row r="1674" spans="2:47" ht="14.25" customHeight="1" x14ac:dyDescent="0.3">
      <c r="B1674" s="3"/>
      <c r="Q1674" s="1"/>
      <c r="R1674" s="1"/>
      <c r="S1674" s="2"/>
      <c r="T1674" s="2">
        <v>1560</v>
      </c>
      <c r="U1674" s="48" t="s">
        <v>92</v>
      </c>
      <c r="V1674" s="2"/>
      <c r="W1674" s="2"/>
      <c r="X1674" s="2"/>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row>
    <row r="1675" spans="2:47" ht="14.25" customHeight="1" x14ac:dyDescent="0.3">
      <c r="B1675" s="3"/>
      <c r="Q1675" s="1"/>
      <c r="R1675" s="1"/>
      <c r="S1675" s="2"/>
      <c r="T1675" s="2">
        <v>1561</v>
      </c>
      <c r="U1675" s="48" t="s">
        <v>92</v>
      </c>
      <c r="V1675" s="2"/>
      <c r="W1675" s="2"/>
      <c r="X1675" s="2"/>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row>
    <row r="1676" spans="2:47" ht="14.25" customHeight="1" x14ac:dyDescent="0.3">
      <c r="B1676" s="3"/>
      <c r="Q1676" s="1"/>
      <c r="R1676" s="1"/>
      <c r="S1676" s="2"/>
      <c r="T1676" s="2">
        <v>1562</v>
      </c>
      <c r="U1676" s="48" t="s">
        <v>92</v>
      </c>
      <c r="V1676" s="2"/>
      <c r="W1676" s="2"/>
      <c r="X1676" s="2"/>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row>
    <row r="1677" spans="2:47" ht="14.25" customHeight="1" x14ac:dyDescent="0.3">
      <c r="B1677" s="3"/>
      <c r="Q1677" s="1"/>
      <c r="R1677" s="1"/>
      <c r="S1677" s="2"/>
      <c r="T1677" s="2">
        <v>1563</v>
      </c>
      <c r="U1677" s="48" t="s">
        <v>92</v>
      </c>
      <c r="V1677" s="2"/>
      <c r="W1677" s="2"/>
      <c r="X1677" s="2"/>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row>
    <row r="1678" spans="2:47" ht="14.25" customHeight="1" x14ac:dyDescent="0.3">
      <c r="B1678" s="3"/>
      <c r="Q1678" s="1"/>
      <c r="R1678" s="1"/>
      <c r="S1678" s="2"/>
      <c r="T1678" s="2">
        <v>1564</v>
      </c>
      <c r="U1678" s="48" t="s">
        <v>92</v>
      </c>
      <c r="V1678" s="2"/>
      <c r="W1678" s="2"/>
      <c r="X1678" s="2"/>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row>
    <row r="1679" spans="2:47" ht="14.25" customHeight="1" x14ac:dyDescent="0.3">
      <c r="B1679" s="3"/>
      <c r="Q1679" s="1"/>
      <c r="R1679" s="1"/>
      <c r="S1679" s="2"/>
      <c r="T1679" s="2">
        <v>1565</v>
      </c>
      <c r="U1679" s="48" t="s">
        <v>92</v>
      </c>
      <c r="V1679" s="2"/>
      <c r="W1679" s="2"/>
      <c r="X1679" s="2"/>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row>
    <row r="1680" spans="2:47" ht="14.25" customHeight="1" x14ac:dyDescent="0.3">
      <c r="B1680" s="3"/>
      <c r="Q1680" s="1"/>
      <c r="R1680" s="1"/>
      <c r="S1680" s="2"/>
      <c r="T1680" s="2">
        <v>1566</v>
      </c>
      <c r="U1680" s="48" t="s">
        <v>92</v>
      </c>
      <c r="V1680" s="2"/>
      <c r="W1680" s="2"/>
      <c r="X1680" s="2"/>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row>
    <row r="1681" spans="2:47" ht="14.25" customHeight="1" x14ac:dyDescent="0.3">
      <c r="B1681" s="3"/>
      <c r="Q1681" s="1"/>
      <c r="R1681" s="1"/>
      <c r="S1681" s="2"/>
      <c r="T1681" s="2">
        <v>1567</v>
      </c>
      <c r="U1681" s="48" t="s">
        <v>92</v>
      </c>
      <c r="V1681" s="2"/>
      <c r="W1681" s="2"/>
      <c r="X1681" s="2"/>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row>
    <row r="1682" spans="2:47" ht="14.25" customHeight="1" x14ac:dyDescent="0.3">
      <c r="B1682" s="3"/>
      <c r="Q1682" s="1"/>
      <c r="R1682" s="1"/>
      <c r="S1682" s="2"/>
      <c r="T1682" s="2">
        <v>1568</v>
      </c>
      <c r="U1682" s="48" t="s">
        <v>92</v>
      </c>
      <c r="V1682" s="2"/>
      <c r="W1682" s="2"/>
      <c r="X1682" s="2"/>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row>
    <row r="1683" spans="2:47" ht="14.25" customHeight="1" x14ac:dyDescent="0.3">
      <c r="B1683" s="3"/>
      <c r="Q1683" s="1"/>
      <c r="R1683" s="1"/>
      <c r="S1683" s="2"/>
      <c r="T1683" s="2">
        <v>1569</v>
      </c>
      <c r="U1683" s="48" t="s">
        <v>92</v>
      </c>
      <c r="V1683" s="2"/>
      <c r="W1683" s="2"/>
      <c r="X1683" s="2"/>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row>
    <row r="1684" spans="2:47" ht="14.25" customHeight="1" x14ac:dyDescent="0.3">
      <c r="B1684" s="3"/>
      <c r="Q1684" s="1"/>
      <c r="R1684" s="1"/>
      <c r="S1684" s="2"/>
      <c r="T1684" s="2">
        <v>1570</v>
      </c>
      <c r="U1684" s="48" t="s">
        <v>92</v>
      </c>
      <c r="V1684" s="2"/>
      <c r="W1684" s="2"/>
      <c r="X1684" s="2"/>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row>
    <row r="1685" spans="2:47" ht="14.25" customHeight="1" x14ac:dyDescent="0.3">
      <c r="B1685" s="3"/>
      <c r="Q1685" s="1"/>
      <c r="R1685" s="1"/>
      <c r="S1685" s="2"/>
      <c r="T1685" s="2">
        <v>1571</v>
      </c>
      <c r="U1685" s="48" t="s">
        <v>92</v>
      </c>
      <c r="V1685" s="2"/>
      <c r="W1685" s="2"/>
      <c r="X1685" s="2"/>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row>
    <row r="1686" spans="2:47" ht="14.25" customHeight="1" x14ac:dyDescent="0.3">
      <c r="B1686" s="3"/>
      <c r="Q1686" s="1"/>
      <c r="R1686" s="1"/>
      <c r="S1686" s="2"/>
      <c r="T1686" s="2">
        <v>1572</v>
      </c>
      <c r="U1686" s="48" t="s">
        <v>92</v>
      </c>
      <c r="V1686" s="2"/>
      <c r="W1686" s="2"/>
      <c r="X1686" s="2"/>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row>
    <row r="1687" spans="2:47" ht="14.25" customHeight="1" x14ac:dyDescent="0.3">
      <c r="B1687" s="3"/>
      <c r="Q1687" s="1"/>
      <c r="R1687" s="1"/>
      <c r="S1687" s="2"/>
      <c r="T1687" s="2">
        <v>1573</v>
      </c>
      <c r="U1687" s="48" t="s">
        <v>92</v>
      </c>
      <c r="V1687" s="2"/>
      <c r="W1687" s="2"/>
      <c r="X1687" s="2"/>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row>
    <row r="1688" spans="2:47" ht="14.25" customHeight="1" x14ac:dyDescent="0.3">
      <c r="B1688" s="3"/>
      <c r="Q1688" s="1"/>
      <c r="R1688" s="1"/>
      <c r="S1688" s="2"/>
      <c r="T1688" s="2">
        <v>1574</v>
      </c>
      <c r="U1688" s="48" t="s">
        <v>92</v>
      </c>
      <c r="V1688" s="2"/>
      <c r="W1688" s="2"/>
      <c r="X1688" s="2"/>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row>
    <row r="1689" spans="2:47" ht="14.25" customHeight="1" x14ac:dyDescent="0.3">
      <c r="B1689" s="3"/>
      <c r="Q1689" s="1"/>
      <c r="R1689" s="1"/>
      <c r="S1689" s="2"/>
      <c r="T1689" s="2">
        <v>1575</v>
      </c>
      <c r="U1689" s="48" t="s">
        <v>92</v>
      </c>
      <c r="V1689" s="2"/>
      <c r="W1689" s="2"/>
      <c r="X1689" s="2"/>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row>
    <row r="1690" spans="2:47" ht="14.25" customHeight="1" x14ac:dyDescent="0.3">
      <c r="B1690" s="3"/>
      <c r="Q1690" s="1"/>
      <c r="R1690" s="1"/>
      <c r="S1690" s="2"/>
      <c r="T1690" s="2">
        <v>1576</v>
      </c>
      <c r="U1690" s="48" t="s">
        <v>92</v>
      </c>
      <c r="V1690" s="2"/>
      <c r="W1690" s="2"/>
      <c r="X1690" s="2"/>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row>
    <row r="1691" spans="2:47" ht="14.25" customHeight="1" x14ac:dyDescent="0.3">
      <c r="B1691" s="3"/>
      <c r="Q1691" s="1"/>
      <c r="R1691" s="1"/>
      <c r="S1691" s="2"/>
      <c r="T1691" s="2">
        <v>1577</v>
      </c>
      <c r="U1691" s="48" t="s">
        <v>92</v>
      </c>
      <c r="V1691" s="2"/>
      <c r="W1691" s="2"/>
      <c r="X1691" s="2"/>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row>
    <row r="1692" spans="2:47" ht="14.25" customHeight="1" x14ac:dyDescent="0.3">
      <c r="B1692" s="3"/>
      <c r="Q1692" s="1"/>
      <c r="R1692" s="1"/>
      <c r="S1692" s="2"/>
      <c r="T1692" s="2">
        <v>1578</v>
      </c>
      <c r="U1692" s="48" t="s">
        <v>92</v>
      </c>
      <c r="V1692" s="2"/>
      <c r="W1692" s="2"/>
      <c r="X1692" s="2"/>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row>
    <row r="1693" spans="2:47" ht="14.25" customHeight="1" x14ac:dyDescent="0.3">
      <c r="B1693" s="3"/>
      <c r="Q1693" s="1"/>
      <c r="R1693" s="1"/>
      <c r="S1693" s="2"/>
      <c r="T1693" s="2">
        <v>1579</v>
      </c>
      <c r="U1693" s="48" t="s">
        <v>92</v>
      </c>
      <c r="V1693" s="2"/>
      <c r="W1693" s="2"/>
      <c r="X1693" s="2"/>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row>
    <row r="1694" spans="2:47" ht="14.25" customHeight="1" x14ac:dyDescent="0.3">
      <c r="B1694" s="3"/>
      <c r="Q1694" s="1"/>
      <c r="R1694" s="1"/>
      <c r="S1694" s="2"/>
      <c r="T1694" s="2">
        <v>1580</v>
      </c>
      <c r="U1694" s="48" t="s">
        <v>92</v>
      </c>
      <c r="V1694" s="2"/>
      <c r="W1694" s="2"/>
      <c r="X1694" s="2"/>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row>
    <row r="1695" spans="2:47" ht="14.25" customHeight="1" x14ac:dyDescent="0.3">
      <c r="B1695" s="3"/>
      <c r="Q1695" s="1"/>
      <c r="R1695" s="1"/>
      <c r="S1695" s="2"/>
      <c r="T1695" s="2">
        <v>1581</v>
      </c>
      <c r="U1695" s="48" t="s">
        <v>92</v>
      </c>
      <c r="V1695" s="2"/>
      <c r="W1695" s="2"/>
      <c r="X1695" s="2"/>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row>
    <row r="1696" spans="2:47" ht="14.25" customHeight="1" x14ac:dyDescent="0.3">
      <c r="B1696" s="3"/>
      <c r="Q1696" s="1"/>
      <c r="R1696" s="1"/>
      <c r="S1696" s="2"/>
      <c r="T1696" s="2">
        <v>1582</v>
      </c>
      <c r="U1696" s="48" t="s">
        <v>92</v>
      </c>
      <c r="V1696" s="2"/>
      <c r="W1696" s="2"/>
      <c r="X1696" s="2"/>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row>
    <row r="1697" spans="2:47" ht="14.25" customHeight="1" x14ac:dyDescent="0.3">
      <c r="B1697" s="3"/>
      <c r="Q1697" s="1"/>
      <c r="R1697" s="1"/>
      <c r="S1697" s="2"/>
      <c r="T1697" s="2">
        <v>1583</v>
      </c>
      <c r="U1697" s="48" t="s">
        <v>92</v>
      </c>
      <c r="V1697" s="2"/>
      <c r="W1697" s="2"/>
      <c r="X1697" s="2"/>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row>
    <row r="1698" spans="2:47" ht="14.25" customHeight="1" x14ac:dyDescent="0.3">
      <c r="B1698" s="3"/>
      <c r="Q1698" s="1"/>
      <c r="R1698" s="1"/>
      <c r="S1698" s="2"/>
      <c r="T1698" s="2">
        <v>1584</v>
      </c>
      <c r="U1698" s="48" t="s">
        <v>92</v>
      </c>
      <c r="V1698" s="2"/>
      <c r="W1698" s="2"/>
      <c r="X1698" s="2"/>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row>
    <row r="1699" spans="2:47" ht="14.25" customHeight="1" x14ac:dyDescent="0.3">
      <c r="B1699" s="3"/>
      <c r="Q1699" s="1"/>
      <c r="R1699" s="1"/>
      <c r="S1699" s="2"/>
      <c r="T1699" s="2">
        <v>1585</v>
      </c>
      <c r="U1699" s="48" t="s">
        <v>92</v>
      </c>
      <c r="V1699" s="2"/>
      <c r="W1699" s="2"/>
      <c r="X1699" s="2"/>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row>
    <row r="1700" spans="2:47" ht="14.25" customHeight="1" x14ac:dyDescent="0.3">
      <c r="B1700" s="3"/>
      <c r="Q1700" s="1"/>
      <c r="R1700" s="1"/>
      <c r="S1700" s="2"/>
      <c r="T1700" s="2">
        <v>1586</v>
      </c>
      <c r="U1700" s="48" t="s">
        <v>92</v>
      </c>
      <c r="V1700" s="2"/>
      <c r="W1700" s="2"/>
      <c r="X1700" s="2"/>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row>
    <row r="1701" spans="2:47" ht="14.25" customHeight="1" x14ac:dyDescent="0.3">
      <c r="B1701" s="3"/>
      <c r="Q1701" s="1"/>
      <c r="R1701" s="1"/>
      <c r="S1701" s="2"/>
      <c r="T1701" s="2">
        <v>1587</v>
      </c>
      <c r="U1701" s="48" t="s">
        <v>92</v>
      </c>
      <c r="V1701" s="2"/>
      <c r="W1701" s="2"/>
      <c r="X1701" s="2"/>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row>
    <row r="1702" spans="2:47" ht="14.25" customHeight="1" x14ac:dyDescent="0.3">
      <c r="B1702" s="3"/>
      <c r="Q1702" s="1"/>
      <c r="R1702" s="1"/>
      <c r="S1702" s="2"/>
      <c r="T1702" s="2">
        <v>1588</v>
      </c>
      <c r="U1702" s="48" t="s">
        <v>92</v>
      </c>
      <c r="V1702" s="2"/>
      <c r="W1702" s="2"/>
      <c r="X1702" s="2"/>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row>
    <row r="1703" spans="2:47" ht="14.25" customHeight="1" x14ac:dyDescent="0.3">
      <c r="B1703" s="3"/>
      <c r="Q1703" s="1"/>
      <c r="R1703" s="1"/>
      <c r="S1703" s="2"/>
      <c r="T1703" s="2">
        <v>1589</v>
      </c>
      <c r="U1703" s="48" t="s">
        <v>92</v>
      </c>
      <c r="V1703" s="2"/>
      <c r="W1703" s="2"/>
      <c r="X1703" s="2"/>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row>
    <row r="1704" spans="2:47" ht="14.25" customHeight="1" x14ac:dyDescent="0.3">
      <c r="B1704" s="3"/>
      <c r="Q1704" s="1"/>
      <c r="R1704" s="1"/>
      <c r="S1704" s="2"/>
      <c r="T1704" s="2">
        <v>1590</v>
      </c>
      <c r="U1704" s="48" t="s">
        <v>92</v>
      </c>
      <c r="V1704" s="2"/>
      <c r="W1704" s="2"/>
      <c r="X1704" s="2"/>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row>
    <row r="1705" spans="2:47" ht="14.25" customHeight="1" x14ac:dyDescent="0.3">
      <c r="B1705" s="3"/>
      <c r="Q1705" s="1"/>
      <c r="R1705" s="1"/>
      <c r="S1705" s="2"/>
      <c r="T1705" s="2">
        <v>1591</v>
      </c>
      <c r="U1705" s="48" t="s">
        <v>92</v>
      </c>
      <c r="V1705" s="2"/>
      <c r="W1705" s="2"/>
      <c r="X1705" s="2"/>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row>
    <row r="1706" spans="2:47" ht="14.25" customHeight="1" x14ac:dyDescent="0.3">
      <c r="B1706" s="3"/>
      <c r="Q1706" s="1"/>
      <c r="R1706" s="1"/>
      <c r="S1706" s="2"/>
      <c r="T1706" s="2">
        <v>1592</v>
      </c>
      <c r="U1706" s="48" t="s">
        <v>92</v>
      </c>
      <c r="V1706" s="2"/>
      <c r="W1706" s="2"/>
      <c r="X1706" s="2"/>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row>
    <row r="1707" spans="2:47" ht="14.25" customHeight="1" x14ac:dyDescent="0.3">
      <c r="B1707" s="3"/>
      <c r="Q1707" s="1"/>
      <c r="R1707" s="1"/>
      <c r="S1707" s="2"/>
      <c r="T1707" s="2">
        <v>1593</v>
      </c>
      <c r="U1707" s="48" t="s">
        <v>92</v>
      </c>
      <c r="V1707" s="2"/>
      <c r="W1707" s="2"/>
      <c r="X1707" s="2"/>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row>
    <row r="1708" spans="2:47" ht="14.25" customHeight="1" x14ac:dyDescent="0.3">
      <c r="B1708" s="3"/>
      <c r="Q1708" s="1"/>
      <c r="R1708" s="1"/>
      <c r="S1708" s="2"/>
      <c r="T1708" s="2">
        <v>1594</v>
      </c>
      <c r="U1708" s="48" t="s">
        <v>92</v>
      </c>
      <c r="V1708" s="2"/>
      <c r="W1708" s="2"/>
      <c r="X1708" s="2"/>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row>
    <row r="1709" spans="2:47" ht="14.25" customHeight="1" x14ac:dyDescent="0.3">
      <c r="B1709" s="3"/>
      <c r="Q1709" s="1"/>
      <c r="R1709" s="1"/>
      <c r="S1709" s="2"/>
      <c r="T1709" s="2">
        <v>1595</v>
      </c>
      <c r="U1709" s="48" t="s">
        <v>92</v>
      </c>
      <c r="V1709" s="2"/>
      <c r="W1709" s="2"/>
      <c r="X1709" s="2"/>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row>
    <row r="1710" spans="2:47" ht="14.25" customHeight="1" x14ac:dyDescent="0.3">
      <c r="B1710" s="3"/>
      <c r="Q1710" s="1"/>
      <c r="R1710" s="1"/>
      <c r="S1710" s="2"/>
      <c r="T1710" s="2">
        <v>1596</v>
      </c>
      <c r="U1710" s="48" t="s">
        <v>92</v>
      </c>
      <c r="V1710" s="2"/>
      <c r="W1710" s="2"/>
      <c r="X1710" s="2"/>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row>
    <row r="1711" spans="2:47" ht="14.25" customHeight="1" x14ac:dyDescent="0.3">
      <c r="B1711" s="3"/>
      <c r="Q1711" s="1"/>
      <c r="R1711" s="1"/>
      <c r="S1711" s="2"/>
      <c r="T1711" s="2">
        <v>1597</v>
      </c>
      <c r="U1711" s="48" t="s">
        <v>92</v>
      </c>
      <c r="V1711" s="2"/>
      <c r="W1711" s="2"/>
      <c r="X1711" s="2"/>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row>
    <row r="1712" spans="2:47" ht="14.25" customHeight="1" x14ac:dyDescent="0.3">
      <c r="B1712" s="3"/>
      <c r="Q1712" s="1"/>
      <c r="R1712" s="1"/>
      <c r="S1712" s="2"/>
      <c r="T1712" s="2">
        <v>1598</v>
      </c>
      <c r="U1712" s="48" t="s">
        <v>92</v>
      </c>
      <c r="V1712" s="2"/>
      <c r="W1712" s="2"/>
      <c r="X1712" s="2"/>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row>
    <row r="1713" spans="2:47" ht="14.25" customHeight="1" x14ac:dyDescent="0.3">
      <c r="B1713" s="3"/>
      <c r="Q1713" s="1"/>
      <c r="R1713" s="1"/>
      <c r="S1713" s="2"/>
      <c r="T1713" s="2">
        <v>1599</v>
      </c>
      <c r="U1713" s="48" t="s">
        <v>92</v>
      </c>
      <c r="V1713" s="2"/>
      <c r="W1713" s="2"/>
      <c r="X1713" s="2"/>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row>
    <row r="1714" spans="2:47" ht="14.25" customHeight="1" x14ac:dyDescent="0.3">
      <c r="B1714" s="3"/>
      <c r="Q1714" s="1"/>
      <c r="R1714" s="1"/>
      <c r="S1714" s="2"/>
      <c r="T1714" s="2">
        <v>1600</v>
      </c>
      <c r="U1714" s="48" t="s">
        <v>92</v>
      </c>
      <c r="V1714" s="2"/>
      <c r="W1714" s="2"/>
      <c r="X1714" s="2"/>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row>
    <row r="1715" spans="2:47" ht="14.25" customHeight="1" x14ac:dyDescent="0.3">
      <c r="B1715" s="3"/>
      <c r="Q1715" s="1"/>
      <c r="R1715" s="1"/>
      <c r="S1715" s="2"/>
      <c r="T1715" s="2">
        <v>1601</v>
      </c>
      <c r="U1715" s="48" t="s">
        <v>92</v>
      </c>
      <c r="V1715" s="2"/>
      <c r="W1715" s="2"/>
      <c r="X1715" s="2"/>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row>
    <row r="1716" spans="2:47" ht="14.25" customHeight="1" x14ac:dyDescent="0.3">
      <c r="B1716" s="3"/>
      <c r="Q1716" s="1"/>
      <c r="R1716" s="1"/>
      <c r="S1716" s="2"/>
      <c r="T1716" s="2">
        <v>1602</v>
      </c>
      <c r="U1716" s="48" t="s">
        <v>92</v>
      </c>
      <c r="V1716" s="2"/>
      <c r="W1716" s="2"/>
      <c r="X1716" s="2"/>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row>
    <row r="1717" spans="2:47" ht="14.25" customHeight="1" x14ac:dyDescent="0.3">
      <c r="B1717" s="3"/>
      <c r="Q1717" s="1"/>
      <c r="R1717" s="1"/>
      <c r="S1717" s="2"/>
      <c r="T1717" s="2">
        <v>1603</v>
      </c>
      <c r="U1717" s="48" t="s">
        <v>92</v>
      </c>
      <c r="V1717" s="2"/>
      <c r="W1717" s="2"/>
      <c r="X1717" s="2"/>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row>
    <row r="1718" spans="2:47" ht="14.25" customHeight="1" x14ac:dyDescent="0.3">
      <c r="B1718" s="3"/>
      <c r="Q1718" s="1"/>
      <c r="R1718" s="1"/>
      <c r="S1718" s="2"/>
      <c r="T1718" s="2">
        <v>1604</v>
      </c>
      <c r="U1718" s="48" t="s">
        <v>92</v>
      </c>
      <c r="V1718" s="2"/>
      <c r="W1718" s="2"/>
      <c r="X1718" s="2"/>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row>
    <row r="1719" spans="2:47" ht="14.25" customHeight="1" x14ac:dyDescent="0.3">
      <c r="B1719" s="3"/>
      <c r="Q1719" s="1"/>
      <c r="R1719" s="1"/>
      <c r="S1719" s="2"/>
      <c r="T1719" s="2">
        <v>1605</v>
      </c>
      <c r="U1719" s="48" t="s">
        <v>92</v>
      </c>
      <c r="V1719" s="2"/>
      <c r="W1719" s="2"/>
      <c r="X1719" s="2"/>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row>
    <row r="1720" spans="2:47" ht="14.25" customHeight="1" x14ac:dyDescent="0.3">
      <c r="B1720" s="3"/>
      <c r="Q1720" s="1"/>
      <c r="R1720" s="1"/>
      <c r="S1720" s="2"/>
      <c r="T1720" s="2">
        <v>1606</v>
      </c>
      <c r="U1720" s="48" t="s">
        <v>92</v>
      </c>
      <c r="V1720" s="2"/>
      <c r="W1720" s="2"/>
      <c r="X1720" s="2"/>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row>
    <row r="1721" spans="2:47" ht="14.25" customHeight="1" x14ac:dyDescent="0.3">
      <c r="B1721" s="3"/>
      <c r="Q1721" s="1"/>
      <c r="R1721" s="1"/>
      <c r="S1721" s="2"/>
      <c r="T1721" s="2">
        <v>1607</v>
      </c>
      <c r="U1721" s="48" t="s">
        <v>92</v>
      </c>
      <c r="V1721" s="2"/>
      <c r="W1721" s="2"/>
      <c r="X1721" s="2"/>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row>
    <row r="1722" spans="2:47" ht="14.25" customHeight="1" x14ac:dyDescent="0.3">
      <c r="B1722" s="3"/>
      <c r="Q1722" s="1"/>
      <c r="R1722" s="1"/>
      <c r="S1722" s="2"/>
      <c r="T1722" s="2">
        <v>1608</v>
      </c>
      <c r="U1722" s="48" t="s">
        <v>92</v>
      </c>
      <c r="V1722" s="2"/>
      <c r="W1722" s="2"/>
      <c r="X1722" s="2"/>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row>
    <row r="1723" spans="2:47" ht="14.25" customHeight="1" x14ac:dyDescent="0.3">
      <c r="B1723" s="3"/>
      <c r="Q1723" s="1"/>
      <c r="R1723" s="1"/>
      <c r="S1723" s="2"/>
      <c r="T1723" s="2">
        <v>1609</v>
      </c>
      <c r="U1723" s="48" t="s">
        <v>92</v>
      </c>
      <c r="V1723" s="2"/>
      <c r="W1723" s="2"/>
      <c r="X1723" s="2"/>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row>
    <row r="1724" spans="2:47" ht="14.25" customHeight="1" x14ac:dyDescent="0.3">
      <c r="B1724" s="3"/>
      <c r="Q1724" s="1"/>
      <c r="R1724" s="1"/>
      <c r="S1724" s="2"/>
      <c r="T1724" s="2">
        <v>1610</v>
      </c>
      <c r="U1724" s="48" t="s">
        <v>92</v>
      </c>
      <c r="V1724" s="2"/>
      <c r="W1724" s="2"/>
      <c r="X1724" s="2"/>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row>
    <row r="1725" spans="2:47" ht="14.25" customHeight="1" x14ac:dyDescent="0.3">
      <c r="B1725" s="3"/>
      <c r="Q1725" s="1"/>
      <c r="R1725" s="1"/>
      <c r="S1725" s="2"/>
      <c r="T1725" s="2">
        <v>1611</v>
      </c>
      <c r="U1725" s="48" t="s">
        <v>92</v>
      </c>
      <c r="V1725" s="2"/>
      <c r="W1725" s="2"/>
      <c r="X1725" s="2"/>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row>
    <row r="1726" spans="2:47" ht="14.25" customHeight="1" x14ac:dyDescent="0.3">
      <c r="B1726" s="3"/>
      <c r="Q1726" s="1"/>
      <c r="R1726" s="1"/>
      <c r="S1726" s="2"/>
      <c r="T1726" s="2">
        <v>1612</v>
      </c>
      <c r="U1726" s="48" t="s">
        <v>92</v>
      </c>
      <c r="V1726" s="2"/>
      <c r="W1726" s="2"/>
      <c r="X1726" s="2"/>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row>
    <row r="1727" spans="2:47" ht="14.25" customHeight="1" x14ac:dyDescent="0.3">
      <c r="B1727" s="3"/>
      <c r="Q1727" s="1"/>
      <c r="R1727" s="1"/>
      <c r="S1727" s="2"/>
      <c r="T1727" s="2">
        <v>1613</v>
      </c>
      <c r="U1727" s="48" t="s">
        <v>92</v>
      </c>
      <c r="V1727" s="2"/>
      <c r="W1727" s="2"/>
      <c r="X1727" s="2"/>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row>
    <row r="1728" spans="2:47" ht="14.25" customHeight="1" x14ac:dyDescent="0.3">
      <c r="B1728" s="3"/>
      <c r="Q1728" s="1"/>
      <c r="R1728" s="1"/>
      <c r="S1728" s="2"/>
      <c r="T1728" s="2">
        <v>1614</v>
      </c>
      <c r="U1728" s="48" t="s">
        <v>92</v>
      </c>
      <c r="V1728" s="2"/>
      <c r="W1728" s="2"/>
      <c r="X1728" s="2"/>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row>
    <row r="1729" spans="2:47" ht="14.25" customHeight="1" x14ac:dyDescent="0.3">
      <c r="B1729" s="3"/>
      <c r="Q1729" s="1"/>
      <c r="R1729" s="1"/>
      <c r="S1729" s="2"/>
      <c r="T1729" s="2">
        <v>1615</v>
      </c>
      <c r="U1729" s="48" t="s">
        <v>92</v>
      </c>
      <c r="V1729" s="2"/>
      <c r="W1729" s="2"/>
      <c r="X1729" s="2"/>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row>
    <row r="1730" spans="2:47" ht="14.25" customHeight="1" x14ac:dyDescent="0.3">
      <c r="B1730" s="3"/>
      <c r="Q1730" s="1"/>
      <c r="R1730" s="1"/>
      <c r="S1730" s="2"/>
      <c r="T1730" s="2">
        <v>1616</v>
      </c>
      <c r="U1730" s="48" t="s">
        <v>92</v>
      </c>
      <c r="V1730" s="2"/>
      <c r="W1730" s="2"/>
      <c r="X1730" s="2"/>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row>
    <row r="1731" spans="2:47" ht="14.25" customHeight="1" x14ac:dyDescent="0.3">
      <c r="B1731" s="3"/>
      <c r="Q1731" s="1"/>
      <c r="R1731" s="1"/>
      <c r="S1731" s="2"/>
      <c r="T1731" s="2">
        <v>1617</v>
      </c>
      <c r="U1731" s="48" t="s">
        <v>92</v>
      </c>
      <c r="V1731" s="2"/>
      <c r="W1731" s="2"/>
      <c r="X1731" s="2"/>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row>
    <row r="1732" spans="2:47" ht="14.25" customHeight="1" x14ac:dyDescent="0.3">
      <c r="B1732" s="3"/>
      <c r="Q1732" s="1"/>
      <c r="R1732" s="1"/>
      <c r="S1732" s="2"/>
      <c r="T1732" s="2">
        <v>1618</v>
      </c>
      <c r="U1732" s="48" t="s">
        <v>92</v>
      </c>
      <c r="V1732" s="2"/>
      <c r="W1732" s="2"/>
      <c r="X1732" s="2"/>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row>
    <row r="1733" spans="2:47" ht="14.25" customHeight="1" x14ac:dyDescent="0.3">
      <c r="B1733" s="3"/>
      <c r="Q1733" s="1"/>
      <c r="R1733" s="1"/>
      <c r="S1733" s="2"/>
      <c r="T1733" s="2">
        <v>1619</v>
      </c>
      <c r="U1733" s="48" t="s">
        <v>92</v>
      </c>
      <c r="V1733" s="2"/>
      <c r="W1733" s="2"/>
      <c r="X1733" s="2"/>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row>
    <row r="1734" spans="2:47" ht="14.25" customHeight="1" x14ac:dyDescent="0.3">
      <c r="B1734" s="3"/>
      <c r="Q1734" s="1"/>
      <c r="R1734" s="1"/>
      <c r="S1734" s="2"/>
      <c r="T1734" s="2">
        <v>1620</v>
      </c>
      <c r="U1734" s="48" t="s">
        <v>92</v>
      </c>
      <c r="V1734" s="2"/>
      <c r="W1734" s="2"/>
      <c r="X1734" s="2"/>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row>
    <row r="1735" spans="2:47" ht="14.25" customHeight="1" x14ac:dyDescent="0.3">
      <c r="B1735" s="3"/>
      <c r="Q1735" s="1"/>
      <c r="R1735" s="1"/>
      <c r="S1735" s="2"/>
      <c r="T1735" s="2">
        <v>1621</v>
      </c>
      <c r="U1735" s="48" t="s">
        <v>92</v>
      </c>
      <c r="V1735" s="2"/>
      <c r="W1735" s="2"/>
      <c r="X1735" s="2"/>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row>
    <row r="1736" spans="2:47" ht="14.25" customHeight="1" x14ac:dyDescent="0.3">
      <c r="B1736" s="3"/>
      <c r="Q1736" s="1"/>
      <c r="R1736" s="1"/>
      <c r="S1736" s="2"/>
      <c r="T1736" s="2">
        <v>1622</v>
      </c>
      <c r="U1736" s="48" t="s">
        <v>92</v>
      </c>
      <c r="V1736" s="2"/>
      <c r="W1736" s="2"/>
      <c r="X1736" s="2"/>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row>
    <row r="1737" spans="2:47" ht="14.25" customHeight="1" x14ac:dyDescent="0.3">
      <c r="B1737" s="3"/>
      <c r="Q1737" s="1"/>
      <c r="R1737" s="1"/>
      <c r="S1737" s="2"/>
      <c r="T1737" s="2">
        <v>1623</v>
      </c>
      <c r="U1737" s="48" t="s">
        <v>92</v>
      </c>
      <c r="V1737" s="2"/>
      <c r="W1737" s="2"/>
      <c r="X1737" s="2"/>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row>
    <row r="1738" spans="2:47" ht="14.25" customHeight="1" x14ac:dyDescent="0.3">
      <c r="B1738" s="3"/>
      <c r="Q1738" s="1"/>
      <c r="R1738" s="1"/>
      <c r="S1738" s="2"/>
      <c r="T1738" s="2">
        <v>1624</v>
      </c>
      <c r="U1738" s="48" t="s">
        <v>92</v>
      </c>
      <c r="V1738" s="2"/>
      <c r="W1738" s="2"/>
      <c r="X1738" s="2"/>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row>
    <row r="1739" spans="2:47" ht="14.25" customHeight="1" x14ac:dyDescent="0.3">
      <c r="B1739" s="3"/>
      <c r="Q1739" s="1"/>
      <c r="R1739" s="1"/>
      <c r="S1739" s="2"/>
      <c r="T1739" s="2">
        <v>1625</v>
      </c>
      <c r="U1739" s="48" t="s">
        <v>92</v>
      </c>
      <c r="V1739" s="2"/>
      <c r="W1739" s="2"/>
      <c r="X1739" s="2"/>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row>
    <row r="1740" spans="2:47" ht="14.25" customHeight="1" x14ac:dyDescent="0.3">
      <c r="B1740" s="3"/>
      <c r="Q1740" s="1"/>
      <c r="R1740" s="1"/>
      <c r="S1740" s="2"/>
      <c r="T1740" s="2">
        <v>1626</v>
      </c>
      <c r="U1740" s="48" t="s">
        <v>92</v>
      </c>
      <c r="V1740" s="2"/>
      <c r="W1740" s="2"/>
      <c r="X1740" s="2"/>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row>
    <row r="1741" spans="2:47" ht="14.25" customHeight="1" x14ac:dyDescent="0.3">
      <c r="B1741" s="3"/>
      <c r="Q1741" s="1"/>
      <c r="R1741" s="1"/>
      <c r="S1741" s="2"/>
      <c r="T1741" s="2">
        <v>1627</v>
      </c>
      <c r="U1741" s="48" t="s">
        <v>92</v>
      </c>
      <c r="V1741" s="2"/>
      <c r="W1741" s="2"/>
      <c r="X1741" s="2"/>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row>
    <row r="1742" spans="2:47" ht="14.25" customHeight="1" x14ac:dyDescent="0.3">
      <c r="B1742" s="3"/>
      <c r="Q1742" s="1"/>
      <c r="R1742" s="1"/>
      <c r="S1742" s="2"/>
      <c r="T1742" s="2">
        <v>1628</v>
      </c>
      <c r="U1742" s="48" t="s">
        <v>92</v>
      </c>
      <c r="V1742" s="2"/>
      <c r="W1742" s="2"/>
      <c r="X1742" s="2"/>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row>
    <row r="1743" spans="2:47" ht="14.25" customHeight="1" x14ac:dyDescent="0.3">
      <c r="B1743" s="3"/>
      <c r="Q1743" s="1"/>
      <c r="R1743" s="1"/>
      <c r="S1743" s="2"/>
      <c r="T1743" s="2">
        <v>1629</v>
      </c>
      <c r="U1743" s="48" t="s">
        <v>92</v>
      </c>
      <c r="V1743" s="2"/>
      <c r="W1743" s="2"/>
      <c r="X1743" s="2"/>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row>
    <row r="1744" spans="2:47" ht="14.25" customHeight="1" x14ac:dyDescent="0.3">
      <c r="B1744" s="3"/>
      <c r="Q1744" s="1"/>
      <c r="R1744" s="1"/>
      <c r="S1744" s="2"/>
      <c r="T1744" s="2">
        <v>1630</v>
      </c>
      <c r="U1744" s="48" t="s">
        <v>92</v>
      </c>
      <c r="V1744" s="2"/>
      <c r="W1744" s="2"/>
      <c r="X1744" s="2"/>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row>
    <row r="1745" spans="2:47" ht="14.25" customHeight="1" x14ac:dyDescent="0.3">
      <c r="B1745" s="3"/>
      <c r="Q1745" s="1"/>
      <c r="R1745" s="1"/>
      <c r="S1745" s="2"/>
      <c r="T1745" s="2">
        <v>1631</v>
      </c>
      <c r="U1745" s="48" t="s">
        <v>92</v>
      </c>
      <c r="V1745" s="2"/>
      <c r="W1745" s="2"/>
      <c r="X1745" s="2"/>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row>
    <row r="1746" spans="2:47" ht="14.25" customHeight="1" x14ac:dyDescent="0.3">
      <c r="B1746" s="3"/>
      <c r="Q1746" s="1"/>
      <c r="R1746" s="1"/>
      <c r="S1746" s="2"/>
      <c r="T1746" s="2">
        <v>1632</v>
      </c>
      <c r="U1746" s="48" t="s">
        <v>92</v>
      </c>
      <c r="V1746" s="2"/>
      <c r="W1746" s="2"/>
      <c r="X1746" s="2"/>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row>
    <row r="1747" spans="2:47" ht="14.25" customHeight="1" x14ac:dyDescent="0.3">
      <c r="B1747" s="3"/>
      <c r="Q1747" s="1"/>
      <c r="R1747" s="1"/>
      <c r="S1747" s="2"/>
      <c r="T1747" s="2">
        <v>1633</v>
      </c>
      <c r="U1747" s="48" t="s">
        <v>92</v>
      </c>
      <c r="V1747" s="2"/>
      <c r="W1747" s="2"/>
      <c r="X1747" s="2"/>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row>
    <row r="1748" spans="2:47" ht="14.25" customHeight="1" x14ac:dyDescent="0.3">
      <c r="B1748" s="3"/>
      <c r="Q1748" s="1"/>
      <c r="R1748" s="1"/>
      <c r="S1748" s="2"/>
      <c r="T1748" s="2">
        <v>1634</v>
      </c>
      <c r="U1748" s="48" t="s">
        <v>92</v>
      </c>
      <c r="V1748" s="2"/>
      <c r="W1748" s="2"/>
      <c r="X1748" s="2"/>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row>
    <row r="1749" spans="2:47" ht="14.25" customHeight="1" x14ac:dyDescent="0.3">
      <c r="B1749" s="3"/>
      <c r="Q1749" s="1"/>
      <c r="R1749" s="1"/>
      <c r="S1749" s="2"/>
      <c r="T1749" s="2">
        <v>1635</v>
      </c>
      <c r="U1749" s="48" t="s">
        <v>92</v>
      </c>
      <c r="V1749" s="2"/>
      <c r="W1749" s="2"/>
      <c r="X1749" s="2"/>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row>
    <row r="1750" spans="2:47" ht="14.25" customHeight="1" x14ac:dyDescent="0.3">
      <c r="B1750" s="3"/>
      <c r="Q1750" s="1"/>
      <c r="R1750" s="1"/>
      <c r="S1750" s="2"/>
      <c r="T1750" s="2">
        <v>1636</v>
      </c>
      <c r="U1750" s="48" t="s">
        <v>92</v>
      </c>
      <c r="V1750" s="2"/>
      <c r="W1750" s="2"/>
      <c r="X1750" s="2"/>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row>
    <row r="1751" spans="2:47" ht="14.25" customHeight="1" x14ac:dyDescent="0.3">
      <c r="B1751" s="3"/>
      <c r="Q1751" s="1"/>
      <c r="R1751" s="1"/>
      <c r="S1751" s="2"/>
      <c r="T1751" s="2">
        <v>1637</v>
      </c>
      <c r="U1751" s="48" t="s">
        <v>92</v>
      </c>
      <c r="V1751" s="2"/>
      <c r="W1751" s="2"/>
      <c r="X1751" s="2"/>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row>
    <row r="1752" spans="2:47" ht="14.25" customHeight="1" x14ac:dyDescent="0.3">
      <c r="B1752" s="3"/>
      <c r="Q1752" s="1"/>
      <c r="R1752" s="1"/>
      <c r="S1752" s="2"/>
      <c r="T1752" s="2">
        <v>1638</v>
      </c>
      <c r="U1752" s="48" t="s">
        <v>92</v>
      </c>
      <c r="V1752" s="2"/>
      <c r="W1752" s="2"/>
      <c r="X1752" s="2"/>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row>
    <row r="1753" spans="2:47" ht="14.25" customHeight="1" x14ac:dyDescent="0.3">
      <c r="B1753" s="3"/>
      <c r="Q1753" s="1"/>
      <c r="R1753" s="1"/>
      <c r="S1753" s="2"/>
      <c r="T1753" s="2">
        <v>1639</v>
      </c>
      <c r="U1753" s="48" t="s">
        <v>92</v>
      </c>
      <c r="V1753" s="2"/>
      <c r="W1753" s="2"/>
      <c r="X1753" s="2"/>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row>
    <row r="1754" spans="2:47" ht="14.25" customHeight="1" x14ac:dyDescent="0.3">
      <c r="B1754" s="3"/>
      <c r="Q1754" s="1"/>
      <c r="R1754" s="1"/>
      <c r="S1754" s="2"/>
      <c r="T1754" s="2">
        <v>1640</v>
      </c>
      <c r="U1754" s="48" t="s">
        <v>92</v>
      </c>
      <c r="V1754" s="2"/>
      <c r="W1754" s="2"/>
      <c r="X1754" s="2"/>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row>
    <row r="1755" spans="2:47" ht="14.25" customHeight="1" x14ac:dyDescent="0.3">
      <c r="B1755" s="3"/>
      <c r="Q1755" s="1"/>
      <c r="R1755" s="1"/>
      <c r="S1755" s="2"/>
      <c r="T1755" s="2">
        <v>1641</v>
      </c>
      <c r="U1755" s="48" t="s">
        <v>92</v>
      </c>
      <c r="V1755" s="2"/>
      <c r="W1755" s="2"/>
      <c r="X1755" s="2"/>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row>
    <row r="1756" spans="2:47" ht="14.25" customHeight="1" x14ac:dyDescent="0.3">
      <c r="B1756" s="3"/>
      <c r="Q1756" s="1"/>
      <c r="R1756" s="1"/>
      <c r="S1756" s="2"/>
      <c r="T1756" s="2">
        <v>1642</v>
      </c>
      <c r="U1756" s="48" t="s">
        <v>92</v>
      </c>
      <c r="V1756" s="2"/>
      <c r="W1756" s="2"/>
      <c r="X1756" s="2"/>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row>
    <row r="1757" spans="2:47" ht="14.25" customHeight="1" x14ac:dyDescent="0.3">
      <c r="B1757" s="3"/>
      <c r="Q1757" s="1"/>
      <c r="R1757" s="1"/>
      <c r="S1757" s="2"/>
      <c r="T1757" s="2">
        <v>1643</v>
      </c>
      <c r="U1757" s="48" t="s">
        <v>92</v>
      </c>
      <c r="V1757" s="2"/>
      <c r="W1757" s="2"/>
      <c r="X1757" s="2"/>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row>
    <row r="1758" spans="2:47" ht="14.25" customHeight="1" x14ac:dyDescent="0.3">
      <c r="B1758" s="3"/>
      <c r="Q1758" s="1"/>
      <c r="R1758" s="1"/>
      <c r="S1758" s="2"/>
      <c r="T1758" s="2">
        <v>1644</v>
      </c>
      <c r="U1758" s="48" t="s">
        <v>92</v>
      </c>
      <c r="V1758" s="2"/>
      <c r="W1758" s="2"/>
      <c r="X1758" s="2"/>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row>
    <row r="1759" spans="2:47" ht="14.25" customHeight="1" x14ac:dyDescent="0.3">
      <c r="B1759" s="3"/>
      <c r="Q1759" s="1"/>
      <c r="R1759" s="1"/>
      <c r="S1759" s="2"/>
      <c r="T1759" s="2">
        <v>1645</v>
      </c>
      <c r="U1759" s="48" t="s">
        <v>92</v>
      </c>
      <c r="V1759" s="2"/>
      <c r="W1759" s="2"/>
      <c r="X1759" s="2"/>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row>
    <row r="1760" spans="2:47" ht="14.25" customHeight="1" x14ac:dyDescent="0.3">
      <c r="B1760" s="3"/>
      <c r="Q1760" s="1"/>
      <c r="R1760" s="1"/>
      <c r="S1760" s="2"/>
      <c r="T1760" s="2">
        <v>1646</v>
      </c>
      <c r="U1760" s="48" t="s">
        <v>92</v>
      </c>
      <c r="V1760" s="2"/>
      <c r="W1760" s="2"/>
      <c r="X1760" s="2"/>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row>
    <row r="1761" spans="2:47" ht="14.25" customHeight="1" x14ac:dyDescent="0.3">
      <c r="B1761" s="3"/>
      <c r="Q1761" s="1"/>
      <c r="R1761" s="1"/>
      <c r="S1761" s="2"/>
      <c r="T1761" s="2">
        <v>1647</v>
      </c>
      <c r="U1761" s="48" t="s">
        <v>92</v>
      </c>
      <c r="V1761" s="2"/>
      <c r="W1761" s="2"/>
      <c r="X1761" s="2"/>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row>
    <row r="1762" spans="2:47" ht="14.25" customHeight="1" x14ac:dyDescent="0.3">
      <c r="B1762" s="3"/>
      <c r="Q1762" s="1"/>
      <c r="R1762" s="1"/>
      <c r="S1762" s="2"/>
      <c r="T1762" s="2">
        <v>1648</v>
      </c>
      <c r="U1762" s="48" t="s">
        <v>92</v>
      </c>
      <c r="V1762" s="2"/>
      <c r="W1762" s="2"/>
      <c r="X1762" s="2"/>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row>
    <row r="1763" spans="2:47" ht="14.25" customHeight="1" x14ac:dyDescent="0.3">
      <c r="B1763" s="3"/>
      <c r="Q1763" s="1"/>
      <c r="R1763" s="1"/>
      <c r="S1763" s="2"/>
      <c r="T1763" s="2">
        <v>1649</v>
      </c>
      <c r="U1763" s="48" t="s">
        <v>92</v>
      </c>
      <c r="V1763" s="2"/>
      <c r="W1763" s="2"/>
      <c r="X1763" s="2"/>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row>
    <row r="1764" spans="2:47" ht="14.25" customHeight="1" x14ac:dyDescent="0.3">
      <c r="B1764" s="3"/>
      <c r="Q1764" s="1"/>
      <c r="R1764" s="1"/>
      <c r="S1764" s="2"/>
      <c r="T1764" s="2">
        <v>1650</v>
      </c>
      <c r="U1764" s="48" t="s">
        <v>92</v>
      </c>
      <c r="V1764" s="2"/>
      <c r="W1764" s="2"/>
      <c r="X1764" s="2"/>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row>
    <row r="1765" spans="2:47" ht="14.25" customHeight="1" x14ac:dyDescent="0.3">
      <c r="B1765" s="3"/>
      <c r="Q1765" s="1"/>
      <c r="R1765" s="1"/>
      <c r="S1765" s="2"/>
      <c r="T1765" s="2">
        <v>1651</v>
      </c>
      <c r="U1765" s="48" t="s">
        <v>92</v>
      </c>
      <c r="V1765" s="2"/>
      <c r="W1765" s="2"/>
      <c r="X1765" s="2"/>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row>
    <row r="1766" spans="2:47" ht="14.25" customHeight="1" x14ac:dyDescent="0.3">
      <c r="B1766" s="3"/>
      <c r="Q1766" s="1"/>
      <c r="R1766" s="1"/>
      <c r="S1766" s="2"/>
      <c r="T1766" s="2">
        <v>1652</v>
      </c>
      <c r="U1766" s="48" t="s">
        <v>92</v>
      </c>
      <c r="V1766" s="2"/>
      <c r="W1766" s="2"/>
      <c r="X1766" s="2"/>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row>
    <row r="1767" spans="2:47" ht="14.25" customHeight="1" x14ac:dyDescent="0.3">
      <c r="B1767" s="3"/>
      <c r="Q1767" s="1"/>
      <c r="R1767" s="1"/>
      <c r="S1767" s="2"/>
      <c r="T1767" s="2">
        <v>1653</v>
      </c>
      <c r="U1767" s="48" t="s">
        <v>92</v>
      </c>
      <c r="V1767" s="2"/>
      <c r="W1767" s="2"/>
      <c r="X1767" s="2"/>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row>
    <row r="1768" spans="2:47" ht="14.25" customHeight="1" x14ac:dyDescent="0.3">
      <c r="B1768" s="3"/>
      <c r="Q1768" s="1"/>
      <c r="R1768" s="1"/>
      <c r="S1768" s="2"/>
      <c r="T1768" s="2">
        <v>1654</v>
      </c>
      <c r="U1768" s="48" t="s">
        <v>92</v>
      </c>
      <c r="V1768" s="2"/>
      <c r="W1768" s="2"/>
      <c r="X1768" s="2"/>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row>
    <row r="1769" spans="2:47" ht="14.25" customHeight="1" x14ac:dyDescent="0.3">
      <c r="B1769" s="3"/>
      <c r="Q1769" s="1"/>
      <c r="R1769" s="1"/>
      <c r="S1769" s="2"/>
      <c r="T1769" s="2">
        <v>1655</v>
      </c>
      <c r="U1769" s="48" t="s">
        <v>92</v>
      </c>
      <c r="V1769" s="2"/>
      <c r="W1769" s="2"/>
      <c r="X1769" s="2"/>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row>
    <row r="1770" spans="2:47" ht="14.25" customHeight="1" x14ac:dyDescent="0.3">
      <c r="B1770" s="3"/>
      <c r="Q1770" s="1"/>
      <c r="R1770" s="1"/>
      <c r="S1770" s="2"/>
      <c r="T1770" s="2">
        <v>1656</v>
      </c>
      <c r="U1770" s="48" t="s">
        <v>92</v>
      </c>
      <c r="V1770" s="2"/>
      <c r="W1770" s="2"/>
      <c r="X1770" s="2"/>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row>
    <row r="1771" spans="2:47" ht="14.25" customHeight="1" x14ac:dyDescent="0.3">
      <c r="B1771" s="3"/>
      <c r="Q1771" s="1"/>
      <c r="R1771" s="1"/>
      <c r="S1771" s="2"/>
      <c r="T1771" s="2">
        <v>1657</v>
      </c>
      <c r="U1771" s="48" t="s">
        <v>92</v>
      </c>
      <c r="V1771" s="2"/>
      <c r="W1771" s="2"/>
      <c r="X1771" s="2"/>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row>
    <row r="1772" spans="2:47" ht="14.25" customHeight="1" x14ac:dyDescent="0.3">
      <c r="B1772" s="3"/>
      <c r="Q1772" s="1"/>
      <c r="R1772" s="1"/>
      <c r="S1772" s="2"/>
      <c r="T1772" s="2">
        <v>1658</v>
      </c>
      <c r="U1772" s="48" t="s">
        <v>92</v>
      </c>
      <c r="V1772" s="2"/>
      <c r="W1772" s="2"/>
      <c r="X1772" s="2"/>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row>
    <row r="1773" spans="2:47" ht="14.25" customHeight="1" x14ac:dyDescent="0.3">
      <c r="B1773" s="3"/>
      <c r="Q1773" s="1"/>
      <c r="R1773" s="1"/>
      <c r="S1773" s="2"/>
      <c r="T1773" s="2">
        <v>1659</v>
      </c>
      <c r="U1773" s="48" t="s">
        <v>92</v>
      </c>
      <c r="V1773" s="2"/>
      <c r="W1773" s="2"/>
      <c r="X1773" s="2"/>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row>
    <row r="1774" spans="2:47" ht="14.25" customHeight="1" x14ac:dyDescent="0.3">
      <c r="B1774" s="3"/>
      <c r="Q1774" s="1"/>
      <c r="R1774" s="1"/>
      <c r="S1774" s="2"/>
      <c r="T1774" s="2">
        <v>1660</v>
      </c>
      <c r="U1774" s="48" t="s">
        <v>92</v>
      </c>
      <c r="V1774" s="2"/>
      <c r="W1774" s="2"/>
      <c r="X1774" s="2"/>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row>
    <row r="1775" spans="2:47" ht="14.25" customHeight="1" x14ac:dyDescent="0.3">
      <c r="B1775" s="3"/>
      <c r="Q1775" s="1"/>
      <c r="R1775" s="1"/>
      <c r="S1775" s="2"/>
      <c r="T1775" s="2">
        <v>1661</v>
      </c>
      <c r="U1775" s="48" t="s">
        <v>92</v>
      </c>
      <c r="V1775" s="2"/>
      <c r="W1775" s="2"/>
      <c r="X1775" s="2"/>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row>
    <row r="1776" spans="2:47" ht="14.25" customHeight="1" x14ac:dyDescent="0.3">
      <c r="B1776" s="3"/>
      <c r="Q1776" s="1"/>
      <c r="R1776" s="1"/>
      <c r="S1776" s="2"/>
      <c r="T1776" s="2">
        <v>1662</v>
      </c>
      <c r="U1776" s="48" t="s">
        <v>92</v>
      </c>
      <c r="V1776" s="2"/>
      <c r="W1776" s="2"/>
      <c r="X1776" s="2"/>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row>
    <row r="1777" spans="2:47" ht="14.25" customHeight="1" x14ac:dyDescent="0.3">
      <c r="B1777" s="3"/>
      <c r="Q1777" s="1"/>
      <c r="R1777" s="1"/>
      <c r="S1777" s="2"/>
      <c r="T1777" s="2">
        <v>1663</v>
      </c>
      <c r="U1777" s="48" t="s">
        <v>92</v>
      </c>
      <c r="V1777" s="2"/>
      <c r="W1777" s="2"/>
      <c r="X1777" s="2"/>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row>
    <row r="1778" spans="2:47" ht="14.25" customHeight="1" x14ac:dyDescent="0.3">
      <c r="B1778" s="3"/>
      <c r="Q1778" s="1"/>
      <c r="R1778" s="1"/>
      <c r="S1778" s="2"/>
      <c r="T1778" s="2">
        <v>1664</v>
      </c>
      <c r="U1778" s="48" t="s">
        <v>92</v>
      </c>
      <c r="V1778" s="2"/>
      <c r="W1778" s="2"/>
      <c r="X1778" s="2"/>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row>
    <row r="1779" spans="2:47" ht="14.25" customHeight="1" x14ac:dyDescent="0.3">
      <c r="B1779" s="3"/>
      <c r="Q1779" s="1"/>
      <c r="R1779" s="1"/>
      <c r="S1779" s="2"/>
      <c r="T1779" s="2">
        <v>1665</v>
      </c>
      <c r="U1779" s="48" t="s">
        <v>92</v>
      </c>
      <c r="V1779" s="2"/>
      <c r="W1779" s="2"/>
      <c r="X1779" s="2"/>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row>
    <row r="1780" spans="2:47" ht="14.25" customHeight="1" x14ac:dyDescent="0.3">
      <c r="B1780" s="3"/>
      <c r="Q1780" s="1"/>
      <c r="R1780" s="1"/>
      <c r="S1780" s="2"/>
      <c r="T1780" s="2">
        <v>1666</v>
      </c>
      <c r="U1780" s="48" t="s">
        <v>92</v>
      </c>
      <c r="V1780" s="2"/>
      <c r="W1780" s="2"/>
      <c r="X1780" s="2"/>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row>
    <row r="1781" spans="2:47" ht="14.25" customHeight="1" x14ac:dyDescent="0.3">
      <c r="B1781" s="3"/>
      <c r="Q1781" s="1"/>
      <c r="R1781" s="1"/>
      <c r="S1781" s="2"/>
      <c r="T1781" s="2">
        <v>1667</v>
      </c>
      <c r="U1781" s="48" t="s">
        <v>92</v>
      </c>
      <c r="V1781" s="2"/>
      <c r="W1781" s="2"/>
      <c r="X1781" s="2"/>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row>
    <row r="1782" spans="2:47" ht="14.25" customHeight="1" x14ac:dyDescent="0.3">
      <c r="B1782" s="3"/>
      <c r="Q1782" s="1"/>
      <c r="R1782" s="1"/>
      <c r="S1782" s="2"/>
      <c r="T1782" s="2">
        <v>1668</v>
      </c>
      <c r="U1782" s="48" t="s">
        <v>92</v>
      </c>
      <c r="V1782" s="2"/>
      <c r="W1782" s="2"/>
      <c r="X1782" s="2"/>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row>
    <row r="1783" spans="2:47" ht="14.25" customHeight="1" x14ac:dyDescent="0.3">
      <c r="B1783" s="3"/>
      <c r="Q1783" s="1"/>
      <c r="R1783" s="1"/>
      <c r="S1783" s="2"/>
      <c r="T1783" s="2">
        <v>1669</v>
      </c>
      <c r="U1783" s="48" t="s">
        <v>92</v>
      </c>
      <c r="V1783" s="2"/>
      <c r="W1783" s="2"/>
      <c r="X1783" s="2"/>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row>
    <row r="1784" spans="2:47" ht="14.25" customHeight="1" x14ac:dyDescent="0.3">
      <c r="B1784" s="3"/>
      <c r="Q1784" s="1"/>
      <c r="R1784" s="1"/>
      <c r="S1784" s="2"/>
      <c r="T1784" s="2">
        <v>1670</v>
      </c>
      <c r="U1784" s="48" t="s">
        <v>92</v>
      </c>
      <c r="V1784" s="2"/>
      <c r="W1784" s="2"/>
      <c r="X1784" s="2"/>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row>
    <row r="1785" spans="2:47" ht="14.25" customHeight="1" x14ac:dyDescent="0.3">
      <c r="B1785" s="3"/>
      <c r="Q1785" s="1"/>
      <c r="R1785" s="1"/>
      <c r="S1785" s="2"/>
      <c r="T1785" s="2">
        <v>1671</v>
      </c>
      <c r="U1785" s="48" t="s">
        <v>92</v>
      </c>
      <c r="V1785" s="2"/>
      <c r="W1785" s="2"/>
      <c r="X1785" s="2"/>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row>
    <row r="1786" spans="2:47" ht="14.25" customHeight="1" x14ac:dyDescent="0.3">
      <c r="B1786" s="3"/>
      <c r="Q1786" s="1"/>
      <c r="R1786" s="1"/>
      <c r="S1786" s="2"/>
      <c r="T1786" s="2">
        <v>1672</v>
      </c>
      <c r="U1786" s="48" t="s">
        <v>92</v>
      </c>
      <c r="V1786" s="2"/>
      <c r="W1786" s="2"/>
      <c r="X1786" s="2"/>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row>
    <row r="1787" spans="2:47" ht="14.25" customHeight="1" x14ac:dyDescent="0.3">
      <c r="B1787" s="3"/>
      <c r="Q1787" s="1"/>
      <c r="R1787" s="1"/>
      <c r="S1787" s="2"/>
      <c r="T1787" s="2">
        <v>1673</v>
      </c>
      <c r="U1787" s="48" t="s">
        <v>92</v>
      </c>
      <c r="V1787" s="2"/>
      <c r="W1787" s="2"/>
      <c r="X1787" s="2"/>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row>
    <row r="1788" spans="2:47" ht="14.25" customHeight="1" x14ac:dyDescent="0.3">
      <c r="B1788" s="3"/>
      <c r="Q1788" s="1"/>
      <c r="R1788" s="1"/>
      <c r="S1788" s="2"/>
      <c r="T1788" s="2">
        <v>1674</v>
      </c>
      <c r="U1788" s="48" t="s">
        <v>92</v>
      </c>
      <c r="V1788" s="2"/>
      <c r="W1788" s="2"/>
      <c r="X1788" s="2"/>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row>
    <row r="1789" spans="2:47" ht="14.25" customHeight="1" x14ac:dyDescent="0.3">
      <c r="B1789" s="3"/>
      <c r="Q1789" s="1"/>
      <c r="R1789" s="1"/>
      <c r="S1789" s="2"/>
      <c r="T1789" s="2">
        <v>1675</v>
      </c>
      <c r="U1789" s="48" t="s">
        <v>92</v>
      </c>
      <c r="V1789" s="2"/>
      <c r="W1789" s="2"/>
      <c r="X1789" s="2"/>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row>
    <row r="1790" spans="2:47" ht="14.25" customHeight="1" x14ac:dyDescent="0.3">
      <c r="B1790" s="3"/>
      <c r="Q1790" s="1"/>
      <c r="R1790" s="1"/>
      <c r="S1790" s="2"/>
      <c r="T1790" s="2">
        <v>1676</v>
      </c>
      <c r="U1790" s="48" t="s">
        <v>92</v>
      </c>
      <c r="V1790" s="2"/>
      <c r="W1790" s="2"/>
      <c r="X1790" s="2"/>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row>
    <row r="1791" spans="2:47" ht="14.25" customHeight="1" x14ac:dyDescent="0.3">
      <c r="B1791" s="3"/>
      <c r="Q1791" s="1"/>
      <c r="R1791" s="1"/>
      <c r="S1791" s="2"/>
      <c r="T1791" s="2">
        <v>1677</v>
      </c>
      <c r="U1791" s="48" t="s">
        <v>92</v>
      </c>
      <c r="V1791" s="2"/>
      <c r="W1791" s="2"/>
      <c r="X1791" s="2"/>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row>
    <row r="1792" spans="2:47" ht="14.25" customHeight="1" x14ac:dyDescent="0.3">
      <c r="B1792" s="3"/>
      <c r="Q1792" s="1"/>
      <c r="R1792" s="1"/>
      <c r="S1792" s="2"/>
      <c r="T1792" s="2">
        <v>1678</v>
      </c>
      <c r="U1792" s="48" t="s">
        <v>92</v>
      </c>
      <c r="V1792" s="2"/>
      <c r="W1792" s="2"/>
      <c r="X1792" s="2"/>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row>
    <row r="1793" spans="2:47" ht="14.25" customHeight="1" x14ac:dyDescent="0.3">
      <c r="B1793" s="3"/>
      <c r="Q1793" s="1"/>
      <c r="R1793" s="1"/>
      <c r="S1793" s="2"/>
      <c r="T1793" s="2">
        <v>1679</v>
      </c>
      <c r="U1793" s="48" t="s">
        <v>92</v>
      </c>
      <c r="V1793" s="2"/>
      <c r="W1793" s="2"/>
      <c r="X1793" s="2"/>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row>
    <row r="1794" spans="2:47" ht="14.25" customHeight="1" x14ac:dyDescent="0.3">
      <c r="B1794" s="3"/>
      <c r="Q1794" s="1"/>
      <c r="R1794" s="1"/>
      <c r="S1794" s="2"/>
      <c r="T1794" s="2">
        <v>1680</v>
      </c>
      <c r="U1794" s="48" t="s">
        <v>92</v>
      </c>
      <c r="V1794" s="2"/>
      <c r="W1794" s="2"/>
      <c r="X1794" s="2"/>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row>
    <row r="1795" spans="2:47" ht="14.25" customHeight="1" x14ac:dyDescent="0.3">
      <c r="B1795" s="3"/>
      <c r="Q1795" s="1"/>
      <c r="R1795" s="1"/>
      <c r="S1795" s="2"/>
      <c r="T1795" s="2">
        <v>1681</v>
      </c>
      <c r="U1795" s="48" t="s">
        <v>92</v>
      </c>
      <c r="V1795" s="2"/>
      <c r="W1795" s="2"/>
      <c r="X1795" s="2"/>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row>
    <row r="1796" spans="2:47" ht="14.25" customHeight="1" x14ac:dyDescent="0.3">
      <c r="B1796" s="3"/>
      <c r="Q1796" s="1"/>
      <c r="R1796" s="1"/>
      <c r="S1796" s="2"/>
      <c r="T1796" s="2">
        <v>1682</v>
      </c>
      <c r="U1796" s="48" t="s">
        <v>92</v>
      </c>
      <c r="V1796" s="2"/>
      <c r="W1796" s="2"/>
      <c r="X1796" s="2"/>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row>
    <row r="1797" spans="2:47" ht="14.25" customHeight="1" x14ac:dyDescent="0.3">
      <c r="B1797" s="3"/>
      <c r="Q1797" s="1"/>
      <c r="R1797" s="1"/>
      <c r="S1797" s="2"/>
      <c r="T1797" s="2">
        <v>1683</v>
      </c>
      <c r="U1797" s="48" t="s">
        <v>92</v>
      </c>
      <c r="V1797" s="2"/>
      <c r="W1797" s="2"/>
      <c r="X1797" s="2"/>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row>
    <row r="1798" spans="2:47" ht="14.25" customHeight="1" x14ac:dyDescent="0.3">
      <c r="B1798" s="3"/>
      <c r="Q1798" s="1"/>
      <c r="R1798" s="1"/>
      <c r="S1798" s="2"/>
      <c r="T1798" s="2">
        <v>1684</v>
      </c>
      <c r="U1798" s="48" t="s">
        <v>92</v>
      </c>
      <c r="V1798" s="2"/>
      <c r="W1798" s="2"/>
      <c r="X1798" s="2"/>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row>
    <row r="1799" spans="2:47" ht="14.25" customHeight="1" x14ac:dyDescent="0.3">
      <c r="B1799" s="3"/>
      <c r="Q1799" s="1"/>
      <c r="R1799" s="1"/>
      <c r="S1799" s="2"/>
      <c r="T1799" s="2">
        <v>1685</v>
      </c>
      <c r="U1799" s="48" t="s">
        <v>92</v>
      </c>
      <c r="V1799" s="2"/>
      <c r="W1799" s="2"/>
      <c r="X1799" s="2"/>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row>
    <row r="1800" spans="2:47" ht="14.25" customHeight="1" x14ac:dyDescent="0.3">
      <c r="B1800" s="3"/>
      <c r="Q1800" s="1"/>
      <c r="R1800" s="1"/>
      <c r="S1800" s="2"/>
      <c r="T1800" s="2">
        <v>1686</v>
      </c>
      <c r="U1800" s="48" t="s">
        <v>92</v>
      </c>
      <c r="V1800" s="2"/>
      <c r="W1800" s="2"/>
      <c r="X1800" s="2"/>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row>
    <row r="1801" spans="2:47" ht="14.25" customHeight="1" x14ac:dyDescent="0.3">
      <c r="B1801" s="3"/>
      <c r="Q1801" s="1"/>
      <c r="R1801" s="1"/>
      <c r="S1801" s="2"/>
      <c r="T1801" s="2">
        <v>1687</v>
      </c>
      <c r="U1801" s="48" t="s">
        <v>92</v>
      </c>
      <c r="V1801" s="2"/>
      <c r="W1801" s="2"/>
      <c r="X1801" s="2"/>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row>
    <row r="1802" spans="2:47" ht="14.25" customHeight="1" x14ac:dyDescent="0.3">
      <c r="B1802" s="3"/>
      <c r="Q1802" s="1"/>
      <c r="R1802" s="1"/>
      <c r="S1802" s="2"/>
      <c r="T1802" s="2">
        <v>1688</v>
      </c>
      <c r="U1802" s="48" t="s">
        <v>92</v>
      </c>
      <c r="V1802" s="2"/>
      <c r="W1802" s="2"/>
      <c r="X1802" s="2"/>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row>
    <row r="1803" spans="2:47" ht="14.25" customHeight="1" x14ac:dyDescent="0.3">
      <c r="B1803" s="3"/>
      <c r="Q1803" s="1"/>
      <c r="R1803" s="1"/>
      <c r="S1803" s="2"/>
      <c r="T1803" s="2">
        <v>1689</v>
      </c>
      <c r="U1803" s="48" t="s">
        <v>92</v>
      </c>
      <c r="V1803" s="2"/>
      <c r="W1803" s="2"/>
      <c r="X1803" s="2"/>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row>
    <row r="1804" spans="2:47" ht="14.25" customHeight="1" x14ac:dyDescent="0.3">
      <c r="B1804" s="3"/>
      <c r="Q1804" s="1"/>
      <c r="R1804" s="1"/>
      <c r="S1804" s="2"/>
      <c r="T1804" s="2">
        <v>1690</v>
      </c>
      <c r="U1804" s="48" t="s">
        <v>92</v>
      </c>
      <c r="V1804" s="2"/>
      <c r="W1804" s="2"/>
      <c r="X1804" s="2"/>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row>
    <row r="1805" spans="2:47" ht="14.25" customHeight="1" x14ac:dyDescent="0.3">
      <c r="B1805" s="3"/>
      <c r="Q1805" s="1"/>
      <c r="R1805" s="1"/>
      <c r="S1805" s="2"/>
      <c r="T1805" s="2">
        <v>1691</v>
      </c>
      <c r="U1805" s="48" t="s">
        <v>92</v>
      </c>
      <c r="V1805" s="2"/>
      <c r="W1805" s="2"/>
      <c r="X1805" s="2"/>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row>
    <row r="1806" spans="2:47" ht="14.25" customHeight="1" x14ac:dyDescent="0.3">
      <c r="B1806" s="3"/>
      <c r="Q1806" s="1"/>
      <c r="R1806" s="1"/>
      <c r="S1806" s="2"/>
      <c r="T1806" s="2">
        <v>1692</v>
      </c>
      <c r="U1806" s="48" t="s">
        <v>92</v>
      </c>
      <c r="V1806" s="2"/>
      <c r="W1806" s="2"/>
      <c r="X1806" s="2"/>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row>
    <row r="1807" spans="2:47" ht="14.25" customHeight="1" x14ac:dyDescent="0.3">
      <c r="B1807" s="3"/>
      <c r="Q1807" s="1"/>
      <c r="R1807" s="1"/>
      <c r="S1807" s="2"/>
      <c r="T1807" s="2">
        <v>1693</v>
      </c>
      <c r="U1807" s="48" t="s">
        <v>92</v>
      </c>
      <c r="V1807" s="2"/>
      <c r="W1807" s="2"/>
      <c r="X1807" s="2"/>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row>
    <row r="1808" spans="2:47" ht="14.25" customHeight="1" x14ac:dyDescent="0.3">
      <c r="B1808" s="3"/>
      <c r="Q1808" s="1"/>
      <c r="R1808" s="1"/>
      <c r="S1808" s="2"/>
      <c r="T1808" s="2">
        <v>1694</v>
      </c>
      <c r="U1808" s="48" t="s">
        <v>92</v>
      </c>
      <c r="V1808" s="2"/>
      <c r="W1808" s="2"/>
      <c r="X1808" s="2"/>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row>
    <row r="1809" spans="2:47" ht="14.25" customHeight="1" x14ac:dyDescent="0.3">
      <c r="B1809" s="3"/>
      <c r="Q1809" s="1"/>
      <c r="R1809" s="1"/>
      <c r="S1809" s="2"/>
      <c r="T1809" s="2">
        <v>1695</v>
      </c>
      <c r="U1809" s="48" t="s">
        <v>92</v>
      </c>
      <c r="V1809" s="2"/>
      <c r="W1809" s="2"/>
      <c r="X1809" s="2"/>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row>
    <row r="1810" spans="2:47" ht="14.25" customHeight="1" x14ac:dyDescent="0.3">
      <c r="B1810" s="3"/>
      <c r="Q1810" s="1"/>
      <c r="R1810" s="1"/>
      <c r="S1810" s="2"/>
      <c r="T1810" s="2">
        <v>1696</v>
      </c>
      <c r="U1810" s="48" t="s">
        <v>92</v>
      </c>
      <c r="V1810" s="2"/>
      <c r="W1810" s="2"/>
      <c r="X1810" s="2"/>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row>
    <row r="1811" spans="2:47" ht="14.25" customHeight="1" x14ac:dyDescent="0.3">
      <c r="B1811" s="3"/>
      <c r="Q1811" s="1"/>
      <c r="R1811" s="1"/>
      <c r="S1811" s="2"/>
      <c r="T1811" s="2">
        <v>1697</v>
      </c>
      <c r="U1811" s="48" t="s">
        <v>92</v>
      </c>
      <c r="V1811" s="2"/>
      <c r="W1811" s="2"/>
      <c r="X1811" s="2"/>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row>
    <row r="1812" spans="2:47" ht="14.25" customHeight="1" x14ac:dyDescent="0.3">
      <c r="B1812" s="3"/>
      <c r="Q1812" s="1"/>
      <c r="R1812" s="1"/>
      <c r="S1812" s="2"/>
      <c r="T1812" s="2">
        <v>1698</v>
      </c>
      <c r="U1812" s="48" t="s">
        <v>92</v>
      </c>
      <c r="V1812" s="2"/>
      <c r="W1812" s="2"/>
      <c r="X1812" s="2"/>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row>
    <row r="1813" spans="2:47" ht="14.25" customHeight="1" x14ac:dyDescent="0.3">
      <c r="B1813" s="3"/>
      <c r="Q1813" s="1"/>
      <c r="R1813" s="1"/>
      <c r="S1813" s="2"/>
      <c r="T1813" s="2">
        <v>1699</v>
      </c>
      <c r="U1813" s="48" t="s">
        <v>92</v>
      </c>
      <c r="V1813" s="2"/>
      <c r="W1813" s="2"/>
      <c r="X1813" s="2"/>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row>
    <row r="1814" spans="2:47" ht="14.25" customHeight="1" x14ac:dyDescent="0.3">
      <c r="B1814" s="3"/>
      <c r="Q1814" s="1"/>
      <c r="R1814" s="1"/>
      <c r="S1814" s="2"/>
      <c r="T1814" s="2">
        <v>1700</v>
      </c>
      <c r="U1814" s="48" t="s">
        <v>92</v>
      </c>
      <c r="V1814" s="2"/>
      <c r="W1814" s="2"/>
      <c r="X1814" s="2"/>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row>
    <row r="1815" spans="2:47" ht="14.25" customHeight="1" x14ac:dyDescent="0.3">
      <c r="B1815" s="3"/>
      <c r="Q1815" s="1"/>
      <c r="R1815" s="1"/>
      <c r="S1815" s="2"/>
      <c r="T1815" s="2">
        <v>1701</v>
      </c>
      <c r="U1815" s="48" t="s">
        <v>92</v>
      </c>
      <c r="V1815" s="2"/>
      <c r="W1815" s="2"/>
      <c r="X1815" s="2"/>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row>
    <row r="1816" spans="2:47" ht="14.25" customHeight="1" x14ac:dyDescent="0.3">
      <c r="B1816" s="3"/>
      <c r="Q1816" s="1"/>
      <c r="R1816" s="1"/>
      <c r="S1816" s="2"/>
      <c r="T1816" s="2">
        <v>1702</v>
      </c>
      <c r="U1816" s="48" t="s">
        <v>92</v>
      </c>
      <c r="V1816" s="2"/>
      <c r="W1816" s="2"/>
      <c r="X1816" s="2"/>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row>
    <row r="1817" spans="2:47" ht="14.25" customHeight="1" x14ac:dyDescent="0.3">
      <c r="B1817" s="3"/>
      <c r="Q1817" s="1"/>
      <c r="R1817" s="1"/>
      <c r="S1817" s="2"/>
      <c r="T1817" s="2">
        <v>1703</v>
      </c>
      <c r="U1817" s="48" t="s">
        <v>92</v>
      </c>
      <c r="V1817" s="2"/>
      <c r="W1817" s="2"/>
      <c r="X1817" s="2"/>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row>
    <row r="1818" spans="2:47" ht="14.25" customHeight="1" x14ac:dyDescent="0.3">
      <c r="B1818" s="3"/>
      <c r="Q1818" s="1"/>
      <c r="R1818" s="1"/>
      <c r="S1818" s="2"/>
      <c r="T1818" s="2">
        <v>1704</v>
      </c>
      <c r="U1818" s="48" t="s">
        <v>92</v>
      </c>
      <c r="V1818" s="2"/>
      <c r="W1818" s="2"/>
      <c r="X1818" s="2"/>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row>
    <row r="1819" spans="2:47" ht="14.25" customHeight="1" x14ac:dyDescent="0.3">
      <c r="B1819" s="3"/>
      <c r="Q1819" s="1"/>
      <c r="R1819" s="1"/>
      <c r="S1819" s="2"/>
      <c r="T1819" s="2">
        <v>1705</v>
      </c>
      <c r="U1819" s="48" t="s">
        <v>92</v>
      </c>
      <c r="V1819" s="2"/>
      <c r="W1819" s="2"/>
      <c r="X1819" s="2"/>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row>
    <row r="1820" spans="2:47" ht="14.25" customHeight="1" x14ac:dyDescent="0.3">
      <c r="B1820" s="3"/>
      <c r="Q1820" s="1"/>
      <c r="R1820" s="1"/>
      <c r="S1820" s="2"/>
      <c r="T1820" s="2">
        <v>1706</v>
      </c>
      <c r="U1820" s="48" t="s">
        <v>92</v>
      </c>
      <c r="V1820" s="2"/>
      <c r="W1820" s="2"/>
      <c r="X1820" s="2"/>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row>
    <row r="1821" spans="2:47" ht="14.25" customHeight="1" x14ac:dyDescent="0.3">
      <c r="B1821" s="3"/>
      <c r="Q1821" s="1"/>
      <c r="R1821" s="1"/>
      <c r="S1821" s="2"/>
      <c r="T1821" s="2">
        <v>1707</v>
      </c>
      <c r="U1821" s="48" t="s">
        <v>92</v>
      </c>
      <c r="V1821" s="2"/>
      <c r="W1821" s="2"/>
      <c r="X1821" s="2"/>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row>
    <row r="1822" spans="2:47" ht="14.25" customHeight="1" x14ac:dyDescent="0.3">
      <c r="B1822" s="3"/>
      <c r="Q1822" s="1"/>
      <c r="R1822" s="1"/>
      <c r="S1822" s="2"/>
      <c r="T1822" s="2">
        <v>1708</v>
      </c>
      <c r="U1822" s="48" t="s">
        <v>92</v>
      </c>
      <c r="V1822" s="2"/>
      <c r="W1822" s="2"/>
      <c r="X1822" s="2"/>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row>
    <row r="1823" spans="2:47" ht="14.25" customHeight="1" x14ac:dyDescent="0.3">
      <c r="B1823" s="3"/>
      <c r="Q1823" s="1"/>
      <c r="R1823" s="1"/>
      <c r="S1823" s="2"/>
      <c r="T1823" s="2">
        <v>1709</v>
      </c>
      <c r="U1823" s="48" t="s">
        <v>92</v>
      </c>
      <c r="V1823" s="2"/>
      <c r="W1823" s="2"/>
      <c r="X1823" s="2"/>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row>
    <row r="1824" spans="2:47" ht="14.25" customHeight="1" x14ac:dyDescent="0.3">
      <c r="B1824" s="3"/>
      <c r="Q1824" s="1"/>
      <c r="R1824" s="1"/>
      <c r="S1824" s="2"/>
      <c r="T1824" s="2">
        <v>1710</v>
      </c>
      <c r="U1824" s="48" t="s">
        <v>92</v>
      </c>
      <c r="V1824" s="2"/>
      <c r="W1824" s="2"/>
      <c r="X1824" s="2"/>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row>
    <row r="1825" spans="2:47" ht="14.25" customHeight="1" x14ac:dyDescent="0.3">
      <c r="B1825" s="3"/>
      <c r="Q1825" s="1"/>
      <c r="R1825" s="1"/>
      <c r="S1825" s="2"/>
      <c r="T1825" s="2">
        <v>1711</v>
      </c>
      <c r="U1825" s="48" t="s">
        <v>92</v>
      </c>
      <c r="V1825" s="2"/>
      <c r="W1825" s="2"/>
      <c r="X1825" s="2"/>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row>
    <row r="1826" spans="2:47" ht="14.25" customHeight="1" x14ac:dyDescent="0.3">
      <c r="B1826" s="3"/>
      <c r="Q1826" s="1"/>
      <c r="R1826" s="1"/>
      <c r="S1826" s="2"/>
      <c r="T1826" s="2">
        <v>1712</v>
      </c>
      <c r="U1826" s="48" t="s">
        <v>92</v>
      </c>
      <c r="V1826" s="2"/>
      <c r="W1826" s="2"/>
      <c r="X1826" s="2"/>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row>
    <row r="1827" spans="2:47" ht="14.25" customHeight="1" x14ac:dyDescent="0.3">
      <c r="B1827" s="3"/>
      <c r="Q1827" s="1"/>
      <c r="R1827" s="1"/>
      <c r="S1827" s="2"/>
      <c r="T1827" s="2">
        <v>1713</v>
      </c>
      <c r="U1827" s="48" t="s">
        <v>92</v>
      </c>
      <c r="V1827" s="2"/>
      <c r="W1827" s="2"/>
      <c r="X1827" s="2"/>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row>
    <row r="1828" spans="2:47" ht="14.25" customHeight="1" x14ac:dyDescent="0.3">
      <c r="B1828" s="3"/>
      <c r="Q1828" s="1"/>
      <c r="R1828" s="1"/>
      <c r="S1828" s="2"/>
      <c r="T1828" s="2">
        <v>1714</v>
      </c>
      <c r="U1828" s="48" t="s">
        <v>92</v>
      </c>
      <c r="V1828" s="2"/>
      <c r="W1828" s="2"/>
      <c r="X1828" s="2"/>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row>
    <row r="1829" spans="2:47" ht="14.25" customHeight="1" x14ac:dyDescent="0.3">
      <c r="B1829" s="3"/>
      <c r="Q1829" s="1"/>
      <c r="R1829" s="1"/>
      <c r="S1829" s="2"/>
      <c r="T1829" s="2">
        <v>1715</v>
      </c>
      <c r="U1829" s="48" t="s">
        <v>92</v>
      </c>
      <c r="V1829" s="2"/>
      <c r="W1829" s="2"/>
      <c r="X1829" s="2"/>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row>
    <row r="1830" spans="2:47" ht="14.25" customHeight="1" x14ac:dyDescent="0.3">
      <c r="B1830" s="3"/>
      <c r="Q1830" s="1"/>
      <c r="R1830" s="1"/>
      <c r="S1830" s="2"/>
      <c r="T1830" s="2">
        <v>1716</v>
      </c>
      <c r="U1830" s="48" t="s">
        <v>92</v>
      </c>
      <c r="V1830" s="2"/>
      <c r="W1830" s="2"/>
      <c r="X1830" s="2"/>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row>
    <row r="1831" spans="2:47" ht="14.25" customHeight="1" x14ac:dyDescent="0.3">
      <c r="B1831" s="3"/>
      <c r="Q1831" s="1"/>
      <c r="R1831" s="1"/>
      <c r="S1831" s="2"/>
      <c r="T1831" s="2">
        <v>1717</v>
      </c>
      <c r="U1831" s="48" t="s">
        <v>92</v>
      </c>
      <c r="V1831" s="2"/>
      <c r="W1831" s="2"/>
      <c r="X1831" s="2"/>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row>
    <row r="1832" spans="2:47" ht="14.25" customHeight="1" x14ac:dyDescent="0.3">
      <c r="B1832" s="3"/>
      <c r="Q1832" s="1"/>
      <c r="R1832" s="1"/>
      <c r="S1832" s="2"/>
      <c r="T1832" s="2">
        <v>1718</v>
      </c>
      <c r="U1832" s="48" t="s">
        <v>92</v>
      </c>
      <c r="V1832" s="2"/>
      <c r="W1832" s="2"/>
      <c r="X1832" s="2"/>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row>
    <row r="1833" spans="2:47" ht="14.25" customHeight="1" x14ac:dyDescent="0.3">
      <c r="B1833" s="3"/>
      <c r="Q1833" s="1"/>
      <c r="R1833" s="1"/>
      <c r="S1833" s="2"/>
      <c r="T1833" s="2">
        <v>1719</v>
      </c>
      <c r="U1833" s="48" t="s">
        <v>92</v>
      </c>
      <c r="V1833" s="2"/>
      <c r="W1833" s="2"/>
      <c r="X1833" s="2"/>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row>
    <row r="1834" spans="2:47" ht="14.25" customHeight="1" x14ac:dyDescent="0.3">
      <c r="B1834" s="3"/>
      <c r="Q1834" s="1"/>
      <c r="R1834" s="1"/>
      <c r="S1834" s="2"/>
      <c r="T1834" s="2">
        <v>1720</v>
      </c>
      <c r="U1834" s="48" t="s">
        <v>92</v>
      </c>
      <c r="V1834" s="2"/>
      <c r="W1834" s="2"/>
      <c r="X1834" s="2"/>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row>
    <row r="1835" spans="2:47" ht="14.25" customHeight="1" x14ac:dyDescent="0.3">
      <c r="B1835" s="3"/>
      <c r="Q1835" s="1"/>
      <c r="R1835" s="1"/>
      <c r="S1835" s="2"/>
      <c r="T1835" s="2">
        <v>1721</v>
      </c>
      <c r="U1835" s="48" t="s">
        <v>92</v>
      </c>
      <c r="V1835" s="2"/>
      <c r="W1835" s="2"/>
      <c r="X1835" s="2"/>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row>
    <row r="1836" spans="2:47" ht="14.25" customHeight="1" x14ac:dyDescent="0.3">
      <c r="B1836" s="3"/>
      <c r="Q1836" s="1"/>
      <c r="R1836" s="1"/>
      <c r="S1836" s="2"/>
      <c r="T1836" s="2">
        <v>1722</v>
      </c>
      <c r="U1836" s="48" t="s">
        <v>92</v>
      </c>
      <c r="V1836" s="2"/>
      <c r="W1836" s="2"/>
      <c r="X1836" s="2"/>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row>
    <row r="1837" spans="2:47" ht="14.25" customHeight="1" x14ac:dyDescent="0.3">
      <c r="B1837" s="3"/>
      <c r="Q1837" s="1"/>
      <c r="R1837" s="1"/>
      <c r="S1837" s="2"/>
      <c r="T1837" s="2">
        <v>1723</v>
      </c>
      <c r="U1837" s="48" t="s">
        <v>92</v>
      </c>
      <c r="V1837" s="2"/>
      <c r="W1837" s="2"/>
      <c r="X1837" s="2"/>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row>
    <row r="1838" spans="2:47" ht="14.25" customHeight="1" x14ac:dyDescent="0.3">
      <c r="B1838" s="3"/>
      <c r="Q1838" s="1"/>
      <c r="R1838" s="1"/>
      <c r="S1838" s="2"/>
      <c r="T1838" s="2">
        <v>1724</v>
      </c>
      <c r="U1838" s="48" t="s">
        <v>92</v>
      </c>
      <c r="V1838" s="2"/>
      <c r="W1838" s="2"/>
      <c r="X1838" s="2"/>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row>
    <row r="1839" spans="2:47" ht="14.25" customHeight="1" x14ac:dyDescent="0.3">
      <c r="B1839" s="3"/>
      <c r="Q1839" s="1"/>
      <c r="R1839" s="1"/>
      <c r="S1839" s="2"/>
      <c r="T1839" s="2">
        <v>1725</v>
      </c>
      <c r="U1839" s="48" t="s">
        <v>92</v>
      </c>
      <c r="V1839" s="2"/>
      <c r="W1839" s="2"/>
      <c r="X1839" s="2"/>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row>
    <row r="1840" spans="2:47" ht="14.25" customHeight="1" x14ac:dyDescent="0.3">
      <c r="B1840" s="3"/>
      <c r="Q1840" s="1"/>
      <c r="R1840" s="1"/>
      <c r="S1840" s="2"/>
      <c r="T1840" s="2">
        <v>1726</v>
      </c>
      <c r="U1840" s="48" t="s">
        <v>92</v>
      </c>
      <c r="V1840" s="2"/>
      <c r="W1840" s="2"/>
      <c r="X1840" s="2"/>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row>
    <row r="1841" spans="2:47" ht="14.25" customHeight="1" x14ac:dyDescent="0.3">
      <c r="B1841" s="3"/>
      <c r="Q1841" s="1"/>
      <c r="R1841" s="1"/>
      <c r="S1841" s="2"/>
      <c r="T1841" s="2">
        <v>1727</v>
      </c>
      <c r="U1841" s="48" t="s">
        <v>92</v>
      </c>
      <c r="V1841" s="2"/>
      <c r="W1841" s="2"/>
      <c r="X1841" s="2"/>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row>
    <row r="1842" spans="2:47" ht="14.25" customHeight="1" x14ac:dyDescent="0.3">
      <c r="B1842" s="3"/>
      <c r="Q1842" s="1"/>
      <c r="R1842" s="1"/>
      <c r="S1842" s="2"/>
      <c r="T1842" s="2">
        <v>1728</v>
      </c>
      <c r="U1842" s="48" t="s">
        <v>92</v>
      </c>
      <c r="V1842" s="2"/>
      <c r="W1842" s="2"/>
      <c r="X1842" s="2"/>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row>
    <row r="1843" spans="2:47" ht="14.25" customHeight="1" x14ac:dyDescent="0.3">
      <c r="B1843" s="3"/>
      <c r="Q1843" s="1"/>
      <c r="R1843" s="1"/>
      <c r="S1843" s="2"/>
      <c r="T1843" s="2">
        <v>1729</v>
      </c>
      <c r="U1843" s="48" t="s">
        <v>92</v>
      </c>
      <c r="V1843" s="2"/>
      <c r="W1843" s="2"/>
      <c r="X1843" s="2"/>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row>
    <row r="1844" spans="2:47" ht="14.25" customHeight="1" x14ac:dyDescent="0.3">
      <c r="B1844" s="3"/>
      <c r="Q1844" s="1"/>
      <c r="R1844" s="1"/>
      <c r="S1844" s="2"/>
      <c r="T1844" s="2">
        <v>1730</v>
      </c>
      <c r="U1844" s="48" t="s">
        <v>92</v>
      </c>
      <c r="V1844" s="2"/>
      <c r="W1844" s="2"/>
      <c r="X1844" s="2"/>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row>
    <row r="1845" spans="2:47" ht="14.25" customHeight="1" x14ac:dyDescent="0.3">
      <c r="B1845" s="3"/>
      <c r="Q1845" s="1"/>
      <c r="R1845" s="1"/>
      <c r="S1845" s="2"/>
      <c r="T1845" s="2">
        <v>1731</v>
      </c>
      <c r="U1845" s="48" t="s">
        <v>92</v>
      </c>
      <c r="V1845" s="2"/>
      <c r="W1845" s="2"/>
      <c r="X1845" s="2"/>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row>
    <row r="1846" spans="2:47" ht="14.25" customHeight="1" x14ac:dyDescent="0.3">
      <c r="B1846" s="3"/>
      <c r="Q1846" s="1"/>
      <c r="R1846" s="1"/>
      <c r="S1846" s="2"/>
      <c r="T1846" s="2">
        <v>1732</v>
      </c>
      <c r="U1846" s="48" t="s">
        <v>92</v>
      </c>
      <c r="V1846" s="2"/>
      <c r="W1846" s="2"/>
      <c r="X1846" s="2"/>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row>
    <row r="1847" spans="2:47" ht="14.25" customHeight="1" x14ac:dyDescent="0.3">
      <c r="B1847" s="3"/>
      <c r="Q1847" s="1"/>
      <c r="R1847" s="1"/>
      <c r="S1847" s="2"/>
      <c r="T1847" s="2">
        <v>1733</v>
      </c>
      <c r="U1847" s="48" t="s">
        <v>92</v>
      </c>
      <c r="V1847" s="2"/>
      <c r="W1847" s="2"/>
      <c r="X1847" s="2"/>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row>
    <row r="1848" spans="2:47" ht="14.25" customHeight="1" x14ac:dyDescent="0.3">
      <c r="B1848" s="3"/>
      <c r="Q1848" s="1"/>
      <c r="R1848" s="1"/>
      <c r="S1848" s="2"/>
      <c r="T1848" s="2">
        <v>1734</v>
      </c>
      <c r="U1848" s="48" t="s">
        <v>92</v>
      </c>
      <c r="V1848" s="2"/>
      <c r="W1848" s="2"/>
      <c r="X1848" s="2"/>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row>
    <row r="1849" spans="2:47" ht="14.25" customHeight="1" x14ac:dyDescent="0.3">
      <c r="B1849" s="3"/>
      <c r="Q1849" s="1"/>
      <c r="R1849" s="1"/>
      <c r="S1849" s="2"/>
      <c r="T1849" s="2">
        <v>1735</v>
      </c>
      <c r="U1849" s="48" t="s">
        <v>92</v>
      </c>
      <c r="V1849" s="2"/>
      <c r="W1849" s="2"/>
      <c r="X1849" s="2"/>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row>
    <row r="1850" spans="2:47" ht="14.25" customHeight="1" x14ac:dyDescent="0.3">
      <c r="B1850" s="3"/>
      <c r="Q1850" s="1"/>
      <c r="R1850" s="1"/>
      <c r="S1850" s="2"/>
      <c r="T1850" s="2">
        <v>1736</v>
      </c>
      <c r="U1850" s="48" t="s">
        <v>92</v>
      </c>
      <c r="V1850" s="2"/>
      <c r="W1850" s="2"/>
      <c r="X1850" s="2"/>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row>
    <row r="1851" spans="2:47" ht="14.25" customHeight="1" x14ac:dyDescent="0.3">
      <c r="B1851" s="3"/>
      <c r="Q1851" s="1"/>
      <c r="R1851" s="1"/>
      <c r="S1851" s="2"/>
      <c r="T1851" s="2">
        <v>1737</v>
      </c>
      <c r="U1851" s="48" t="s">
        <v>92</v>
      </c>
      <c r="V1851" s="2"/>
      <c r="W1851" s="2"/>
      <c r="X1851" s="2"/>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row>
    <row r="1852" spans="2:47" ht="14.25" customHeight="1" x14ac:dyDescent="0.3">
      <c r="B1852" s="3"/>
      <c r="Q1852" s="1"/>
      <c r="R1852" s="1"/>
      <c r="S1852" s="2"/>
      <c r="T1852" s="2">
        <v>1738</v>
      </c>
      <c r="U1852" s="48" t="s">
        <v>92</v>
      </c>
      <c r="V1852" s="2"/>
      <c r="W1852" s="2"/>
      <c r="X1852" s="2"/>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row>
    <row r="1853" spans="2:47" ht="14.25" customHeight="1" x14ac:dyDescent="0.3">
      <c r="B1853" s="3"/>
      <c r="Q1853" s="1"/>
      <c r="R1853" s="1"/>
      <c r="S1853" s="2"/>
      <c r="T1853" s="2">
        <v>1739</v>
      </c>
      <c r="U1853" s="48" t="s">
        <v>92</v>
      </c>
      <c r="V1853" s="2"/>
      <c r="W1853" s="2"/>
      <c r="X1853" s="2"/>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row>
    <row r="1854" spans="2:47" ht="14.25" customHeight="1" x14ac:dyDescent="0.3">
      <c r="B1854" s="3"/>
      <c r="Q1854" s="1"/>
      <c r="R1854" s="1"/>
      <c r="S1854" s="2"/>
      <c r="T1854" s="2">
        <v>1740</v>
      </c>
      <c r="U1854" s="48" t="s">
        <v>92</v>
      </c>
      <c r="V1854" s="2"/>
      <c r="W1854" s="2"/>
      <c r="X1854" s="2"/>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row>
    <row r="1855" spans="2:47" ht="14.25" customHeight="1" x14ac:dyDescent="0.3">
      <c r="B1855" s="3"/>
      <c r="Q1855" s="1"/>
      <c r="R1855" s="1"/>
      <c r="S1855" s="2"/>
      <c r="T1855" s="2">
        <v>1741</v>
      </c>
      <c r="U1855" s="48" t="s">
        <v>92</v>
      </c>
      <c r="V1855" s="2"/>
      <c r="W1855" s="2"/>
      <c r="X1855" s="2"/>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row>
    <row r="1856" spans="2:47" ht="14.25" customHeight="1" x14ac:dyDescent="0.3">
      <c r="B1856" s="3"/>
      <c r="Q1856" s="1"/>
      <c r="R1856" s="1"/>
      <c r="S1856" s="2"/>
      <c r="T1856" s="2">
        <v>1742</v>
      </c>
      <c r="U1856" s="48" t="s">
        <v>92</v>
      </c>
      <c r="V1856" s="2"/>
      <c r="W1856" s="2"/>
      <c r="X1856" s="2"/>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row>
    <row r="1857" spans="2:47" ht="14.25" customHeight="1" x14ac:dyDescent="0.3">
      <c r="B1857" s="3"/>
      <c r="Q1857" s="1"/>
      <c r="R1857" s="1"/>
      <c r="S1857" s="2"/>
      <c r="T1857" s="2">
        <v>1743</v>
      </c>
      <c r="U1857" s="48" t="s">
        <v>92</v>
      </c>
      <c r="V1857" s="2"/>
      <c r="W1857" s="2"/>
      <c r="X1857" s="2"/>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row>
    <row r="1858" spans="2:47" ht="14.25" customHeight="1" x14ac:dyDescent="0.3">
      <c r="B1858" s="3"/>
      <c r="Q1858" s="1"/>
      <c r="R1858" s="1"/>
      <c r="S1858" s="2"/>
      <c r="T1858" s="2">
        <v>1744</v>
      </c>
      <c r="U1858" s="48" t="s">
        <v>92</v>
      </c>
      <c r="V1858" s="2"/>
      <c r="W1858" s="2"/>
      <c r="X1858" s="2"/>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row>
    <row r="1859" spans="2:47" ht="14.25" customHeight="1" x14ac:dyDescent="0.3">
      <c r="B1859" s="3"/>
      <c r="Q1859" s="1"/>
      <c r="R1859" s="1"/>
      <c r="S1859" s="2"/>
      <c r="T1859" s="2">
        <v>1745</v>
      </c>
      <c r="U1859" s="48" t="s">
        <v>92</v>
      </c>
      <c r="V1859" s="2"/>
      <c r="W1859" s="2"/>
      <c r="X1859" s="2"/>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row>
    <row r="1860" spans="2:47" ht="14.25" customHeight="1" x14ac:dyDescent="0.3">
      <c r="B1860" s="3"/>
      <c r="Q1860" s="1"/>
      <c r="R1860" s="1"/>
      <c r="S1860" s="2"/>
      <c r="T1860" s="2">
        <v>1746</v>
      </c>
      <c r="U1860" s="48" t="s">
        <v>92</v>
      </c>
      <c r="V1860" s="2"/>
      <c r="W1860" s="2"/>
      <c r="X1860" s="2"/>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row>
    <row r="1861" spans="2:47" ht="14.25" customHeight="1" x14ac:dyDescent="0.3">
      <c r="B1861" s="3"/>
      <c r="Q1861" s="1"/>
      <c r="R1861" s="1"/>
      <c r="S1861" s="2"/>
      <c r="T1861" s="2">
        <v>1747</v>
      </c>
      <c r="U1861" s="48" t="s">
        <v>92</v>
      </c>
      <c r="V1861" s="2"/>
      <c r="W1861" s="2"/>
      <c r="X1861" s="2"/>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row>
    <row r="1862" spans="2:47" ht="14.25" customHeight="1" x14ac:dyDescent="0.3">
      <c r="B1862" s="3"/>
      <c r="Q1862" s="1"/>
      <c r="R1862" s="1"/>
      <c r="S1862" s="2"/>
      <c r="T1862" s="2">
        <v>1748</v>
      </c>
      <c r="U1862" s="48" t="s">
        <v>92</v>
      </c>
      <c r="V1862" s="2"/>
      <c r="W1862" s="2"/>
      <c r="X1862" s="2"/>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row>
    <row r="1863" spans="2:47" ht="14.25" customHeight="1" x14ac:dyDescent="0.3">
      <c r="B1863" s="3"/>
      <c r="Q1863" s="1"/>
      <c r="R1863" s="1"/>
      <c r="S1863" s="2"/>
      <c r="T1863" s="2">
        <v>1749</v>
      </c>
      <c r="U1863" s="48" t="s">
        <v>92</v>
      </c>
      <c r="V1863" s="2"/>
      <c r="W1863" s="2"/>
      <c r="X1863" s="2"/>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row>
    <row r="1864" spans="2:47" ht="14.25" customHeight="1" x14ac:dyDescent="0.3">
      <c r="B1864" s="3"/>
      <c r="Q1864" s="1"/>
      <c r="R1864" s="1"/>
      <c r="S1864" s="2"/>
      <c r="T1864" s="2">
        <v>1750</v>
      </c>
      <c r="U1864" s="48" t="s">
        <v>92</v>
      </c>
      <c r="V1864" s="2"/>
      <c r="W1864" s="2"/>
      <c r="X1864" s="2"/>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row>
    <row r="1865" spans="2:47" ht="14.25" customHeight="1" x14ac:dyDescent="0.3">
      <c r="B1865" s="3"/>
      <c r="Q1865" s="1"/>
      <c r="R1865" s="1"/>
      <c r="S1865" s="2"/>
      <c r="T1865" s="2">
        <v>1751</v>
      </c>
      <c r="U1865" s="48" t="s">
        <v>92</v>
      </c>
      <c r="V1865" s="2"/>
      <c r="W1865" s="2"/>
      <c r="X1865" s="2"/>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row>
    <row r="1866" spans="2:47" ht="14.25" customHeight="1" x14ac:dyDescent="0.3">
      <c r="B1866" s="3"/>
      <c r="Q1866" s="1"/>
      <c r="R1866" s="1"/>
      <c r="S1866" s="2"/>
      <c r="T1866" s="2">
        <v>1752</v>
      </c>
      <c r="U1866" s="48" t="s">
        <v>92</v>
      </c>
      <c r="V1866" s="2"/>
      <c r="W1866" s="2"/>
      <c r="X1866" s="2"/>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row>
    <row r="1867" spans="2:47" ht="14.25" customHeight="1" x14ac:dyDescent="0.3">
      <c r="B1867" s="3"/>
      <c r="Q1867" s="1"/>
      <c r="R1867" s="1"/>
      <c r="S1867" s="2"/>
      <c r="T1867" s="2">
        <v>1753</v>
      </c>
      <c r="U1867" s="48" t="s">
        <v>92</v>
      </c>
      <c r="V1867" s="2"/>
      <c r="W1867" s="2"/>
      <c r="X1867" s="2"/>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row>
    <row r="1868" spans="2:47" ht="14.25" customHeight="1" x14ac:dyDescent="0.3">
      <c r="B1868" s="3"/>
      <c r="Q1868" s="1"/>
      <c r="R1868" s="1"/>
      <c r="S1868" s="2"/>
      <c r="T1868" s="2">
        <v>1754</v>
      </c>
      <c r="U1868" s="48" t="s">
        <v>92</v>
      </c>
      <c r="V1868" s="2"/>
      <c r="W1868" s="2"/>
      <c r="X1868" s="2"/>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row>
    <row r="1869" spans="2:47" ht="14.25" customHeight="1" x14ac:dyDescent="0.3">
      <c r="B1869" s="3"/>
      <c r="Q1869" s="1"/>
      <c r="R1869" s="1"/>
      <c r="S1869" s="2"/>
      <c r="T1869" s="2">
        <v>1755</v>
      </c>
      <c r="U1869" s="48" t="s">
        <v>92</v>
      </c>
      <c r="V1869" s="2"/>
      <c r="W1869" s="2"/>
      <c r="X1869" s="2"/>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row>
    <row r="1870" spans="2:47" ht="14.25" customHeight="1" x14ac:dyDescent="0.3">
      <c r="B1870" s="3"/>
      <c r="Q1870" s="1"/>
      <c r="R1870" s="1"/>
      <c r="S1870" s="2"/>
      <c r="T1870" s="2">
        <v>1756</v>
      </c>
      <c r="U1870" s="48" t="s">
        <v>92</v>
      </c>
      <c r="V1870" s="2"/>
      <c r="W1870" s="2"/>
      <c r="X1870" s="2"/>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row>
    <row r="1871" spans="2:47" ht="14.25" customHeight="1" x14ac:dyDescent="0.3">
      <c r="B1871" s="3"/>
      <c r="Q1871" s="1"/>
      <c r="R1871" s="1"/>
      <c r="S1871" s="2"/>
      <c r="T1871" s="2">
        <v>1757</v>
      </c>
      <c r="U1871" s="48" t="s">
        <v>92</v>
      </c>
      <c r="V1871" s="2"/>
      <c r="W1871" s="2"/>
      <c r="X1871" s="2"/>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row>
    <row r="1872" spans="2:47" ht="14.25" customHeight="1" x14ac:dyDescent="0.3">
      <c r="B1872" s="3"/>
      <c r="Q1872" s="1"/>
      <c r="R1872" s="1"/>
      <c r="S1872" s="2"/>
      <c r="T1872" s="2">
        <v>1758</v>
      </c>
      <c r="U1872" s="48" t="s">
        <v>92</v>
      </c>
      <c r="V1872" s="2"/>
      <c r="W1872" s="2"/>
      <c r="X1872" s="2"/>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row>
    <row r="1873" spans="2:47" ht="14.25" customHeight="1" x14ac:dyDescent="0.3">
      <c r="B1873" s="3"/>
      <c r="Q1873" s="1"/>
      <c r="R1873" s="1"/>
      <c r="S1873" s="2"/>
      <c r="T1873" s="2">
        <v>1759</v>
      </c>
      <c r="U1873" s="48" t="s">
        <v>92</v>
      </c>
      <c r="V1873" s="2"/>
      <c r="W1873" s="2"/>
      <c r="X1873" s="2"/>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row>
    <row r="1874" spans="2:47" ht="14.25" customHeight="1" x14ac:dyDescent="0.3">
      <c r="B1874" s="3"/>
      <c r="Q1874" s="1"/>
      <c r="R1874" s="1"/>
      <c r="S1874" s="2"/>
      <c r="T1874" s="2">
        <v>1760</v>
      </c>
      <c r="U1874" s="48" t="s">
        <v>92</v>
      </c>
      <c r="V1874" s="2"/>
      <c r="W1874" s="2"/>
      <c r="X1874" s="2"/>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row>
    <row r="1875" spans="2:47" ht="14.25" customHeight="1" x14ac:dyDescent="0.3">
      <c r="B1875" s="3"/>
      <c r="Q1875" s="1"/>
      <c r="R1875" s="1"/>
      <c r="S1875" s="2"/>
      <c r="T1875" s="2">
        <v>1761</v>
      </c>
      <c r="U1875" s="48" t="s">
        <v>92</v>
      </c>
      <c r="V1875" s="2"/>
      <c r="W1875" s="2"/>
      <c r="X1875" s="2"/>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row>
    <row r="1876" spans="2:47" ht="14.25" customHeight="1" x14ac:dyDescent="0.3">
      <c r="B1876" s="3"/>
      <c r="Q1876" s="1"/>
      <c r="R1876" s="1"/>
      <c r="S1876" s="2"/>
      <c r="T1876" s="2">
        <v>1762</v>
      </c>
      <c r="U1876" s="48" t="s">
        <v>92</v>
      </c>
      <c r="V1876" s="2"/>
      <c r="W1876" s="2"/>
      <c r="X1876" s="2"/>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row>
    <row r="1877" spans="2:47" ht="14.25" customHeight="1" x14ac:dyDescent="0.3">
      <c r="B1877" s="3"/>
      <c r="Q1877" s="1"/>
      <c r="R1877" s="1"/>
      <c r="S1877" s="2"/>
      <c r="T1877" s="2">
        <v>1763</v>
      </c>
      <c r="U1877" s="48" t="s">
        <v>92</v>
      </c>
      <c r="V1877" s="2"/>
      <c r="W1877" s="2"/>
      <c r="X1877" s="2"/>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row>
    <row r="1878" spans="2:47" ht="14.25" customHeight="1" x14ac:dyDescent="0.3">
      <c r="B1878" s="3"/>
      <c r="Q1878" s="1"/>
      <c r="R1878" s="1"/>
      <c r="S1878" s="2"/>
      <c r="T1878" s="2">
        <v>1764</v>
      </c>
      <c r="U1878" s="48" t="s">
        <v>92</v>
      </c>
      <c r="V1878" s="2"/>
      <c r="W1878" s="2"/>
      <c r="X1878" s="2"/>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row>
    <row r="1879" spans="2:47" ht="14.25" customHeight="1" x14ac:dyDescent="0.3">
      <c r="B1879" s="3"/>
      <c r="Q1879" s="1"/>
      <c r="R1879" s="1"/>
      <c r="S1879" s="2"/>
      <c r="T1879" s="2">
        <v>1765</v>
      </c>
      <c r="U1879" s="48" t="s">
        <v>92</v>
      </c>
      <c r="V1879" s="2"/>
      <c r="W1879" s="2"/>
      <c r="X1879" s="2"/>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row>
    <row r="1880" spans="2:47" ht="14.25" customHeight="1" x14ac:dyDescent="0.3">
      <c r="B1880" s="3"/>
      <c r="Q1880" s="1"/>
      <c r="R1880" s="1"/>
      <c r="S1880" s="2"/>
      <c r="T1880" s="2">
        <v>1766</v>
      </c>
      <c r="U1880" s="48" t="s">
        <v>92</v>
      </c>
      <c r="V1880" s="2"/>
      <c r="W1880" s="2"/>
      <c r="X1880" s="2"/>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row>
    <row r="1881" spans="2:47" ht="14.25" customHeight="1" x14ac:dyDescent="0.3">
      <c r="B1881" s="3"/>
      <c r="Q1881" s="1"/>
      <c r="R1881" s="1"/>
      <c r="S1881" s="2"/>
      <c r="T1881" s="2">
        <v>1767</v>
      </c>
      <c r="U1881" s="48" t="s">
        <v>92</v>
      </c>
      <c r="V1881" s="2"/>
      <c r="W1881" s="2"/>
      <c r="X1881" s="2"/>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row>
    <row r="1882" spans="2:47" ht="14.25" customHeight="1" x14ac:dyDescent="0.3">
      <c r="B1882" s="3"/>
      <c r="Q1882" s="1"/>
      <c r="R1882" s="1"/>
      <c r="S1882" s="2"/>
      <c r="T1882" s="2">
        <v>1768</v>
      </c>
      <c r="U1882" s="48" t="s">
        <v>92</v>
      </c>
      <c r="V1882" s="2"/>
      <c r="W1882" s="2"/>
      <c r="X1882" s="2"/>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row>
    <row r="1883" spans="2:47" ht="14.25" customHeight="1" x14ac:dyDescent="0.3">
      <c r="B1883" s="3"/>
      <c r="Q1883" s="1"/>
      <c r="R1883" s="1"/>
      <c r="S1883" s="2"/>
      <c r="T1883" s="2">
        <v>1769</v>
      </c>
      <c r="U1883" s="48" t="s">
        <v>92</v>
      </c>
      <c r="V1883" s="2"/>
      <c r="W1883" s="2"/>
      <c r="X1883" s="2"/>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row>
    <row r="1884" spans="2:47" ht="14.25" customHeight="1" x14ac:dyDescent="0.3">
      <c r="B1884" s="3"/>
      <c r="Q1884" s="1"/>
      <c r="R1884" s="1"/>
      <c r="S1884" s="2"/>
      <c r="T1884" s="2">
        <v>1770</v>
      </c>
      <c r="U1884" s="48" t="s">
        <v>92</v>
      </c>
      <c r="V1884" s="2"/>
      <c r="W1884" s="2"/>
      <c r="X1884" s="2"/>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row>
    <row r="1885" spans="2:47" ht="14.25" customHeight="1" x14ac:dyDescent="0.3">
      <c r="B1885" s="3"/>
      <c r="Q1885" s="1"/>
      <c r="R1885" s="1"/>
      <c r="S1885" s="2"/>
      <c r="T1885" s="2">
        <v>1771</v>
      </c>
      <c r="U1885" s="48" t="s">
        <v>92</v>
      </c>
      <c r="V1885" s="2"/>
      <c r="W1885" s="2"/>
      <c r="X1885" s="2"/>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row>
    <row r="1886" spans="2:47" ht="14.25" customHeight="1" x14ac:dyDescent="0.3">
      <c r="B1886" s="3"/>
      <c r="Q1886" s="1"/>
      <c r="R1886" s="1"/>
      <c r="S1886" s="2"/>
      <c r="T1886" s="2">
        <v>1772</v>
      </c>
      <c r="U1886" s="48" t="s">
        <v>92</v>
      </c>
      <c r="V1886" s="2"/>
      <c r="W1886" s="2"/>
      <c r="X1886" s="2"/>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row>
    <row r="1887" spans="2:47" ht="14.25" customHeight="1" x14ac:dyDescent="0.3">
      <c r="B1887" s="3"/>
      <c r="Q1887" s="1"/>
      <c r="R1887" s="1"/>
      <c r="S1887" s="2"/>
      <c r="T1887" s="2">
        <v>1773</v>
      </c>
      <c r="U1887" s="48" t="s">
        <v>92</v>
      </c>
      <c r="V1887" s="2"/>
      <c r="W1887" s="2"/>
      <c r="X1887" s="2"/>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row>
    <row r="1888" spans="2:47" ht="14.25" customHeight="1" x14ac:dyDescent="0.3">
      <c r="B1888" s="3"/>
      <c r="Q1888" s="1"/>
      <c r="R1888" s="1"/>
      <c r="S1888" s="2"/>
      <c r="T1888" s="2">
        <v>1774</v>
      </c>
      <c r="U1888" s="48" t="s">
        <v>92</v>
      </c>
      <c r="V1888" s="2"/>
      <c r="W1888" s="2"/>
      <c r="X1888" s="2"/>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row>
    <row r="1889" spans="2:47" ht="14.25" customHeight="1" x14ac:dyDescent="0.3">
      <c r="B1889" s="3"/>
      <c r="Q1889" s="1"/>
      <c r="R1889" s="1"/>
      <c r="S1889" s="2"/>
      <c r="T1889" s="2">
        <v>1775</v>
      </c>
      <c r="U1889" s="48" t="s">
        <v>92</v>
      </c>
      <c r="V1889" s="2"/>
      <c r="W1889" s="2"/>
      <c r="X1889" s="2"/>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row>
    <row r="1890" spans="2:47" ht="14.25" customHeight="1" x14ac:dyDescent="0.3">
      <c r="B1890" s="3"/>
      <c r="Q1890" s="1"/>
      <c r="R1890" s="1"/>
      <c r="S1890" s="2"/>
      <c r="T1890" s="2">
        <v>1776</v>
      </c>
      <c r="U1890" s="48" t="s">
        <v>92</v>
      </c>
      <c r="V1890" s="2"/>
      <c r="W1890" s="2"/>
      <c r="X1890" s="2"/>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row>
    <row r="1891" spans="2:47" ht="14.25" customHeight="1" x14ac:dyDescent="0.3">
      <c r="B1891" s="3"/>
      <c r="Q1891" s="1"/>
      <c r="R1891" s="1"/>
      <c r="S1891" s="2"/>
      <c r="T1891" s="2">
        <v>1777</v>
      </c>
      <c r="U1891" s="48" t="s">
        <v>92</v>
      </c>
      <c r="V1891" s="2"/>
      <c r="W1891" s="2"/>
      <c r="X1891" s="2"/>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row>
    <row r="1892" spans="2:47" ht="14.25" customHeight="1" x14ac:dyDescent="0.3">
      <c r="B1892" s="3"/>
      <c r="Q1892" s="1"/>
      <c r="R1892" s="1"/>
      <c r="S1892" s="2"/>
      <c r="T1892" s="2">
        <v>1778</v>
      </c>
      <c r="U1892" s="48" t="s">
        <v>92</v>
      </c>
      <c r="V1892" s="2"/>
      <c r="W1892" s="2"/>
      <c r="X1892" s="2"/>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row>
    <row r="1893" spans="2:47" ht="14.25" customHeight="1" x14ac:dyDescent="0.3">
      <c r="B1893" s="3"/>
      <c r="Q1893" s="1"/>
      <c r="R1893" s="1"/>
      <c r="S1893" s="2"/>
      <c r="T1893" s="2">
        <v>1779</v>
      </c>
      <c r="U1893" s="48" t="s">
        <v>92</v>
      </c>
      <c r="V1893" s="2"/>
      <c r="W1893" s="2"/>
      <c r="X1893" s="2"/>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row>
    <row r="1894" spans="2:47" ht="14.25" customHeight="1" x14ac:dyDescent="0.3">
      <c r="B1894" s="3"/>
      <c r="Q1894" s="1"/>
      <c r="R1894" s="1"/>
      <c r="S1894" s="2"/>
      <c r="T1894" s="2">
        <v>1780</v>
      </c>
      <c r="U1894" s="48" t="s">
        <v>92</v>
      </c>
      <c r="V1894" s="2"/>
      <c r="W1894" s="2"/>
      <c r="X1894" s="2"/>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row>
    <row r="1895" spans="2:47" ht="14.25" customHeight="1" x14ac:dyDescent="0.3">
      <c r="B1895" s="3"/>
      <c r="Q1895" s="1"/>
      <c r="R1895" s="1"/>
      <c r="S1895" s="2"/>
      <c r="T1895" s="2">
        <v>1781</v>
      </c>
      <c r="U1895" s="48" t="s">
        <v>92</v>
      </c>
      <c r="V1895" s="2"/>
      <c r="W1895" s="2"/>
      <c r="X1895" s="2"/>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row>
    <row r="1896" spans="2:47" ht="14.25" customHeight="1" x14ac:dyDescent="0.3">
      <c r="B1896" s="3"/>
      <c r="Q1896" s="1"/>
      <c r="R1896" s="1"/>
      <c r="S1896" s="2"/>
      <c r="T1896" s="2">
        <v>1782</v>
      </c>
      <c r="U1896" s="48" t="s">
        <v>92</v>
      </c>
      <c r="V1896" s="2"/>
      <c r="W1896" s="2"/>
      <c r="X1896" s="2"/>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row>
    <row r="1897" spans="2:47" ht="14.25" customHeight="1" x14ac:dyDescent="0.3">
      <c r="B1897" s="3"/>
      <c r="Q1897" s="1"/>
      <c r="R1897" s="1"/>
      <c r="S1897" s="2"/>
      <c r="T1897" s="2">
        <v>1783</v>
      </c>
      <c r="U1897" s="48" t="s">
        <v>92</v>
      </c>
      <c r="V1897" s="2"/>
      <c r="W1897" s="2"/>
      <c r="X1897" s="2"/>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row>
    <row r="1898" spans="2:47" ht="14.25" customHeight="1" x14ac:dyDescent="0.3">
      <c r="B1898" s="3"/>
      <c r="Q1898" s="1"/>
      <c r="R1898" s="1"/>
      <c r="S1898" s="2"/>
      <c r="T1898" s="2">
        <v>1784</v>
      </c>
      <c r="U1898" s="48" t="s">
        <v>92</v>
      </c>
      <c r="V1898" s="2"/>
      <c r="W1898" s="2"/>
      <c r="X1898" s="2"/>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row>
    <row r="1899" spans="2:47" ht="14.25" customHeight="1" x14ac:dyDescent="0.3">
      <c r="B1899" s="3"/>
      <c r="Q1899" s="1"/>
      <c r="R1899" s="1"/>
      <c r="S1899" s="2"/>
      <c r="T1899" s="2">
        <v>1785</v>
      </c>
      <c r="U1899" s="48" t="s">
        <v>92</v>
      </c>
      <c r="V1899" s="2"/>
      <c r="W1899" s="2"/>
      <c r="X1899" s="2"/>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row>
    <row r="1900" spans="2:47" ht="14.25" customHeight="1" x14ac:dyDescent="0.3">
      <c r="B1900" s="3"/>
      <c r="Q1900" s="1"/>
      <c r="R1900" s="1"/>
      <c r="S1900" s="2"/>
      <c r="T1900" s="2">
        <v>1786</v>
      </c>
      <c r="U1900" s="48" t="s">
        <v>92</v>
      </c>
      <c r="V1900" s="2"/>
      <c r="W1900" s="2"/>
      <c r="X1900" s="2"/>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row>
    <row r="1901" spans="2:47" ht="14.25" customHeight="1" x14ac:dyDescent="0.3">
      <c r="B1901" s="3"/>
      <c r="Q1901" s="1"/>
      <c r="R1901" s="1"/>
      <c r="S1901" s="2"/>
      <c r="T1901" s="2">
        <v>1787</v>
      </c>
      <c r="U1901" s="48" t="s">
        <v>92</v>
      </c>
      <c r="V1901" s="2"/>
      <c r="W1901" s="2"/>
      <c r="X1901" s="2"/>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row>
    <row r="1902" spans="2:47" ht="14.25" customHeight="1" x14ac:dyDescent="0.3">
      <c r="B1902" s="3"/>
      <c r="Q1902" s="1"/>
      <c r="R1902" s="1"/>
      <c r="S1902" s="2"/>
      <c r="T1902" s="2">
        <v>1788</v>
      </c>
      <c r="U1902" s="48" t="s">
        <v>92</v>
      </c>
      <c r="V1902" s="2"/>
      <c r="W1902" s="2"/>
      <c r="X1902" s="2"/>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row>
    <row r="1903" spans="2:47" ht="14.25" customHeight="1" x14ac:dyDescent="0.3">
      <c r="B1903" s="3"/>
      <c r="Q1903" s="1"/>
      <c r="R1903" s="1"/>
      <c r="S1903" s="2"/>
      <c r="T1903" s="2">
        <v>1789</v>
      </c>
      <c r="U1903" s="48" t="s">
        <v>92</v>
      </c>
      <c r="V1903" s="2"/>
      <c r="W1903" s="2"/>
      <c r="X1903" s="2"/>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row>
    <row r="1904" spans="2:47" ht="14.25" customHeight="1" x14ac:dyDescent="0.3">
      <c r="B1904" s="3"/>
      <c r="Q1904" s="1"/>
      <c r="R1904" s="1"/>
      <c r="S1904" s="2"/>
      <c r="T1904" s="2">
        <v>1790</v>
      </c>
      <c r="U1904" s="48" t="s">
        <v>92</v>
      </c>
      <c r="V1904" s="2"/>
      <c r="W1904" s="2"/>
      <c r="X1904" s="2"/>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row>
    <row r="1905" spans="2:47" ht="14.25" customHeight="1" x14ac:dyDescent="0.3">
      <c r="B1905" s="3"/>
      <c r="Q1905" s="1"/>
      <c r="R1905" s="1"/>
      <c r="S1905" s="2"/>
      <c r="T1905" s="2">
        <v>1791</v>
      </c>
      <c r="U1905" s="48" t="s">
        <v>92</v>
      </c>
      <c r="V1905" s="2"/>
      <c r="W1905" s="2"/>
      <c r="X1905" s="2"/>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row>
    <row r="1906" spans="2:47" ht="14.25" customHeight="1" x14ac:dyDescent="0.3">
      <c r="B1906" s="3"/>
      <c r="Q1906" s="1"/>
      <c r="R1906" s="1"/>
      <c r="S1906" s="2"/>
      <c r="T1906" s="2">
        <v>1792</v>
      </c>
      <c r="U1906" s="48" t="s">
        <v>92</v>
      </c>
      <c r="V1906" s="2"/>
      <c r="W1906" s="2"/>
      <c r="X1906" s="2"/>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row>
    <row r="1907" spans="2:47" ht="14.25" customHeight="1" x14ac:dyDescent="0.3">
      <c r="B1907" s="3"/>
      <c r="Q1907" s="1"/>
      <c r="R1907" s="1"/>
      <c r="S1907" s="2"/>
      <c r="T1907" s="2">
        <v>1793</v>
      </c>
      <c r="U1907" s="48" t="s">
        <v>92</v>
      </c>
      <c r="V1907" s="2"/>
      <c r="W1907" s="2"/>
      <c r="X1907" s="2"/>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row>
    <row r="1908" spans="2:47" ht="14.25" customHeight="1" x14ac:dyDescent="0.3">
      <c r="B1908" s="3"/>
      <c r="Q1908" s="1"/>
      <c r="R1908" s="1"/>
      <c r="S1908" s="2"/>
      <c r="T1908" s="2">
        <v>1794</v>
      </c>
      <c r="U1908" s="48" t="s">
        <v>92</v>
      </c>
      <c r="V1908" s="2"/>
      <c r="W1908" s="2"/>
      <c r="X1908" s="2"/>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row>
    <row r="1909" spans="2:47" ht="14.25" customHeight="1" x14ac:dyDescent="0.3">
      <c r="B1909" s="3"/>
      <c r="Q1909" s="1"/>
      <c r="R1909" s="1"/>
      <c r="S1909" s="2"/>
      <c r="T1909" s="2">
        <v>1795</v>
      </c>
      <c r="U1909" s="48" t="s">
        <v>92</v>
      </c>
      <c r="V1909" s="2"/>
      <c r="W1909" s="2"/>
      <c r="X1909" s="2"/>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r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row>
    <row r="1911" spans="2:47" ht="14.25" customHeight="1" x14ac:dyDescent="0.3">
      <c r="B1911" s="3"/>
      <c r="Q1911" s="1"/>
      <c r="R1911" s="1"/>
      <c r="S1911" s="2"/>
      <c r="T1911" s="2">
        <v>1797</v>
      </c>
      <c r="U1911" s="48" t="s">
        <v>92</v>
      </c>
      <c r="V1911" s="2"/>
      <c r="W1911" s="2"/>
      <c r="X1911" s="2"/>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row>
    <row r="1912" spans="2:47" ht="14.25" customHeight="1" x14ac:dyDescent="0.3">
      <c r="B1912" s="3"/>
      <c r="Q1912" s="1"/>
      <c r="R1912" s="1"/>
      <c r="S1912" s="2"/>
      <c r="T1912" s="2">
        <v>1798</v>
      </c>
      <c r="U1912" s="48" t="s">
        <v>92</v>
      </c>
      <c r="V1912" s="2"/>
      <c r="W1912" s="2"/>
      <c r="X1912" s="2"/>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row>
    <row r="1913" spans="2:47" ht="14.25" customHeight="1" x14ac:dyDescent="0.3">
      <c r="B1913" s="3"/>
      <c r="Q1913" s="1"/>
      <c r="R1913" s="1"/>
      <c r="S1913" s="2"/>
      <c r="T1913" s="2">
        <v>1799</v>
      </c>
      <c r="U1913" s="48" t="s">
        <v>92</v>
      </c>
      <c r="V1913" s="2"/>
      <c r="W1913" s="2"/>
      <c r="X1913" s="2"/>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row>
    <row r="1914" spans="2:47" ht="14.25" customHeight="1" x14ac:dyDescent="0.3">
      <c r="B1914" s="3"/>
      <c r="Q1914" s="1"/>
      <c r="R1914" s="1"/>
      <c r="S1914" s="2"/>
      <c r="T1914" s="2">
        <v>1800</v>
      </c>
      <c r="U1914" s="48" t="s">
        <v>92</v>
      </c>
      <c r="V1914" s="2"/>
      <c r="W1914" s="2"/>
      <c r="X1914" s="2"/>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row>
    <row r="1915" spans="2:47" ht="14.25" customHeight="1" x14ac:dyDescent="0.3">
      <c r="B1915" s="3"/>
      <c r="Q1915" s="1"/>
      <c r="R1915" s="1"/>
      <c r="S1915" s="2"/>
      <c r="T1915" s="2">
        <v>1801</v>
      </c>
      <c r="U1915" s="48" t="s">
        <v>93</v>
      </c>
      <c r="V1915" s="2"/>
      <c r="W1915" s="2"/>
      <c r="X1915" s="2"/>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row>
    <row r="1916" spans="2:47" ht="14.25" customHeight="1" x14ac:dyDescent="0.3">
      <c r="B1916" s="3"/>
      <c r="Q1916" s="1"/>
      <c r="R1916" s="1"/>
      <c r="S1916" s="2"/>
      <c r="T1916" s="2">
        <v>1802</v>
      </c>
      <c r="U1916" s="48" t="s">
        <v>93</v>
      </c>
      <c r="V1916" s="2"/>
      <c r="W1916" s="2"/>
      <c r="X1916" s="2"/>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row>
    <row r="1917" spans="2:47" ht="14.25" customHeight="1" x14ac:dyDescent="0.3">
      <c r="B1917" s="3"/>
      <c r="Q1917" s="1"/>
      <c r="R1917" s="1"/>
      <c r="S1917" s="2"/>
      <c r="T1917" s="2">
        <v>1803</v>
      </c>
      <c r="U1917" s="48" t="s">
        <v>93</v>
      </c>
      <c r="V1917" s="2"/>
      <c r="W1917" s="2"/>
      <c r="X1917" s="2"/>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row>
    <row r="1918" spans="2:47" ht="14.25" customHeight="1" x14ac:dyDescent="0.3">
      <c r="B1918" s="3"/>
      <c r="Q1918" s="1"/>
      <c r="R1918" s="1"/>
      <c r="S1918" s="2"/>
      <c r="T1918" s="2">
        <v>1804</v>
      </c>
      <c r="U1918" s="48" t="s">
        <v>93</v>
      </c>
      <c r="V1918" s="2"/>
      <c r="W1918" s="2"/>
      <c r="X1918" s="2"/>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row>
    <row r="1919" spans="2:47" ht="14.25" customHeight="1" x14ac:dyDescent="0.3">
      <c r="B1919" s="3"/>
      <c r="Q1919" s="1"/>
      <c r="R1919" s="1"/>
      <c r="S1919" s="2"/>
      <c r="T1919" s="2">
        <v>1805</v>
      </c>
      <c r="U1919" s="48" t="s">
        <v>93</v>
      </c>
      <c r="V1919" s="2"/>
      <c r="W1919" s="2"/>
      <c r="X1919" s="2"/>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row>
    <row r="1920" spans="2:47" ht="14.25" customHeight="1" x14ac:dyDescent="0.3">
      <c r="B1920" s="3"/>
      <c r="Q1920" s="1"/>
      <c r="R1920" s="1"/>
      <c r="S1920" s="2"/>
      <c r="T1920" s="2">
        <v>1806</v>
      </c>
      <c r="U1920" s="48" t="s">
        <v>93</v>
      </c>
      <c r="V1920" s="2"/>
      <c r="W1920" s="2"/>
      <c r="X1920" s="2"/>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row>
    <row r="1921" spans="2:47" ht="14.25" customHeight="1" x14ac:dyDescent="0.3">
      <c r="B1921" s="3"/>
      <c r="Q1921" s="1"/>
      <c r="R1921" s="1"/>
      <c r="S1921" s="2"/>
      <c r="T1921" s="2">
        <v>1807</v>
      </c>
      <c r="U1921" s="48" t="s">
        <v>93</v>
      </c>
      <c r="V1921" s="2"/>
      <c r="W1921" s="2"/>
      <c r="X1921" s="2"/>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row>
    <row r="1922" spans="2:47" ht="14.25" customHeight="1" x14ac:dyDescent="0.3">
      <c r="B1922" s="3"/>
      <c r="Q1922" s="1"/>
      <c r="R1922" s="1"/>
      <c r="S1922" s="2"/>
      <c r="T1922" s="2">
        <v>1808</v>
      </c>
      <c r="U1922" s="48" t="s">
        <v>93</v>
      </c>
      <c r="V1922" s="2"/>
      <c r="W1922" s="2"/>
      <c r="X1922" s="2"/>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row>
    <row r="1923" spans="2:47" ht="14.25" customHeight="1" x14ac:dyDescent="0.3">
      <c r="B1923" s="3"/>
      <c r="Q1923" s="1"/>
      <c r="R1923" s="1"/>
      <c r="S1923" s="2"/>
      <c r="T1923" s="2">
        <v>1809</v>
      </c>
      <c r="U1923" s="48" t="s">
        <v>93</v>
      </c>
      <c r="V1923" s="2"/>
      <c r="W1923" s="2"/>
      <c r="X1923" s="2"/>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row>
    <row r="1924" spans="2:47" ht="14.25" customHeight="1" x14ac:dyDescent="0.3">
      <c r="B1924" s="3"/>
      <c r="Q1924" s="1"/>
      <c r="R1924" s="1"/>
      <c r="S1924" s="2"/>
      <c r="T1924" s="2">
        <v>1810</v>
      </c>
      <c r="U1924" s="48" t="s">
        <v>93</v>
      </c>
      <c r="V1924" s="2"/>
      <c r="W1924" s="2"/>
      <c r="X1924" s="2"/>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row>
    <row r="1925" spans="2:47" ht="14.25" customHeight="1" x14ac:dyDescent="0.3">
      <c r="B1925" s="3"/>
      <c r="Q1925" s="1"/>
      <c r="R1925" s="1"/>
      <c r="S1925" s="2"/>
      <c r="T1925" s="2">
        <v>1811</v>
      </c>
      <c r="U1925" s="48" t="s">
        <v>93</v>
      </c>
      <c r="V1925" s="2"/>
      <c r="W1925" s="2"/>
      <c r="X1925" s="2"/>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row>
    <row r="1926" spans="2:47" ht="14.25" customHeight="1" x14ac:dyDescent="0.3">
      <c r="B1926" s="3"/>
      <c r="Q1926" s="1"/>
      <c r="R1926" s="1"/>
      <c r="S1926" s="2"/>
      <c r="T1926" s="2">
        <v>1812</v>
      </c>
      <c r="U1926" s="48" t="s">
        <v>93</v>
      </c>
      <c r="V1926" s="2"/>
      <c r="W1926" s="2"/>
      <c r="X1926" s="2"/>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row>
    <row r="1927" spans="2:47" ht="14.25" customHeight="1" x14ac:dyDescent="0.3">
      <c r="B1927" s="3"/>
      <c r="Q1927" s="1"/>
      <c r="R1927" s="1"/>
      <c r="S1927" s="2"/>
      <c r="T1927" s="2">
        <v>1813</v>
      </c>
      <c r="U1927" s="48" t="s">
        <v>93</v>
      </c>
      <c r="V1927" s="2"/>
      <c r="W1927" s="2"/>
      <c r="X1927" s="2"/>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row>
    <row r="1928" spans="2:47" ht="14.25" customHeight="1" x14ac:dyDescent="0.3">
      <c r="B1928" s="3"/>
      <c r="Q1928" s="1"/>
      <c r="R1928" s="1"/>
      <c r="S1928" s="2"/>
      <c r="T1928" s="2">
        <v>1814</v>
      </c>
      <c r="U1928" s="48" t="s">
        <v>93</v>
      </c>
      <c r="V1928" s="2"/>
      <c r="W1928" s="2"/>
      <c r="X1928" s="2"/>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row>
    <row r="1929" spans="2:47" ht="14.25" customHeight="1" x14ac:dyDescent="0.3">
      <c r="B1929" s="3"/>
      <c r="Q1929" s="1"/>
      <c r="R1929" s="1"/>
      <c r="S1929" s="2"/>
      <c r="T1929" s="2">
        <v>1815</v>
      </c>
      <c r="U1929" s="48" t="s">
        <v>93</v>
      </c>
      <c r="V1929" s="2"/>
      <c r="W1929" s="2"/>
      <c r="X1929" s="2"/>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row>
    <row r="1930" spans="2:47" ht="14.25" customHeight="1" x14ac:dyDescent="0.3">
      <c r="B1930" s="3"/>
      <c r="Q1930" s="1"/>
      <c r="R1930" s="1"/>
      <c r="S1930" s="2"/>
      <c r="T1930" s="2">
        <v>1816</v>
      </c>
      <c r="U1930" s="48" t="s">
        <v>93</v>
      </c>
      <c r="V1930" s="2"/>
      <c r="W1930" s="2"/>
      <c r="X1930" s="2"/>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row>
    <row r="1931" spans="2:47" ht="14.25" customHeight="1" x14ac:dyDescent="0.3">
      <c r="B1931" s="3"/>
      <c r="Q1931" s="1"/>
      <c r="R1931" s="1"/>
      <c r="S1931" s="2"/>
      <c r="T1931" s="2">
        <v>1817</v>
      </c>
      <c r="U1931" s="48" t="s">
        <v>93</v>
      </c>
      <c r="V1931" s="2"/>
      <c r="W1931" s="2"/>
      <c r="X1931" s="2"/>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row>
    <row r="1932" spans="2:47" ht="14.25" customHeight="1" x14ac:dyDescent="0.3">
      <c r="B1932" s="3"/>
      <c r="Q1932" s="1"/>
      <c r="R1932" s="1"/>
      <c r="S1932" s="2"/>
      <c r="T1932" s="2">
        <v>1818</v>
      </c>
      <c r="U1932" s="48" t="s">
        <v>93</v>
      </c>
      <c r="V1932" s="2"/>
      <c r="W1932" s="2"/>
      <c r="X1932" s="2"/>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row>
    <row r="1933" spans="2:47" ht="14.25" customHeight="1" x14ac:dyDescent="0.3">
      <c r="B1933" s="3"/>
      <c r="Q1933" s="1"/>
      <c r="R1933" s="1"/>
      <c r="S1933" s="2"/>
      <c r="T1933" s="2">
        <v>1819</v>
      </c>
      <c r="U1933" s="48" t="s">
        <v>93</v>
      </c>
      <c r="V1933" s="2"/>
      <c r="W1933" s="2"/>
      <c r="X1933" s="2"/>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row>
    <row r="1934" spans="2:47" ht="14.25" customHeight="1" x14ac:dyDescent="0.3">
      <c r="B1934" s="3"/>
      <c r="Q1934" s="1"/>
      <c r="R1934" s="1"/>
      <c r="S1934" s="2"/>
      <c r="T1934" s="2">
        <v>1820</v>
      </c>
      <c r="U1934" s="48" t="s">
        <v>93</v>
      </c>
      <c r="V1934" s="2"/>
      <c r="W1934" s="2"/>
      <c r="X1934" s="2"/>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row>
    <row r="1935" spans="2:47" ht="14.25" customHeight="1" x14ac:dyDescent="0.3">
      <c r="B1935" s="3"/>
      <c r="Q1935" s="1"/>
      <c r="R1935" s="1"/>
      <c r="S1935" s="2"/>
      <c r="T1935" s="2">
        <v>1821</v>
      </c>
      <c r="U1935" s="48" t="s">
        <v>93</v>
      </c>
      <c r="V1935" s="2"/>
      <c r="W1935" s="2"/>
      <c r="X1935" s="2"/>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row>
    <row r="1936" spans="2:47" ht="14.25" customHeight="1" x14ac:dyDescent="0.3">
      <c r="B1936" s="3"/>
      <c r="Q1936" s="1"/>
      <c r="R1936" s="1"/>
      <c r="S1936" s="2"/>
      <c r="T1936" s="2">
        <v>1822</v>
      </c>
      <c r="U1936" s="48" t="s">
        <v>93</v>
      </c>
      <c r="V1936" s="2"/>
      <c r="W1936" s="2"/>
      <c r="X1936" s="2"/>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row>
    <row r="1937" spans="2:47" ht="14.25" customHeight="1" x14ac:dyDescent="0.3">
      <c r="B1937" s="3"/>
      <c r="Q1937" s="1"/>
      <c r="R1937" s="1"/>
      <c r="S1937" s="2"/>
      <c r="T1937" s="2">
        <v>1823</v>
      </c>
      <c r="U1937" s="48" t="s">
        <v>93</v>
      </c>
      <c r="V1937" s="2"/>
      <c r="W1937" s="2"/>
      <c r="X1937" s="2"/>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row>
    <row r="1938" spans="2:47" ht="14.25" customHeight="1" x14ac:dyDescent="0.3">
      <c r="B1938" s="3"/>
      <c r="Q1938" s="1"/>
      <c r="R1938" s="1"/>
      <c r="S1938" s="2"/>
      <c r="T1938" s="2">
        <v>1824</v>
      </c>
      <c r="U1938" s="48" t="s">
        <v>93</v>
      </c>
      <c r="V1938" s="2"/>
      <c r="W1938" s="2"/>
      <c r="X1938" s="2"/>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row>
    <row r="1939" spans="2:47" ht="14.25" customHeight="1" x14ac:dyDescent="0.3">
      <c r="B1939" s="3"/>
      <c r="Q1939" s="1"/>
      <c r="R1939" s="1"/>
      <c r="S1939" s="2"/>
      <c r="T1939" s="2">
        <v>1825</v>
      </c>
      <c r="U1939" s="48" t="s">
        <v>93</v>
      </c>
      <c r="V1939" s="2"/>
      <c r="W1939" s="2"/>
      <c r="X1939" s="2"/>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row>
    <row r="1940" spans="2:47" ht="14.25" customHeight="1" x14ac:dyDescent="0.3">
      <c r="B1940" s="3"/>
      <c r="Q1940" s="1"/>
      <c r="R1940" s="1"/>
      <c r="S1940" s="2"/>
      <c r="T1940" s="2">
        <v>1826</v>
      </c>
      <c r="U1940" s="48" t="s">
        <v>93</v>
      </c>
      <c r="V1940" s="2"/>
      <c r="W1940" s="2"/>
      <c r="X1940" s="2"/>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row>
    <row r="1941" spans="2:47" ht="14.25" customHeight="1" x14ac:dyDescent="0.3">
      <c r="B1941" s="3"/>
      <c r="Q1941" s="1"/>
      <c r="R1941" s="1"/>
      <c r="S1941" s="2"/>
      <c r="T1941" s="2">
        <v>1827</v>
      </c>
      <c r="U1941" s="48" t="s">
        <v>93</v>
      </c>
      <c r="V1941" s="2"/>
      <c r="W1941" s="2"/>
      <c r="X1941" s="2"/>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row>
    <row r="1942" spans="2:47" ht="14.25" customHeight="1" x14ac:dyDescent="0.3">
      <c r="B1942" s="3"/>
      <c r="Q1942" s="1"/>
      <c r="R1942" s="1"/>
      <c r="S1942" s="2"/>
      <c r="T1942" s="2">
        <v>1828</v>
      </c>
      <c r="U1942" s="48" t="s">
        <v>93</v>
      </c>
      <c r="V1942" s="2"/>
      <c r="W1942" s="2"/>
      <c r="X1942" s="2"/>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row>
    <row r="1943" spans="2:47" ht="14.25" customHeight="1" x14ac:dyDescent="0.3">
      <c r="B1943" s="3"/>
      <c r="Q1943" s="1"/>
      <c r="R1943" s="1"/>
      <c r="S1943" s="2"/>
      <c r="T1943" s="2">
        <v>1829</v>
      </c>
      <c r="U1943" s="48" t="s">
        <v>93</v>
      </c>
      <c r="V1943" s="2"/>
      <c r="W1943" s="2"/>
      <c r="X1943" s="2"/>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row>
    <row r="1944" spans="2:47" ht="14.25" customHeight="1" x14ac:dyDescent="0.3">
      <c r="B1944" s="3"/>
      <c r="Q1944" s="1"/>
      <c r="R1944" s="1"/>
      <c r="S1944" s="2"/>
      <c r="T1944" s="2">
        <v>1830</v>
      </c>
      <c r="U1944" s="48" t="s">
        <v>93</v>
      </c>
      <c r="V1944" s="2"/>
      <c r="W1944" s="2"/>
      <c r="X1944" s="2"/>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row>
    <row r="1945" spans="2:47" ht="14.25" customHeight="1" x14ac:dyDescent="0.3">
      <c r="B1945" s="3"/>
      <c r="Q1945" s="1"/>
      <c r="R1945" s="1"/>
      <c r="S1945" s="2"/>
      <c r="T1945" s="2">
        <v>1831</v>
      </c>
      <c r="U1945" s="48" t="s">
        <v>93</v>
      </c>
      <c r="V1945" s="2"/>
      <c r="W1945" s="2"/>
      <c r="X1945" s="2"/>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row>
    <row r="1946" spans="2:47" ht="14.25" customHeight="1" x14ac:dyDescent="0.3">
      <c r="B1946" s="3"/>
      <c r="Q1946" s="1"/>
      <c r="R1946" s="1"/>
      <c r="S1946" s="2"/>
      <c r="T1946" s="2">
        <v>1832</v>
      </c>
      <c r="U1946" s="48" t="s">
        <v>93</v>
      </c>
      <c r="V1946" s="2"/>
      <c r="W1946" s="2"/>
      <c r="X1946" s="2"/>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row>
    <row r="1947" spans="2:47" ht="14.25" customHeight="1" x14ac:dyDescent="0.3">
      <c r="B1947" s="3"/>
      <c r="Q1947" s="1"/>
      <c r="R1947" s="1"/>
      <c r="S1947" s="2"/>
      <c r="T1947" s="2">
        <v>1833</v>
      </c>
      <c r="U1947" s="48" t="s">
        <v>93</v>
      </c>
      <c r="V1947" s="2"/>
      <c r="W1947" s="2"/>
      <c r="X1947" s="2"/>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row>
    <row r="1948" spans="2:47" ht="14.25" customHeight="1" x14ac:dyDescent="0.3">
      <c r="B1948" s="3"/>
      <c r="Q1948" s="1"/>
      <c r="R1948" s="1"/>
      <c r="S1948" s="2"/>
      <c r="T1948" s="2">
        <v>1834</v>
      </c>
      <c r="U1948" s="48" t="s">
        <v>93</v>
      </c>
      <c r="V1948" s="2"/>
      <c r="W1948" s="2"/>
      <c r="X1948" s="2"/>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row>
    <row r="1949" spans="2:47" ht="14.25" customHeight="1" x14ac:dyDescent="0.3">
      <c r="B1949" s="3"/>
      <c r="Q1949" s="1"/>
      <c r="R1949" s="1"/>
      <c r="S1949" s="2"/>
      <c r="T1949" s="2">
        <v>1835</v>
      </c>
      <c r="U1949" s="48" t="s">
        <v>93</v>
      </c>
      <c r="V1949" s="2"/>
      <c r="W1949" s="2"/>
      <c r="X1949" s="2"/>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row>
    <row r="1950" spans="2:47" ht="14.25" customHeight="1" x14ac:dyDescent="0.3">
      <c r="B1950" s="3"/>
      <c r="Q1950" s="1"/>
      <c r="R1950" s="1"/>
      <c r="S1950" s="2"/>
      <c r="T1950" s="2">
        <v>1836</v>
      </c>
      <c r="U1950" s="48" t="s">
        <v>93</v>
      </c>
      <c r="V1950" s="2"/>
      <c r="W1950" s="2"/>
      <c r="X1950" s="2"/>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row>
    <row r="1951" spans="2:47" ht="14.25" customHeight="1" x14ac:dyDescent="0.3">
      <c r="B1951" s="3"/>
      <c r="Q1951" s="1"/>
      <c r="R1951" s="1"/>
      <c r="S1951" s="2"/>
      <c r="T1951" s="2">
        <v>1837</v>
      </c>
      <c r="U1951" s="48" t="s">
        <v>93</v>
      </c>
      <c r="V1951" s="2"/>
      <c r="W1951" s="2"/>
      <c r="X1951" s="2"/>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row>
    <row r="1952" spans="2:47" ht="14.25" customHeight="1" x14ac:dyDescent="0.3">
      <c r="B1952" s="3"/>
      <c r="Q1952" s="1"/>
      <c r="R1952" s="1"/>
      <c r="S1952" s="2"/>
      <c r="T1952" s="2">
        <v>1838</v>
      </c>
      <c r="U1952" s="48" t="s">
        <v>93</v>
      </c>
      <c r="V1952" s="2"/>
      <c r="W1952" s="2"/>
      <c r="X1952" s="2"/>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row>
    <row r="1953" spans="2:47" ht="14.25" customHeight="1" x14ac:dyDescent="0.3">
      <c r="B1953" s="3"/>
      <c r="Q1953" s="1"/>
      <c r="R1953" s="1"/>
      <c r="S1953" s="2"/>
      <c r="T1953" s="2">
        <v>1839</v>
      </c>
      <c r="U1953" s="48" t="s">
        <v>93</v>
      </c>
      <c r="V1953" s="2"/>
      <c r="W1953" s="2"/>
      <c r="X1953" s="2"/>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row>
    <row r="1954" spans="2:47" ht="14.25" customHeight="1" x14ac:dyDescent="0.3">
      <c r="B1954" s="3"/>
      <c r="Q1954" s="1"/>
      <c r="R1954" s="1"/>
      <c r="S1954" s="2"/>
      <c r="T1954" s="2">
        <v>1840</v>
      </c>
      <c r="U1954" s="48" t="s">
        <v>93</v>
      </c>
      <c r="V1954" s="2"/>
      <c r="W1954" s="2"/>
      <c r="X1954" s="2"/>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row>
    <row r="1955" spans="2:47" ht="14.25" customHeight="1" x14ac:dyDescent="0.3">
      <c r="B1955" s="3"/>
      <c r="Q1955" s="1"/>
      <c r="R1955" s="1"/>
      <c r="S1955" s="2"/>
      <c r="T1955" s="2">
        <v>1841</v>
      </c>
      <c r="U1955" s="48" t="s">
        <v>93</v>
      </c>
      <c r="V1955" s="2"/>
      <c r="W1955" s="2"/>
      <c r="X1955" s="2"/>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row>
    <row r="1956" spans="2:47" ht="14.25" customHeight="1" x14ac:dyDescent="0.3">
      <c r="B1956" s="3"/>
      <c r="Q1956" s="1"/>
      <c r="R1956" s="1"/>
      <c r="S1956" s="2"/>
      <c r="T1956" s="2">
        <v>1842</v>
      </c>
      <c r="U1956" s="48" t="s">
        <v>93</v>
      </c>
      <c r="V1956" s="2"/>
      <c r="W1956" s="2"/>
      <c r="X1956" s="2"/>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row>
    <row r="1957" spans="2:47" ht="14.25" customHeight="1" x14ac:dyDescent="0.3">
      <c r="B1957" s="3"/>
      <c r="Q1957" s="1"/>
      <c r="R1957" s="1"/>
      <c r="S1957" s="2"/>
      <c r="T1957" s="2">
        <v>1843</v>
      </c>
      <c r="U1957" s="48" t="s">
        <v>93</v>
      </c>
      <c r="V1957" s="2"/>
      <c r="W1957" s="2"/>
      <c r="X1957" s="2"/>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row>
    <row r="1958" spans="2:47" ht="14.25" customHeight="1" x14ac:dyDescent="0.3">
      <c r="B1958" s="3"/>
      <c r="Q1958" s="1"/>
      <c r="R1958" s="1"/>
      <c r="S1958" s="2"/>
      <c r="T1958" s="2">
        <v>1844</v>
      </c>
      <c r="U1958" s="48" t="s">
        <v>93</v>
      </c>
      <c r="V1958" s="2"/>
      <c r="W1958" s="2"/>
      <c r="X1958" s="2"/>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row>
    <row r="1959" spans="2:47" ht="14.25" customHeight="1" x14ac:dyDescent="0.3">
      <c r="B1959" s="3"/>
      <c r="Q1959" s="1"/>
      <c r="R1959" s="1"/>
      <c r="S1959" s="2"/>
      <c r="T1959" s="2">
        <v>1845</v>
      </c>
      <c r="U1959" s="48" t="s">
        <v>93</v>
      </c>
      <c r="V1959" s="2"/>
      <c r="W1959" s="2"/>
      <c r="X1959" s="2"/>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row>
    <row r="1960" spans="2:47" ht="14.25" customHeight="1" x14ac:dyDescent="0.3">
      <c r="B1960" s="3"/>
      <c r="Q1960" s="1"/>
      <c r="R1960" s="1"/>
      <c r="S1960" s="2"/>
      <c r="T1960" s="2">
        <v>1846</v>
      </c>
      <c r="U1960" s="48" t="s">
        <v>93</v>
      </c>
      <c r="V1960" s="2"/>
      <c r="W1960" s="2"/>
      <c r="X1960" s="2"/>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row>
    <row r="1961" spans="2:47" ht="14.25" customHeight="1" x14ac:dyDescent="0.3">
      <c r="B1961" s="3"/>
      <c r="Q1961" s="1"/>
      <c r="R1961" s="1"/>
      <c r="S1961" s="2"/>
      <c r="T1961" s="2">
        <v>1847</v>
      </c>
      <c r="U1961" s="48" t="s">
        <v>93</v>
      </c>
      <c r="V1961" s="2"/>
      <c r="W1961" s="2"/>
      <c r="X1961" s="2"/>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row>
    <row r="1962" spans="2:47" ht="14.25" customHeight="1" x14ac:dyDescent="0.3">
      <c r="B1962" s="3"/>
      <c r="Q1962" s="1"/>
      <c r="R1962" s="1"/>
      <c r="S1962" s="2"/>
      <c r="T1962" s="2">
        <v>1848</v>
      </c>
      <c r="U1962" s="48" t="s">
        <v>93</v>
      </c>
      <c r="V1962" s="2"/>
      <c r="W1962" s="2"/>
      <c r="X1962" s="2"/>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row>
    <row r="1963" spans="2:47" ht="14.25" customHeight="1" x14ac:dyDescent="0.3">
      <c r="B1963" s="3"/>
      <c r="Q1963" s="1"/>
      <c r="R1963" s="1"/>
      <c r="S1963" s="2"/>
      <c r="T1963" s="2">
        <v>1849</v>
      </c>
      <c r="U1963" s="48" t="s">
        <v>93</v>
      </c>
      <c r="V1963" s="2"/>
      <c r="W1963" s="2"/>
      <c r="X1963" s="2"/>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row>
    <row r="1964" spans="2:47" ht="14.25" customHeight="1" x14ac:dyDescent="0.3">
      <c r="B1964" s="3"/>
      <c r="Q1964" s="1"/>
      <c r="R1964" s="1"/>
      <c r="S1964" s="2"/>
      <c r="T1964" s="2">
        <v>1850</v>
      </c>
      <c r="U1964" s="48" t="s">
        <v>93</v>
      </c>
      <c r="V1964" s="2"/>
      <c r="W1964" s="2"/>
      <c r="X1964" s="2"/>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row>
    <row r="1965" spans="2:47" ht="14.25" customHeight="1" x14ac:dyDescent="0.3">
      <c r="B1965" s="3"/>
      <c r="Q1965" s="1"/>
      <c r="R1965" s="1"/>
      <c r="S1965" s="2"/>
      <c r="T1965" s="2">
        <v>1851</v>
      </c>
      <c r="U1965" s="48" t="s">
        <v>93</v>
      </c>
      <c r="V1965" s="2"/>
      <c r="W1965" s="2"/>
      <c r="X1965" s="2"/>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row>
    <row r="1966" spans="2:47" ht="14.25" customHeight="1" x14ac:dyDescent="0.3">
      <c r="B1966" s="3"/>
      <c r="Q1966" s="1"/>
      <c r="R1966" s="1"/>
      <c r="S1966" s="2"/>
      <c r="T1966" s="2">
        <v>1852</v>
      </c>
      <c r="U1966" s="48" t="s">
        <v>93</v>
      </c>
      <c r="V1966" s="2"/>
      <c r="W1966" s="2"/>
      <c r="X1966" s="2"/>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row>
    <row r="1967" spans="2:47" ht="14.25" customHeight="1" x14ac:dyDescent="0.3">
      <c r="B1967" s="3"/>
      <c r="Q1967" s="1"/>
      <c r="R1967" s="1"/>
      <c r="S1967" s="2"/>
      <c r="T1967" s="2">
        <v>1853</v>
      </c>
      <c r="U1967" s="48" t="s">
        <v>93</v>
      </c>
      <c r="V1967" s="2"/>
      <c r="W1967" s="2"/>
      <c r="X1967" s="2"/>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row>
    <row r="1968" spans="2:47" ht="14.25" customHeight="1" x14ac:dyDescent="0.3">
      <c r="B1968" s="3"/>
      <c r="Q1968" s="1"/>
      <c r="R1968" s="1"/>
      <c r="S1968" s="2"/>
      <c r="T1968" s="2">
        <v>1854</v>
      </c>
      <c r="U1968" s="48" t="s">
        <v>93</v>
      </c>
      <c r="V1968" s="2"/>
      <c r="W1968" s="2"/>
      <c r="X1968" s="2"/>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row>
    <row r="1969" spans="2:47" ht="14.25" customHeight="1" x14ac:dyDescent="0.3">
      <c r="B1969" s="3"/>
      <c r="Q1969" s="1"/>
      <c r="R1969" s="1"/>
      <c r="S1969" s="2"/>
      <c r="T1969" s="2">
        <v>1855</v>
      </c>
      <c r="U1969" s="48" t="s">
        <v>93</v>
      </c>
      <c r="V1969" s="2"/>
      <c r="W1969" s="2"/>
      <c r="X1969" s="2"/>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row>
    <row r="1970" spans="2:47" ht="14.25" customHeight="1" x14ac:dyDescent="0.3">
      <c r="B1970" s="3"/>
      <c r="Q1970" s="1"/>
      <c r="R1970" s="1"/>
      <c r="S1970" s="2"/>
      <c r="T1970" s="2">
        <v>1856</v>
      </c>
      <c r="U1970" s="48" t="s">
        <v>93</v>
      </c>
      <c r="V1970" s="2"/>
      <c r="W1970" s="2"/>
      <c r="X1970" s="2"/>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row>
    <row r="1971" spans="2:47" ht="14.25" customHeight="1" x14ac:dyDescent="0.3">
      <c r="B1971" s="3"/>
      <c r="Q1971" s="1"/>
      <c r="R1971" s="1"/>
      <c r="S1971" s="2"/>
      <c r="T1971" s="2">
        <v>1857</v>
      </c>
      <c r="U1971" s="48" t="s">
        <v>93</v>
      </c>
      <c r="V1971" s="2"/>
      <c r="W1971" s="2"/>
      <c r="X1971" s="2"/>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row>
    <row r="1972" spans="2:47" ht="14.25" customHeight="1" x14ac:dyDescent="0.3">
      <c r="B1972" s="3"/>
      <c r="Q1972" s="1"/>
      <c r="R1972" s="1"/>
      <c r="S1972" s="2"/>
      <c r="T1972" s="2">
        <v>1858</v>
      </c>
      <c r="U1972" s="48" t="s">
        <v>93</v>
      </c>
      <c r="V1972" s="2"/>
      <c r="W1972" s="2"/>
      <c r="X1972" s="2"/>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row>
    <row r="1973" spans="2:47" ht="14.25" customHeight="1" x14ac:dyDescent="0.3">
      <c r="B1973" s="3"/>
      <c r="Q1973" s="1"/>
      <c r="R1973" s="1"/>
      <c r="S1973" s="2"/>
      <c r="T1973" s="2">
        <v>1859</v>
      </c>
      <c r="U1973" s="48" t="s">
        <v>93</v>
      </c>
      <c r="V1973" s="2"/>
      <c r="W1973" s="2"/>
      <c r="X1973" s="2"/>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row>
    <row r="1974" spans="2:47" ht="14.25" customHeight="1" x14ac:dyDescent="0.3">
      <c r="B1974" s="3"/>
      <c r="Q1974" s="1"/>
      <c r="R1974" s="1"/>
      <c r="S1974" s="2"/>
      <c r="T1974" s="2">
        <v>1860</v>
      </c>
      <c r="U1974" s="48" t="s">
        <v>93</v>
      </c>
      <c r="V1974" s="2"/>
      <c r="W1974" s="2"/>
      <c r="X1974" s="2"/>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row>
    <row r="1975" spans="2:47" ht="14.25" customHeight="1" x14ac:dyDescent="0.3">
      <c r="B1975" s="3"/>
      <c r="Q1975" s="1"/>
      <c r="R1975" s="1"/>
      <c r="S1975" s="2"/>
      <c r="T1975" s="2">
        <v>1861</v>
      </c>
      <c r="U1975" s="48" t="s">
        <v>93</v>
      </c>
      <c r="V1975" s="2"/>
      <c r="W1975" s="2"/>
      <c r="X1975" s="2"/>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row>
    <row r="1976" spans="2:47" ht="14.25" customHeight="1" x14ac:dyDescent="0.3">
      <c r="B1976" s="3"/>
      <c r="Q1976" s="1"/>
      <c r="R1976" s="1"/>
      <c r="S1976" s="2"/>
      <c r="T1976" s="2">
        <v>1862</v>
      </c>
      <c r="U1976" s="48" t="s">
        <v>93</v>
      </c>
      <c r="V1976" s="2"/>
      <c r="W1976" s="2"/>
      <c r="X1976" s="2"/>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row>
    <row r="1977" spans="2:47" ht="14.25" customHeight="1" x14ac:dyDescent="0.3">
      <c r="B1977" s="3"/>
      <c r="Q1977" s="1"/>
      <c r="R1977" s="1"/>
      <c r="S1977" s="2"/>
      <c r="T1977" s="2">
        <v>1863</v>
      </c>
      <c r="U1977" s="48" t="s">
        <v>93</v>
      </c>
      <c r="V1977" s="2"/>
      <c r="W1977" s="2"/>
      <c r="X1977" s="2"/>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row>
    <row r="1978" spans="2:47" ht="14.25" customHeight="1" x14ac:dyDescent="0.3">
      <c r="B1978" s="3"/>
      <c r="Q1978" s="1"/>
      <c r="R1978" s="1"/>
      <c r="S1978" s="2"/>
      <c r="T1978" s="2">
        <v>1864</v>
      </c>
      <c r="U1978" s="48" t="s">
        <v>93</v>
      </c>
      <c r="V1978" s="2"/>
      <c r="W1978" s="2"/>
      <c r="X1978" s="2"/>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row>
    <row r="1979" spans="2:47" ht="14.25" customHeight="1" x14ac:dyDescent="0.3">
      <c r="B1979" s="3"/>
      <c r="Q1979" s="1"/>
      <c r="R1979" s="1"/>
      <c r="S1979" s="2"/>
      <c r="T1979" s="2">
        <v>1865</v>
      </c>
      <c r="U1979" s="48" t="s">
        <v>93</v>
      </c>
      <c r="V1979" s="2"/>
      <c r="W1979" s="2"/>
      <c r="X1979" s="2"/>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row>
    <row r="1980" spans="2:47" ht="14.25" customHeight="1" x14ac:dyDescent="0.3">
      <c r="B1980" s="3"/>
      <c r="Q1980" s="1"/>
      <c r="R1980" s="1"/>
      <c r="S1980" s="2"/>
      <c r="T1980" s="2">
        <v>1866</v>
      </c>
      <c r="U1980" s="48" t="s">
        <v>93</v>
      </c>
      <c r="V1980" s="2"/>
      <c r="W1980" s="2"/>
      <c r="X1980" s="2"/>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row>
    <row r="1981" spans="2:47" ht="14.25" customHeight="1" x14ac:dyDescent="0.3">
      <c r="B1981" s="3"/>
      <c r="Q1981" s="1"/>
      <c r="R1981" s="1"/>
      <c r="S1981" s="2"/>
      <c r="T1981" s="2">
        <v>1867</v>
      </c>
      <c r="U1981" s="48" t="s">
        <v>93</v>
      </c>
      <c r="V1981" s="2"/>
      <c r="W1981" s="2"/>
      <c r="X1981" s="2"/>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row>
    <row r="1982" spans="2:47" ht="14.25" customHeight="1" x14ac:dyDescent="0.3">
      <c r="B1982" s="3"/>
      <c r="Q1982" s="1"/>
      <c r="R1982" s="1"/>
      <c r="S1982" s="2"/>
      <c r="T1982" s="2">
        <v>1868</v>
      </c>
      <c r="U1982" s="48" t="s">
        <v>93</v>
      </c>
      <c r="V1982" s="2"/>
      <c r="W1982" s="2"/>
      <c r="X1982" s="2"/>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row>
    <row r="1983" spans="2:47" ht="14.25" customHeight="1" x14ac:dyDescent="0.3">
      <c r="B1983" s="3"/>
      <c r="Q1983" s="1"/>
      <c r="R1983" s="1"/>
      <c r="S1983" s="2"/>
      <c r="T1983" s="2">
        <v>1869</v>
      </c>
      <c r="U1983" s="48" t="s">
        <v>93</v>
      </c>
      <c r="V1983" s="2"/>
      <c r="W1983" s="2"/>
      <c r="X1983" s="2"/>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row>
    <row r="1984" spans="2:47" ht="14.25" customHeight="1" x14ac:dyDescent="0.3">
      <c r="B1984" s="3"/>
      <c r="Q1984" s="1"/>
      <c r="R1984" s="1"/>
      <c r="S1984" s="2"/>
      <c r="T1984" s="2">
        <v>1870</v>
      </c>
      <c r="U1984" s="48" t="s">
        <v>93</v>
      </c>
      <c r="V1984" s="2"/>
      <c r="W1984" s="2"/>
      <c r="X1984" s="2"/>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row>
    <row r="1985" spans="2:47" ht="14.25" customHeight="1" x14ac:dyDescent="0.3">
      <c r="B1985" s="3"/>
      <c r="Q1985" s="1"/>
      <c r="R1985" s="1"/>
      <c r="S1985" s="2"/>
      <c r="T1985" s="2">
        <v>1871</v>
      </c>
      <c r="U1985" s="48" t="s">
        <v>93</v>
      </c>
      <c r="V1985" s="2"/>
      <c r="W1985" s="2"/>
      <c r="X1985" s="2"/>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row>
    <row r="1986" spans="2:47" ht="14.25" customHeight="1" x14ac:dyDescent="0.3">
      <c r="B1986" s="3"/>
      <c r="Q1986" s="1"/>
      <c r="R1986" s="1"/>
      <c r="S1986" s="2"/>
      <c r="T1986" s="2">
        <v>1872</v>
      </c>
      <c r="U1986" s="48" t="s">
        <v>93</v>
      </c>
      <c r="V1986" s="2"/>
      <c r="W1986" s="2"/>
      <c r="X1986" s="2"/>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row>
    <row r="1987" spans="2:47" ht="14.25" customHeight="1" x14ac:dyDescent="0.3">
      <c r="B1987" s="3"/>
      <c r="Q1987" s="1"/>
      <c r="R1987" s="1"/>
      <c r="S1987" s="2"/>
      <c r="T1987" s="2">
        <v>1873</v>
      </c>
      <c r="U1987" s="48" t="s">
        <v>93</v>
      </c>
      <c r="V1987" s="2"/>
      <c r="W1987" s="2"/>
      <c r="X1987" s="2"/>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row>
    <row r="1988" spans="2:47" ht="14.25" customHeight="1" x14ac:dyDescent="0.3">
      <c r="B1988" s="3"/>
      <c r="Q1988" s="1"/>
      <c r="R1988" s="1"/>
      <c r="S1988" s="2"/>
      <c r="T1988" s="2">
        <v>1874</v>
      </c>
      <c r="U1988" s="48" t="s">
        <v>93</v>
      </c>
      <c r="V1988" s="2"/>
      <c r="W1988" s="2"/>
      <c r="X1988" s="2"/>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row>
    <row r="1989" spans="2:47" ht="14.25" customHeight="1" x14ac:dyDescent="0.3">
      <c r="B1989" s="3"/>
      <c r="Q1989" s="1"/>
      <c r="R1989" s="1"/>
      <c r="S1989" s="2"/>
      <c r="T1989" s="2">
        <v>1875</v>
      </c>
      <c r="U1989" s="48" t="s">
        <v>93</v>
      </c>
      <c r="V1989" s="2"/>
      <c r="W1989" s="2"/>
      <c r="X1989" s="2"/>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row>
    <row r="1990" spans="2:47" ht="14.25" customHeight="1" x14ac:dyDescent="0.3">
      <c r="B1990" s="3"/>
      <c r="Q1990" s="1"/>
      <c r="R1990" s="1"/>
      <c r="S1990" s="2"/>
      <c r="T1990" s="2">
        <v>1876</v>
      </c>
      <c r="U1990" s="48" t="s">
        <v>93</v>
      </c>
      <c r="V1990" s="2"/>
      <c r="W1990" s="2"/>
      <c r="X1990" s="2"/>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row>
    <row r="1991" spans="2:47" ht="14.25" customHeight="1" x14ac:dyDescent="0.3">
      <c r="B1991" s="3"/>
      <c r="Q1991" s="1"/>
      <c r="R1991" s="1"/>
      <c r="S1991" s="2"/>
      <c r="T1991" s="2">
        <v>1877</v>
      </c>
      <c r="U1991" s="48" t="s">
        <v>93</v>
      </c>
      <c r="V1991" s="2"/>
      <c r="W1991" s="2"/>
      <c r="X1991" s="2"/>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row>
    <row r="1992" spans="2:47" ht="14.25" customHeight="1" x14ac:dyDescent="0.3">
      <c r="B1992" s="3"/>
      <c r="Q1992" s="1"/>
      <c r="R1992" s="1"/>
      <c r="S1992" s="2"/>
      <c r="T1992" s="2">
        <v>1878</v>
      </c>
      <c r="U1992" s="48" t="s">
        <v>93</v>
      </c>
      <c r="V1992" s="2"/>
      <c r="W1992" s="2"/>
      <c r="X1992" s="2"/>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row>
    <row r="1993" spans="2:47" ht="14.25" customHeight="1" x14ac:dyDescent="0.3">
      <c r="B1993" s="3"/>
      <c r="Q1993" s="1"/>
      <c r="R1993" s="1"/>
      <c r="S1993" s="2"/>
      <c r="T1993" s="2">
        <v>1879</v>
      </c>
      <c r="U1993" s="48" t="s">
        <v>93</v>
      </c>
      <c r="V1993" s="2"/>
      <c r="W1993" s="2"/>
      <c r="X1993" s="2"/>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row>
    <row r="1994" spans="2:47" ht="14.25" customHeight="1" x14ac:dyDescent="0.3">
      <c r="B1994" s="3"/>
      <c r="Q1994" s="1"/>
      <c r="R1994" s="1"/>
      <c r="S1994" s="2"/>
      <c r="T1994" s="2">
        <v>1880</v>
      </c>
      <c r="U1994" s="48" t="s">
        <v>93</v>
      </c>
      <c r="V1994" s="2"/>
      <c r="W1994" s="2"/>
      <c r="X1994" s="2"/>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row>
    <row r="1995" spans="2:47" ht="14.25" customHeight="1" x14ac:dyDescent="0.3">
      <c r="B1995" s="3"/>
      <c r="Q1995" s="1"/>
      <c r="R1995" s="1"/>
      <c r="S1995" s="2"/>
      <c r="T1995" s="2">
        <v>1881</v>
      </c>
      <c r="U1995" s="48" t="s">
        <v>93</v>
      </c>
      <c r="V1995" s="2"/>
      <c r="W1995" s="2"/>
      <c r="X1995" s="2"/>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row>
    <row r="1996" spans="2:47" ht="14.25" customHeight="1" x14ac:dyDescent="0.3">
      <c r="B1996" s="3"/>
      <c r="Q1996" s="1"/>
      <c r="R1996" s="1"/>
      <c r="S1996" s="2"/>
      <c r="T1996" s="2">
        <v>1882</v>
      </c>
      <c r="U1996" s="48" t="s">
        <v>93</v>
      </c>
      <c r="V1996" s="2"/>
      <c r="W1996" s="2"/>
      <c r="X1996" s="2"/>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row>
    <row r="1997" spans="2:47" ht="14.25" customHeight="1" x14ac:dyDescent="0.3">
      <c r="B1997" s="3"/>
      <c r="Q1997" s="1"/>
      <c r="R1997" s="1"/>
      <c r="S1997" s="2"/>
      <c r="T1997" s="2">
        <v>1883</v>
      </c>
      <c r="U1997" s="48" t="s">
        <v>93</v>
      </c>
      <c r="V1997" s="2"/>
      <c r="W1997" s="2"/>
      <c r="X1997" s="2"/>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row>
    <row r="1998" spans="2:47" ht="14.25" customHeight="1" x14ac:dyDescent="0.3">
      <c r="B1998" s="3"/>
      <c r="Q1998" s="1"/>
      <c r="R1998" s="1"/>
      <c r="S1998" s="2"/>
      <c r="T1998" s="2">
        <v>1884</v>
      </c>
      <c r="U1998" s="48" t="s">
        <v>93</v>
      </c>
      <c r="V1998" s="2"/>
      <c r="W1998" s="2"/>
      <c r="X1998" s="2"/>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row>
    <row r="1999" spans="2:47" ht="14.25" customHeight="1" x14ac:dyDescent="0.3">
      <c r="B1999" s="3"/>
      <c r="Q1999" s="1"/>
      <c r="R1999" s="1"/>
      <c r="S1999" s="2"/>
      <c r="T1999" s="2">
        <v>1885</v>
      </c>
      <c r="U1999" s="48" t="s">
        <v>93</v>
      </c>
      <c r="V1999" s="2"/>
      <c r="W1999" s="2"/>
      <c r="X1999" s="2"/>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row>
    <row r="2000" spans="2:47" ht="14.25" customHeight="1" x14ac:dyDescent="0.3">
      <c r="B2000" s="3"/>
      <c r="Q2000" s="1"/>
      <c r="R2000" s="1"/>
      <c r="S2000" s="2"/>
      <c r="T2000" s="2">
        <v>1886</v>
      </c>
      <c r="U2000" s="48" t="s">
        <v>93</v>
      </c>
      <c r="V2000" s="2"/>
      <c r="W2000" s="2"/>
      <c r="X2000" s="2"/>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row>
    <row r="2001" spans="2:47" ht="14.25" customHeight="1" x14ac:dyDescent="0.3">
      <c r="B2001" s="3"/>
      <c r="Q2001" s="1"/>
      <c r="R2001" s="1"/>
      <c r="S2001" s="2"/>
      <c r="T2001" s="2">
        <v>1887</v>
      </c>
      <c r="U2001" s="48" t="s">
        <v>93</v>
      </c>
      <c r="V2001" s="2"/>
      <c r="W2001" s="2"/>
      <c r="X2001" s="2"/>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row>
    <row r="2002" spans="2:47" ht="14.25" customHeight="1" x14ac:dyDescent="0.3">
      <c r="B2002" s="3"/>
      <c r="Q2002" s="1"/>
      <c r="R2002" s="1"/>
      <c r="S2002" s="2"/>
      <c r="T2002" s="2">
        <v>1888</v>
      </c>
      <c r="U2002" s="48" t="s">
        <v>93</v>
      </c>
      <c r="V2002" s="2"/>
      <c r="W2002" s="2"/>
      <c r="X2002" s="2"/>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row>
    <row r="2003" spans="2:47" ht="14.25" customHeight="1" x14ac:dyDescent="0.3">
      <c r="B2003" s="3"/>
      <c r="Q2003" s="1"/>
      <c r="R2003" s="1"/>
      <c r="S2003" s="2"/>
      <c r="T2003" s="2">
        <v>1889</v>
      </c>
      <c r="U2003" s="48" t="s">
        <v>93</v>
      </c>
      <c r="V2003" s="2"/>
      <c r="W2003" s="2"/>
      <c r="X2003" s="2"/>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row>
    <row r="2004" spans="2:47" ht="14.25" customHeight="1" x14ac:dyDescent="0.3">
      <c r="B2004" s="3"/>
      <c r="Q2004" s="1"/>
      <c r="R2004" s="1"/>
      <c r="S2004" s="2"/>
      <c r="T2004" s="2">
        <v>1890</v>
      </c>
      <c r="U2004" s="48" t="s">
        <v>93</v>
      </c>
      <c r="V2004" s="2"/>
      <c r="W2004" s="2"/>
      <c r="X2004" s="2"/>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row>
    <row r="2005" spans="2:47" ht="14.25" customHeight="1" x14ac:dyDescent="0.3">
      <c r="B2005" s="3"/>
      <c r="Q2005" s="1"/>
      <c r="R2005" s="1"/>
      <c r="S2005" s="2"/>
      <c r="T2005" s="2">
        <v>1891</v>
      </c>
      <c r="U2005" s="48" t="s">
        <v>93</v>
      </c>
      <c r="V2005" s="2"/>
      <c r="W2005" s="2"/>
      <c r="X2005" s="2"/>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row>
    <row r="2006" spans="2:47" ht="14.25" customHeight="1" x14ac:dyDescent="0.3">
      <c r="B2006" s="3"/>
      <c r="Q2006" s="1"/>
      <c r="R2006" s="1"/>
      <c r="S2006" s="2"/>
      <c r="T2006" s="2">
        <v>1892</v>
      </c>
      <c r="U2006" s="48" t="s">
        <v>93</v>
      </c>
      <c r="V2006" s="2"/>
      <c r="W2006" s="2"/>
      <c r="X2006" s="2"/>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row>
    <row r="2007" spans="2:47" ht="14.25" customHeight="1" x14ac:dyDescent="0.3">
      <c r="B2007" s="3"/>
      <c r="Q2007" s="1"/>
      <c r="R2007" s="1"/>
      <c r="S2007" s="2"/>
      <c r="T2007" s="2">
        <v>1893</v>
      </c>
      <c r="U2007" s="48" t="s">
        <v>93</v>
      </c>
      <c r="V2007" s="2"/>
      <c r="W2007" s="2"/>
      <c r="X2007" s="2"/>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row>
    <row r="2008" spans="2:47" ht="14.25" customHeight="1" x14ac:dyDescent="0.3">
      <c r="B2008" s="3"/>
      <c r="Q2008" s="1"/>
      <c r="R2008" s="1"/>
      <c r="S2008" s="2"/>
      <c r="T2008" s="2">
        <v>1894</v>
      </c>
      <c r="U2008" s="48" t="s">
        <v>93</v>
      </c>
      <c r="V2008" s="2"/>
      <c r="W2008" s="2"/>
      <c r="X2008" s="2"/>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row>
    <row r="2009" spans="2:47" ht="14.25" customHeight="1" x14ac:dyDescent="0.3">
      <c r="B2009" s="3"/>
      <c r="Q2009" s="1"/>
      <c r="R2009" s="1"/>
      <c r="S2009" s="2"/>
      <c r="T2009" s="2">
        <v>1895</v>
      </c>
      <c r="U2009" s="48" t="s">
        <v>93</v>
      </c>
      <c r="V2009" s="2"/>
      <c r="W2009" s="2"/>
      <c r="X2009" s="2"/>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row>
    <row r="2010" spans="2:47" ht="14.25" customHeight="1" x14ac:dyDescent="0.3">
      <c r="B2010" s="3"/>
      <c r="Q2010" s="1"/>
      <c r="R2010" s="1"/>
      <c r="S2010" s="2"/>
      <c r="T2010" s="2">
        <v>1896</v>
      </c>
      <c r="U2010" s="48" t="s">
        <v>93</v>
      </c>
      <c r="V2010" s="2"/>
      <c r="W2010" s="2"/>
      <c r="X2010" s="2"/>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row>
    <row r="2011" spans="2:47" ht="14.25" customHeight="1" x14ac:dyDescent="0.3">
      <c r="B2011" s="3"/>
      <c r="Q2011" s="1"/>
      <c r="R2011" s="1"/>
      <c r="S2011" s="2"/>
      <c r="T2011" s="2">
        <v>1897</v>
      </c>
      <c r="U2011" s="48" t="s">
        <v>93</v>
      </c>
      <c r="V2011" s="2"/>
      <c r="W2011" s="2"/>
      <c r="X2011" s="2"/>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row>
    <row r="2012" spans="2:47" ht="14.25" customHeight="1" x14ac:dyDescent="0.3">
      <c r="B2012" s="3"/>
      <c r="Q2012" s="1"/>
      <c r="R2012" s="1"/>
      <c r="S2012" s="2"/>
      <c r="T2012" s="2">
        <v>1898</v>
      </c>
      <c r="U2012" s="48" t="s">
        <v>93</v>
      </c>
      <c r="V2012" s="2"/>
      <c r="W2012" s="2"/>
      <c r="X2012" s="2"/>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row>
    <row r="2013" spans="2:47" ht="14.25" customHeight="1" x14ac:dyDescent="0.3">
      <c r="B2013" s="3"/>
      <c r="Q2013" s="1"/>
      <c r="R2013" s="1"/>
      <c r="S2013" s="2"/>
      <c r="T2013" s="2">
        <v>1899</v>
      </c>
      <c r="U2013" s="48" t="s">
        <v>93</v>
      </c>
      <c r="V2013" s="2"/>
      <c r="W2013" s="2"/>
      <c r="X2013" s="2"/>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row>
    <row r="2014" spans="2:47" ht="14.25" customHeight="1" x14ac:dyDescent="0.3">
      <c r="B2014" s="3"/>
      <c r="Q2014" s="1"/>
      <c r="R2014" s="1"/>
      <c r="S2014" s="2"/>
      <c r="T2014" s="2">
        <v>1900</v>
      </c>
      <c r="U2014" s="48" t="s">
        <v>93</v>
      </c>
      <c r="V2014" s="2"/>
      <c r="W2014" s="2"/>
      <c r="X2014" s="2"/>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row>
    <row r="2015" spans="2:47" ht="14.25" customHeight="1" x14ac:dyDescent="0.3">
      <c r="B2015" s="3"/>
      <c r="Q2015" s="1"/>
      <c r="R2015" s="1"/>
      <c r="S2015" s="2"/>
      <c r="T2015" s="2">
        <v>1901</v>
      </c>
      <c r="U2015" s="48" t="s">
        <v>93</v>
      </c>
      <c r="V2015" s="2"/>
      <c r="W2015" s="2"/>
      <c r="X2015" s="2"/>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row>
    <row r="2016" spans="2:47" ht="14.25" customHeight="1" x14ac:dyDescent="0.3">
      <c r="B2016" s="3"/>
      <c r="Q2016" s="1"/>
      <c r="R2016" s="1"/>
      <c r="S2016" s="2"/>
      <c r="T2016" s="2">
        <v>1902</v>
      </c>
      <c r="U2016" s="48" t="s">
        <v>93</v>
      </c>
      <c r="V2016" s="2"/>
      <c r="W2016" s="2"/>
      <c r="X2016" s="2"/>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row>
    <row r="2017" spans="2:47" ht="14.25" customHeight="1" x14ac:dyDescent="0.3">
      <c r="B2017" s="3"/>
      <c r="Q2017" s="1"/>
      <c r="R2017" s="1"/>
      <c r="S2017" s="2"/>
      <c r="T2017" s="2">
        <v>1903</v>
      </c>
      <c r="U2017" s="48" t="s">
        <v>93</v>
      </c>
      <c r="V2017" s="2"/>
      <c r="W2017" s="2"/>
      <c r="X2017" s="2"/>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row>
    <row r="2018" spans="2:47" ht="14.25" customHeight="1" x14ac:dyDescent="0.3">
      <c r="B2018" s="3"/>
      <c r="Q2018" s="1"/>
      <c r="R2018" s="1"/>
      <c r="S2018" s="2"/>
      <c r="T2018" s="2">
        <v>1904</v>
      </c>
      <c r="U2018" s="48" t="s">
        <v>93</v>
      </c>
      <c r="V2018" s="2"/>
      <c r="W2018" s="2"/>
      <c r="X2018" s="2"/>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row>
    <row r="2019" spans="2:47" ht="14.25" customHeight="1" x14ac:dyDescent="0.3">
      <c r="B2019" s="3"/>
      <c r="Q2019" s="1"/>
      <c r="R2019" s="1"/>
      <c r="S2019" s="2"/>
      <c r="T2019" s="2">
        <v>1905</v>
      </c>
      <c r="U2019" s="48" t="s">
        <v>93</v>
      </c>
      <c r="V2019" s="2"/>
      <c r="W2019" s="2"/>
      <c r="X2019" s="2"/>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row>
    <row r="2020" spans="2:47" ht="14.25" customHeight="1" x14ac:dyDescent="0.3">
      <c r="B2020" s="3"/>
      <c r="Q2020" s="1"/>
      <c r="R2020" s="1"/>
      <c r="S2020" s="2"/>
      <c r="T2020" s="2">
        <v>1906</v>
      </c>
      <c r="U2020" s="48" t="s">
        <v>93</v>
      </c>
      <c r="V2020" s="2"/>
      <c r="W2020" s="2"/>
      <c r="X2020" s="2"/>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row>
    <row r="2021" spans="2:47" ht="14.25" customHeight="1" x14ac:dyDescent="0.3">
      <c r="B2021" s="3"/>
      <c r="Q2021" s="1"/>
      <c r="R2021" s="1"/>
      <c r="S2021" s="2"/>
      <c r="T2021" s="2">
        <v>1907</v>
      </c>
      <c r="U2021" s="48" t="s">
        <v>93</v>
      </c>
      <c r="V2021" s="2"/>
      <c r="W2021" s="2"/>
      <c r="X2021" s="2"/>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row>
    <row r="2022" spans="2:47" ht="14.25" customHeight="1" x14ac:dyDescent="0.3">
      <c r="B2022" s="3"/>
      <c r="Q2022" s="1"/>
      <c r="R2022" s="1"/>
      <c r="S2022" s="2"/>
      <c r="T2022" s="2">
        <v>1908</v>
      </c>
      <c r="U2022" s="48" t="s">
        <v>93</v>
      </c>
      <c r="V2022" s="2"/>
      <c r="W2022" s="2"/>
      <c r="X2022" s="2"/>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row>
    <row r="2023" spans="2:47" ht="14.25" customHeight="1" x14ac:dyDescent="0.3">
      <c r="B2023" s="3"/>
      <c r="Q2023" s="1"/>
      <c r="R2023" s="1"/>
      <c r="S2023" s="2"/>
      <c r="T2023" s="2">
        <v>1909</v>
      </c>
      <c r="U2023" s="48" t="s">
        <v>93</v>
      </c>
      <c r="V2023" s="2"/>
      <c r="W2023" s="2"/>
      <c r="X2023" s="2"/>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row>
    <row r="2024" spans="2:47" ht="14.25" customHeight="1" x14ac:dyDescent="0.3">
      <c r="B2024" s="3"/>
      <c r="Q2024" s="1"/>
      <c r="R2024" s="1"/>
      <c r="S2024" s="2"/>
      <c r="T2024" s="2">
        <v>1910</v>
      </c>
      <c r="U2024" s="48" t="s">
        <v>93</v>
      </c>
      <c r="V2024" s="2"/>
      <c r="W2024" s="2"/>
      <c r="X2024" s="2"/>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row>
    <row r="2025" spans="2:47" ht="14.25" customHeight="1" x14ac:dyDescent="0.3">
      <c r="B2025" s="3"/>
      <c r="Q2025" s="1"/>
      <c r="R2025" s="1"/>
      <c r="S2025" s="2"/>
      <c r="T2025" s="2">
        <v>1911</v>
      </c>
      <c r="U2025" s="48" t="s">
        <v>93</v>
      </c>
      <c r="V2025" s="2"/>
      <c r="W2025" s="2"/>
      <c r="X2025" s="2"/>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row>
    <row r="2026" spans="2:47" ht="14.25" customHeight="1" x14ac:dyDescent="0.3">
      <c r="B2026" s="3"/>
      <c r="Q2026" s="1"/>
      <c r="R2026" s="1"/>
      <c r="S2026" s="2"/>
      <c r="T2026" s="2">
        <v>1912</v>
      </c>
      <c r="U2026" s="48" t="s">
        <v>93</v>
      </c>
      <c r="V2026" s="2"/>
      <c r="W2026" s="2"/>
      <c r="X2026" s="2"/>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row>
    <row r="2027" spans="2:47" ht="14.25" customHeight="1" x14ac:dyDescent="0.3">
      <c r="B2027" s="3"/>
      <c r="Q2027" s="1"/>
      <c r="R2027" s="1"/>
      <c r="S2027" s="2"/>
      <c r="T2027" s="2">
        <v>1913</v>
      </c>
      <c r="U2027" s="48" t="s">
        <v>93</v>
      </c>
      <c r="V2027" s="2"/>
      <c r="W2027" s="2"/>
      <c r="X2027" s="2"/>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row>
    <row r="2028" spans="2:47" ht="14.25" customHeight="1" x14ac:dyDescent="0.3">
      <c r="B2028" s="3"/>
      <c r="Q2028" s="1"/>
      <c r="R2028" s="1"/>
      <c r="S2028" s="2"/>
      <c r="T2028" s="2">
        <v>1914</v>
      </c>
      <c r="U2028" s="48" t="s">
        <v>93</v>
      </c>
      <c r="V2028" s="2"/>
      <c r="W2028" s="2"/>
      <c r="X2028" s="2"/>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row>
    <row r="2029" spans="2:47" ht="14.25" customHeight="1" x14ac:dyDescent="0.3">
      <c r="B2029" s="3"/>
      <c r="Q2029" s="1"/>
      <c r="R2029" s="1"/>
      <c r="S2029" s="2"/>
      <c r="T2029" s="2">
        <v>1915</v>
      </c>
      <c r="U2029" s="48" t="s">
        <v>93</v>
      </c>
      <c r="V2029" s="2"/>
      <c r="W2029" s="2"/>
      <c r="X2029" s="2"/>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row>
    <row r="2030" spans="2:47" ht="14.25" customHeight="1" x14ac:dyDescent="0.3">
      <c r="B2030" s="3"/>
      <c r="Q2030" s="1"/>
      <c r="R2030" s="1"/>
      <c r="S2030" s="2"/>
      <c r="T2030" s="2">
        <v>1916</v>
      </c>
      <c r="U2030" s="48" t="s">
        <v>93</v>
      </c>
      <c r="V2030" s="2"/>
      <c r="W2030" s="2"/>
      <c r="X2030" s="2"/>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row>
    <row r="2031" spans="2:47" ht="14.25" customHeight="1" x14ac:dyDescent="0.3">
      <c r="B2031" s="3"/>
      <c r="Q2031" s="1"/>
      <c r="R2031" s="1"/>
      <c r="S2031" s="2"/>
      <c r="T2031" s="2">
        <v>1917</v>
      </c>
      <c r="U2031" s="48" t="s">
        <v>93</v>
      </c>
      <c r="V2031" s="2"/>
      <c r="W2031" s="2"/>
      <c r="X2031" s="2"/>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row>
    <row r="2032" spans="2:47" ht="14.25" customHeight="1" x14ac:dyDescent="0.3">
      <c r="B2032" s="3"/>
      <c r="Q2032" s="1"/>
      <c r="R2032" s="1"/>
      <c r="S2032" s="2"/>
      <c r="T2032" s="2">
        <v>1918</v>
      </c>
      <c r="U2032" s="48" t="s">
        <v>93</v>
      </c>
      <c r="V2032" s="2"/>
      <c r="W2032" s="2"/>
      <c r="X2032" s="2"/>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row>
    <row r="2033" spans="2:47" ht="14.25" customHeight="1" x14ac:dyDescent="0.3">
      <c r="B2033" s="3"/>
      <c r="Q2033" s="1"/>
      <c r="R2033" s="1"/>
      <c r="S2033" s="2"/>
      <c r="T2033" s="2">
        <v>1919</v>
      </c>
      <c r="U2033" s="48" t="s">
        <v>93</v>
      </c>
      <c r="V2033" s="2"/>
      <c r="W2033" s="2"/>
      <c r="X2033" s="2"/>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row>
    <row r="2034" spans="2:47" ht="14.25" customHeight="1" x14ac:dyDescent="0.3">
      <c r="B2034" s="3"/>
      <c r="Q2034" s="1"/>
      <c r="R2034" s="1"/>
      <c r="S2034" s="2"/>
      <c r="T2034" s="2">
        <v>1920</v>
      </c>
      <c r="U2034" s="48" t="s">
        <v>93</v>
      </c>
      <c r="V2034" s="2"/>
      <c r="W2034" s="2"/>
      <c r="X2034" s="2"/>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row>
    <row r="2035" spans="2:47" ht="14.25" customHeight="1" x14ac:dyDescent="0.3">
      <c r="B2035" s="3"/>
      <c r="Q2035" s="1"/>
      <c r="R2035" s="1"/>
      <c r="S2035" s="2"/>
      <c r="T2035" s="2">
        <v>1921</v>
      </c>
      <c r="U2035" s="48" t="s">
        <v>93</v>
      </c>
      <c r="V2035" s="2"/>
      <c r="W2035" s="2"/>
      <c r="X2035" s="2"/>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row>
    <row r="2036" spans="2:47" ht="14.25" customHeight="1" x14ac:dyDescent="0.3">
      <c r="B2036" s="3"/>
      <c r="Q2036" s="1"/>
      <c r="R2036" s="1"/>
      <c r="S2036" s="2"/>
      <c r="T2036" s="2">
        <v>1922</v>
      </c>
      <c r="U2036" s="48" t="s">
        <v>93</v>
      </c>
      <c r="V2036" s="2"/>
      <c r="W2036" s="2"/>
      <c r="X2036" s="2"/>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row>
    <row r="2037" spans="2:47" ht="14.25" customHeight="1" x14ac:dyDescent="0.3">
      <c r="B2037" s="3"/>
      <c r="Q2037" s="1"/>
      <c r="R2037" s="1"/>
      <c r="S2037" s="2"/>
      <c r="T2037" s="2">
        <v>1923</v>
      </c>
      <c r="U2037" s="48" t="s">
        <v>93</v>
      </c>
      <c r="V2037" s="2"/>
      <c r="W2037" s="2"/>
      <c r="X2037" s="2"/>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row>
    <row r="2038" spans="2:47" ht="14.25" customHeight="1" x14ac:dyDescent="0.3">
      <c r="B2038" s="3"/>
      <c r="Q2038" s="1"/>
      <c r="R2038" s="1"/>
      <c r="S2038" s="2"/>
      <c r="T2038" s="2">
        <v>1924</v>
      </c>
      <c r="U2038" s="48" t="s">
        <v>93</v>
      </c>
      <c r="V2038" s="2"/>
      <c r="W2038" s="2"/>
      <c r="X2038" s="2"/>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row>
    <row r="2039" spans="2:47" ht="14.25" customHeight="1" x14ac:dyDescent="0.3">
      <c r="B2039" s="3"/>
      <c r="Q2039" s="1"/>
      <c r="R2039" s="1"/>
      <c r="S2039" s="2"/>
      <c r="T2039" s="2">
        <v>1925</v>
      </c>
      <c r="U2039" s="48" t="s">
        <v>93</v>
      </c>
      <c r="V2039" s="2"/>
      <c r="W2039" s="2"/>
      <c r="X2039" s="2"/>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row>
    <row r="2040" spans="2:47" ht="14.25" customHeight="1" x14ac:dyDescent="0.3">
      <c r="B2040" s="3"/>
      <c r="Q2040" s="1"/>
      <c r="R2040" s="1"/>
      <c r="S2040" s="2"/>
      <c r="T2040" s="2">
        <v>1926</v>
      </c>
      <c r="U2040" s="48" t="s">
        <v>93</v>
      </c>
      <c r="V2040" s="2"/>
      <c r="W2040" s="2"/>
      <c r="X2040" s="2"/>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row>
    <row r="2041" spans="2:47" ht="14.25" customHeight="1" x14ac:dyDescent="0.3">
      <c r="B2041" s="3"/>
      <c r="Q2041" s="1"/>
      <c r="R2041" s="1"/>
      <c r="S2041" s="2"/>
      <c r="T2041" s="2">
        <v>1927</v>
      </c>
      <c r="U2041" s="48" t="s">
        <v>93</v>
      </c>
      <c r="V2041" s="2"/>
      <c r="W2041" s="2"/>
      <c r="X2041" s="2"/>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row>
    <row r="2042" spans="2:47" ht="14.25" customHeight="1" x14ac:dyDescent="0.3">
      <c r="B2042" s="3"/>
      <c r="Q2042" s="1"/>
      <c r="R2042" s="1"/>
      <c r="S2042" s="2"/>
      <c r="T2042" s="2">
        <v>1928</v>
      </c>
      <c r="U2042" s="48" t="s">
        <v>93</v>
      </c>
      <c r="V2042" s="2"/>
      <c r="W2042" s="2"/>
      <c r="X2042" s="2"/>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row>
    <row r="2043" spans="2:47" ht="14.25" customHeight="1" x14ac:dyDescent="0.3">
      <c r="B2043" s="3"/>
      <c r="Q2043" s="1"/>
      <c r="R2043" s="1"/>
      <c r="S2043" s="2"/>
      <c r="T2043" s="2">
        <v>1929</v>
      </c>
      <c r="U2043" s="48" t="s">
        <v>93</v>
      </c>
      <c r="V2043" s="2"/>
      <c r="W2043" s="2"/>
      <c r="X2043" s="2"/>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row>
    <row r="2044" spans="2:47" ht="14.25" customHeight="1" x14ac:dyDescent="0.3">
      <c r="B2044" s="3"/>
      <c r="Q2044" s="1"/>
      <c r="R2044" s="1"/>
      <c r="S2044" s="2"/>
      <c r="T2044" s="2">
        <v>1930</v>
      </c>
      <c r="U2044" s="48" t="s">
        <v>93</v>
      </c>
      <c r="V2044" s="2"/>
      <c r="W2044" s="2"/>
      <c r="X2044" s="2"/>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row>
    <row r="2045" spans="2:47" ht="14.25" customHeight="1" x14ac:dyDescent="0.3">
      <c r="B2045" s="3"/>
      <c r="Q2045" s="1"/>
      <c r="R2045" s="1"/>
      <c r="S2045" s="2"/>
      <c r="T2045" s="2">
        <v>1931</v>
      </c>
      <c r="U2045" s="48" t="s">
        <v>93</v>
      </c>
      <c r="V2045" s="2"/>
      <c r="W2045" s="2"/>
      <c r="X2045" s="2"/>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row>
    <row r="2046" spans="2:47" ht="14.25" customHeight="1" x14ac:dyDescent="0.3">
      <c r="B2046" s="3"/>
      <c r="Q2046" s="1"/>
      <c r="R2046" s="1"/>
      <c r="S2046" s="2"/>
      <c r="T2046" s="2">
        <v>1932</v>
      </c>
      <c r="U2046" s="48" t="s">
        <v>93</v>
      </c>
      <c r="V2046" s="2"/>
      <c r="W2046" s="2"/>
      <c r="X2046" s="2"/>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row>
    <row r="2047" spans="2:47" ht="14.25" customHeight="1" x14ac:dyDescent="0.3">
      <c r="B2047" s="3"/>
      <c r="Q2047" s="1"/>
      <c r="R2047" s="1"/>
      <c r="S2047" s="2"/>
      <c r="T2047" s="2">
        <v>1933</v>
      </c>
      <c r="U2047" s="48" t="s">
        <v>93</v>
      </c>
      <c r="V2047" s="2"/>
      <c r="W2047" s="2"/>
      <c r="X2047" s="2"/>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row>
    <row r="2048" spans="2:47" ht="14.25" customHeight="1" x14ac:dyDescent="0.3">
      <c r="B2048" s="3"/>
      <c r="Q2048" s="1"/>
      <c r="R2048" s="1"/>
      <c r="S2048" s="2"/>
      <c r="T2048" s="2">
        <v>1934</v>
      </c>
      <c r="U2048" s="48" t="s">
        <v>93</v>
      </c>
      <c r="V2048" s="2"/>
      <c r="W2048" s="2"/>
      <c r="X2048" s="2"/>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row>
    <row r="2049" spans="2:47" ht="14.25" customHeight="1" x14ac:dyDescent="0.3">
      <c r="B2049" s="3"/>
      <c r="Q2049" s="1"/>
      <c r="R2049" s="1"/>
      <c r="S2049" s="2"/>
      <c r="T2049" s="2">
        <v>1935</v>
      </c>
      <c r="U2049" s="48" t="s">
        <v>93</v>
      </c>
      <c r="V2049" s="2"/>
      <c r="W2049" s="2"/>
      <c r="X2049" s="2"/>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row>
    <row r="2050" spans="2:47" ht="14.25" customHeight="1" x14ac:dyDescent="0.3">
      <c r="B2050" s="3"/>
      <c r="Q2050" s="1"/>
      <c r="R2050" s="1"/>
      <c r="S2050" s="2"/>
      <c r="T2050" s="2">
        <v>1936</v>
      </c>
      <c r="U2050" s="48" t="s">
        <v>93</v>
      </c>
      <c r="V2050" s="2"/>
      <c r="W2050" s="2"/>
      <c r="X2050" s="2"/>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row>
    <row r="2051" spans="2:47" ht="14.25" customHeight="1" x14ac:dyDescent="0.3">
      <c r="B2051" s="3"/>
      <c r="Q2051" s="1"/>
      <c r="R2051" s="1"/>
      <c r="S2051" s="2"/>
      <c r="T2051" s="2">
        <v>1937</v>
      </c>
      <c r="U2051" s="48" t="s">
        <v>93</v>
      </c>
      <c r="V2051" s="2"/>
      <c r="W2051" s="2"/>
      <c r="X2051" s="2"/>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row>
    <row r="2052" spans="2:47" ht="14.25" customHeight="1" x14ac:dyDescent="0.3">
      <c r="B2052" s="3"/>
      <c r="Q2052" s="1"/>
      <c r="R2052" s="1"/>
      <c r="S2052" s="2"/>
      <c r="T2052" s="2">
        <v>1938</v>
      </c>
      <c r="U2052" s="48" t="s">
        <v>93</v>
      </c>
      <c r="V2052" s="2"/>
      <c r="W2052" s="2"/>
      <c r="X2052" s="2"/>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row>
    <row r="2053" spans="2:47" ht="14.25" customHeight="1" x14ac:dyDescent="0.3">
      <c r="B2053" s="3"/>
      <c r="Q2053" s="1"/>
      <c r="R2053" s="1"/>
      <c r="S2053" s="2"/>
      <c r="T2053" s="2">
        <v>1939</v>
      </c>
      <c r="U2053" s="48" t="s">
        <v>93</v>
      </c>
      <c r="V2053" s="2"/>
      <c r="W2053" s="2"/>
      <c r="X2053" s="2"/>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row>
    <row r="2054" spans="2:47" ht="14.25" customHeight="1" x14ac:dyDescent="0.3">
      <c r="B2054" s="3"/>
      <c r="Q2054" s="1"/>
      <c r="R2054" s="1"/>
      <c r="S2054" s="2"/>
      <c r="T2054" s="2">
        <v>1940</v>
      </c>
      <c r="U2054" s="48" t="s">
        <v>93</v>
      </c>
      <c r="V2054" s="2"/>
      <c r="W2054" s="2"/>
      <c r="X2054" s="2"/>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row>
    <row r="2055" spans="2:47" ht="14.25" customHeight="1" x14ac:dyDescent="0.3">
      <c r="B2055" s="3"/>
      <c r="Q2055" s="1"/>
      <c r="R2055" s="1"/>
      <c r="S2055" s="2"/>
      <c r="T2055" s="2">
        <v>1941</v>
      </c>
      <c r="U2055" s="48" t="s">
        <v>93</v>
      </c>
      <c r="V2055" s="2"/>
      <c r="W2055" s="2"/>
      <c r="X2055" s="2"/>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row>
    <row r="2056" spans="2:47" ht="14.25" customHeight="1" x14ac:dyDescent="0.3">
      <c r="B2056" s="3"/>
      <c r="Q2056" s="1"/>
      <c r="R2056" s="1"/>
      <c r="S2056" s="2"/>
      <c r="T2056" s="2">
        <v>1942</v>
      </c>
      <c r="U2056" s="48" t="s">
        <v>93</v>
      </c>
      <c r="V2056" s="2"/>
      <c r="W2056" s="2"/>
      <c r="X2056" s="2"/>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row>
    <row r="2057" spans="2:47" ht="14.25" customHeight="1" x14ac:dyDescent="0.3">
      <c r="B2057" s="3"/>
      <c r="Q2057" s="1"/>
      <c r="R2057" s="1"/>
      <c r="S2057" s="2"/>
      <c r="T2057" s="2">
        <v>1943</v>
      </c>
      <c r="U2057" s="48" t="s">
        <v>93</v>
      </c>
      <c r="V2057" s="2"/>
      <c r="W2057" s="2"/>
      <c r="X2057" s="2"/>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row>
    <row r="2058" spans="2:47" ht="14.25" customHeight="1" x14ac:dyDescent="0.3">
      <c r="B2058" s="3"/>
      <c r="Q2058" s="1"/>
      <c r="R2058" s="1"/>
      <c r="S2058" s="2"/>
      <c r="T2058" s="2">
        <v>1944</v>
      </c>
      <c r="U2058" s="48" t="s">
        <v>93</v>
      </c>
      <c r="V2058" s="2"/>
      <c r="W2058" s="2"/>
      <c r="X2058" s="2"/>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row>
    <row r="2059" spans="2:47" ht="14.25" customHeight="1" x14ac:dyDescent="0.3">
      <c r="B2059" s="3"/>
      <c r="Q2059" s="1"/>
      <c r="R2059" s="1"/>
      <c r="S2059" s="2"/>
      <c r="T2059" s="2">
        <v>1945</v>
      </c>
      <c r="U2059" s="48" t="s">
        <v>93</v>
      </c>
      <c r="V2059" s="2"/>
      <c r="W2059" s="2"/>
      <c r="X2059" s="2"/>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row>
    <row r="2060" spans="2:47" ht="14.25" customHeight="1" x14ac:dyDescent="0.3">
      <c r="B2060" s="3"/>
      <c r="Q2060" s="1"/>
      <c r="R2060" s="1"/>
      <c r="S2060" s="2"/>
      <c r="T2060" s="2">
        <v>1946</v>
      </c>
      <c r="U2060" s="48" t="s">
        <v>93</v>
      </c>
      <c r="V2060" s="2"/>
      <c r="W2060" s="2"/>
      <c r="X2060" s="2"/>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row>
    <row r="2061" spans="2:47" ht="14.25" customHeight="1" x14ac:dyDescent="0.3">
      <c r="B2061" s="3"/>
      <c r="Q2061" s="1"/>
      <c r="R2061" s="1"/>
      <c r="S2061" s="2"/>
      <c r="T2061" s="2">
        <v>1947</v>
      </c>
      <c r="U2061" s="48" t="s">
        <v>93</v>
      </c>
      <c r="V2061" s="2"/>
      <c r="W2061" s="2"/>
      <c r="X2061" s="2"/>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row>
    <row r="2062" spans="2:47" ht="14.25" customHeight="1" x14ac:dyDescent="0.3">
      <c r="B2062" s="3"/>
      <c r="Q2062" s="1"/>
      <c r="R2062" s="1"/>
      <c r="S2062" s="2"/>
      <c r="T2062" s="2">
        <v>1948</v>
      </c>
      <c r="U2062" s="48" t="s">
        <v>93</v>
      </c>
      <c r="V2062" s="2"/>
      <c r="W2062" s="2"/>
      <c r="X2062" s="2"/>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row>
    <row r="2063" spans="2:47" ht="14.25" customHeight="1" x14ac:dyDescent="0.3">
      <c r="B2063" s="3"/>
      <c r="Q2063" s="1"/>
      <c r="R2063" s="1"/>
      <c r="S2063" s="2"/>
      <c r="T2063" s="2">
        <v>1949</v>
      </c>
      <c r="U2063" s="48" t="s">
        <v>93</v>
      </c>
      <c r="V2063" s="2"/>
      <c r="W2063" s="2"/>
      <c r="X2063" s="2"/>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row>
    <row r="2064" spans="2:47" ht="14.25" customHeight="1" x14ac:dyDescent="0.3">
      <c r="B2064" s="3"/>
      <c r="Q2064" s="1"/>
      <c r="R2064" s="1"/>
      <c r="S2064" s="2"/>
      <c r="T2064" s="2">
        <v>1950</v>
      </c>
      <c r="U2064" s="48" t="s">
        <v>93</v>
      </c>
      <c r="V2064" s="2"/>
      <c r="W2064" s="2"/>
      <c r="X2064" s="2"/>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row>
    <row r="2065" spans="2:47" ht="14.25" customHeight="1" x14ac:dyDescent="0.3">
      <c r="B2065" s="3"/>
      <c r="Q2065" s="1"/>
      <c r="R2065" s="1"/>
      <c r="S2065" s="2"/>
      <c r="T2065" s="2">
        <v>1951</v>
      </c>
      <c r="U2065" s="48" t="s">
        <v>93</v>
      </c>
      <c r="V2065" s="2"/>
      <c r="W2065" s="2"/>
      <c r="X2065" s="2"/>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row>
    <row r="2066" spans="2:47" ht="14.25" customHeight="1" x14ac:dyDescent="0.3">
      <c r="B2066" s="3"/>
      <c r="Q2066" s="1"/>
      <c r="R2066" s="1"/>
      <c r="S2066" s="2"/>
      <c r="T2066" s="2">
        <v>1952</v>
      </c>
      <c r="U2066" s="48" t="s">
        <v>93</v>
      </c>
      <c r="V2066" s="2"/>
      <c r="W2066" s="2"/>
      <c r="X2066" s="2"/>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row>
    <row r="2067" spans="2:47" ht="14.25" customHeight="1" x14ac:dyDescent="0.3">
      <c r="B2067" s="3"/>
      <c r="Q2067" s="1"/>
      <c r="R2067" s="1"/>
      <c r="S2067" s="2"/>
      <c r="T2067" s="2">
        <v>1953</v>
      </c>
      <c r="U2067" s="48" t="s">
        <v>93</v>
      </c>
      <c r="V2067" s="2"/>
      <c r="W2067" s="2"/>
      <c r="X2067" s="2"/>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row>
    <row r="2068" spans="2:47" ht="14.25" customHeight="1" x14ac:dyDescent="0.3">
      <c r="B2068" s="3"/>
      <c r="Q2068" s="1"/>
      <c r="R2068" s="1"/>
      <c r="S2068" s="2"/>
      <c r="T2068" s="2">
        <v>1954</v>
      </c>
      <c r="U2068" s="48" t="s">
        <v>93</v>
      </c>
      <c r="V2068" s="2"/>
      <c r="W2068" s="2"/>
      <c r="X2068" s="2"/>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row>
    <row r="2069" spans="2:47" ht="14.25" customHeight="1" x14ac:dyDescent="0.3">
      <c r="B2069" s="3"/>
      <c r="Q2069" s="1"/>
      <c r="R2069" s="1"/>
      <c r="S2069" s="2"/>
      <c r="T2069" s="2">
        <v>1955</v>
      </c>
      <c r="U2069" s="48" t="s">
        <v>93</v>
      </c>
      <c r="V2069" s="2"/>
      <c r="W2069" s="2"/>
      <c r="X2069" s="2"/>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row>
    <row r="2070" spans="2:47" ht="14.25" customHeight="1" x14ac:dyDescent="0.3">
      <c r="B2070" s="3"/>
      <c r="Q2070" s="1"/>
      <c r="R2070" s="1"/>
      <c r="S2070" s="2"/>
      <c r="T2070" s="2">
        <v>1956</v>
      </c>
      <c r="U2070" s="48" t="s">
        <v>93</v>
      </c>
      <c r="V2070" s="2"/>
      <c r="W2070" s="2"/>
      <c r="X2070" s="2"/>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row>
    <row r="2071" spans="2:47" ht="14.25" customHeight="1" x14ac:dyDescent="0.3">
      <c r="B2071" s="3"/>
      <c r="Q2071" s="1"/>
      <c r="R2071" s="1"/>
      <c r="S2071" s="2"/>
      <c r="T2071" s="2">
        <v>1957</v>
      </c>
      <c r="U2071" s="48" t="s">
        <v>93</v>
      </c>
      <c r="V2071" s="2"/>
      <c r="W2071" s="2"/>
      <c r="X2071" s="2"/>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row>
    <row r="2072" spans="2:47" ht="14.25" customHeight="1" x14ac:dyDescent="0.3">
      <c r="B2072" s="3"/>
      <c r="Q2072" s="1"/>
      <c r="R2072" s="1"/>
      <c r="S2072" s="2"/>
      <c r="T2072" s="2">
        <v>1958</v>
      </c>
      <c r="U2072" s="48" t="s">
        <v>93</v>
      </c>
      <c r="V2072" s="2"/>
      <c r="W2072" s="2"/>
      <c r="X2072" s="2"/>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row>
    <row r="2073" spans="2:47" ht="14.25" customHeight="1" x14ac:dyDescent="0.3">
      <c r="B2073" s="3"/>
      <c r="Q2073" s="1"/>
      <c r="R2073" s="1"/>
      <c r="S2073" s="2"/>
      <c r="T2073" s="2">
        <v>1959</v>
      </c>
      <c r="U2073" s="48" t="s">
        <v>93</v>
      </c>
      <c r="V2073" s="2"/>
      <c r="W2073" s="2"/>
      <c r="X2073" s="2"/>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row>
    <row r="2074" spans="2:47" ht="14.25" customHeight="1" x14ac:dyDescent="0.3">
      <c r="B2074" s="3"/>
      <c r="Q2074" s="1"/>
      <c r="R2074" s="1"/>
      <c r="S2074" s="2"/>
      <c r="T2074" s="2">
        <v>1960</v>
      </c>
      <c r="U2074" s="48" t="s">
        <v>93</v>
      </c>
      <c r="V2074" s="2"/>
      <c r="W2074" s="2"/>
      <c r="X2074" s="2"/>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row>
    <row r="2075" spans="2:47" ht="14.25" customHeight="1" x14ac:dyDescent="0.3">
      <c r="B2075" s="3"/>
      <c r="Q2075" s="1"/>
      <c r="R2075" s="1"/>
      <c r="S2075" s="2"/>
      <c r="T2075" s="2">
        <v>1961</v>
      </c>
      <c r="U2075" s="48" t="s">
        <v>93</v>
      </c>
      <c r="V2075" s="2"/>
      <c r="W2075" s="2"/>
      <c r="X2075" s="2"/>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row>
    <row r="2076" spans="2:47" ht="14.25" customHeight="1" x14ac:dyDescent="0.3">
      <c r="B2076" s="3"/>
      <c r="Q2076" s="1"/>
      <c r="R2076" s="1"/>
      <c r="S2076" s="2"/>
      <c r="T2076" s="2">
        <v>1962</v>
      </c>
      <c r="U2076" s="48" t="s">
        <v>93</v>
      </c>
      <c r="V2076" s="2"/>
      <c r="W2076" s="2"/>
      <c r="X2076" s="2"/>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row>
    <row r="2077" spans="2:47" ht="14.25" customHeight="1" x14ac:dyDescent="0.3">
      <c r="B2077" s="3"/>
      <c r="Q2077" s="1"/>
      <c r="R2077" s="1"/>
      <c r="S2077" s="2"/>
      <c r="T2077" s="2">
        <v>1963</v>
      </c>
      <c r="U2077" s="48" t="s">
        <v>93</v>
      </c>
      <c r="V2077" s="2"/>
      <c r="W2077" s="2"/>
      <c r="X2077" s="2"/>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row>
    <row r="2078" spans="2:47" ht="14.25" customHeight="1" x14ac:dyDescent="0.3">
      <c r="B2078" s="3"/>
      <c r="Q2078" s="1"/>
      <c r="R2078" s="1"/>
      <c r="S2078" s="2"/>
      <c r="T2078" s="2">
        <v>1964</v>
      </c>
      <c r="U2078" s="48" t="s">
        <v>93</v>
      </c>
      <c r="V2078" s="2"/>
      <c r="W2078" s="2"/>
      <c r="X2078" s="2"/>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row>
    <row r="2079" spans="2:47" ht="14.25" customHeight="1" x14ac:dyDescent="0.3">
      <c r="B2079" s="3"/>
      <c r="Q2079" s="1"/>
      <c r="R2079" s="1"/>
      <c r="S2079" s="2"/>
      <c r="T2079" s="2">
        <v>1965</v>
      </c>
      <c r="U2079" s="48" t="s">
        <v>93</v>
      </c>
      <c r="V2079" s="2"/>
      <c r="W2079" s="2"/>
      <c r="X2079" s="2"/>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row>
    <row r="2080" spans="2:47" ht="14.25" customHeight="1" x14ac:dyDescent="0.3">
      <c r="B2080" s="3"/>
      <c r="Q2080" s="1"/>
      <c r="R2080" s="1"/>
      <c r="S2080" s="2"/>
      <c r="T2080" s="2">
        <v>1966</v>
      </c>
      <c r="U2080" s="48" t="s">
        <v>93</v>
      </c>
      <c r="V2080" s="2"/>
      <c r="W2080" s="2"/>
      <c r="X2080" s="2"/>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row>
    <row r="2081" spans="2:47" ht="14.25" customHeight="1" x14ac:dyDescent="0.3">
      <c r="B2081" s="3"/>
      <c r="Q2081" s="1"/>
      <c r="R2081" s="1"/>
      <c r="S2081" s="2"/>
      <c r="T2081" s="2">
        <v>1967</v>
      </c>
      <c r="U2081" s="48" t="s">
        <v>93</v>
      </c>
      <c r="V2081" s="2"/>
      <c r="W2081" s="2"/>
      <c r="X2081" s="2"/>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row>
    <row r="2082" spans="2:47" ht="14.25" customHeight="1" x14ac:dyDescent="0.3">
      <c r="B2082" s="3"/>
      <c r="Q2082" s="1"/>
      <c r="R2082" s="1"/>
      <c r="S2082" s="2"/>
      <c r="T2082" s="2">
        <v>1968</v>
      </c>
      <c r="U2082" s="48" t="s">
        <v>93</v>
      </c>
      <c r="V2082" s="2"/>
      <c r="W2082" s="2"/>
      <c r="X2082" s="2"/>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row>
    <row r="2083" spans="2:47" ht="14.25" customHeight="1" x14ac:dyDescent="0.3">
      <c r="B2083" s="3"/>
      <c r="Q2083" s="1"/>
      <c r="R2083" s="1"/>
      <c r="S2083" s="2"/>
      <c r="T2083" s="2">
        <v>1969</v>
      </c>
      <c r="U2083" s="48" t="s">
        <v>93</v>
      </c>
      <c r="V2083" s="2"/>
      <c r="W2083" s="2"/>
      <c r="X2083" s="2"/>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row>
    <row r="2084" spans="2:47" ht="14.25" customHeight="1" x14ac:dyDescent="0.3">
      <c r="B2084" s="3"/>
      <c r="Q2084" s="1"/>
      <c r="R2084" s="1"/>
      <c r="S2084" s="2"/>
      <c r="T2084" s="2">
        <v>1970</v>
      </c>
      <c r="U2084" s="48" t="s">
        <v>93</v>
      </c>
      <c r="V2084" s="2"/>
      <c r="W2084" s="2"/>
      <c r="X2084" s="2"/>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row>
    <row r="2085" spans="2:47" ht="14.25" customHeight="1" x14ac:dyDescent="0.3">
      <c r="B2085" s="3"/>
      <c r="Q2085" s="1"/>
      <c r="R2085" s="1"/>
      <c r="S2085" s="2"/>
      <c r="T2085" s="2">
        <v>1971</v>
      </c>
      <c r="U2085" s="48" t="s">
        <v>93</v>
      </c>
      <c r="V2085" s="2"/>
      <c r="W2085" s="2"/>
      <c r="X2085" s="2"/>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row>
    <row r="2086" spans="2:47" ht="14.25" customHeight="1" x14ac:dyDescent="0.3">
      <c r="B2086" s="3"/>
      <c r="Q2086" s="1"/>
      <c r="R2086" s="1"/>
      <c r="S2086" s="2"/>
      <c r="T2086" s="2">
        <v>1972</v>
      </c>
      <c r="U2086" s="48" t="s">
        <v>93</v>
      </c>
      <c r="V2086" s="2"/>
      <c r="W2086" s="2"/>
      <c r="X2086" s="2"/>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row>
    <row r="2087" spans="2:47" ht="14.25" customHeight="1" x14ac:dyDescent="0.3">
      <c r="B2087" s="3"/>
      <c r="Q2087" s="1"/>
      <c r="R2087" s="1"/>
      <c r="S2087" s="2"/>
      <c r="T2087" s="2">
        <v>1973</v>
      </c>
      <c r="U2087" s="48" t="s">
        <v>93</v>
      </c>
      <c r="V2087" s="2"/>
      <c r="W2087" s="2"/>
      <c r="X2087" s="2"/>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row>
    <row r="2088" spans="2:47" ht="14.25" customHeight="1" x14ac:dyDescent="0.3">
      <c r="B2088" s="3"/>
      <c r="Q2088" s="1"/>
      <c r="R2088" s="1"/>
      <c r="S2088" s="2"/>
      <c r="T2088" s="2">
        <v>1974</v>
      </c>
      <c r="U2088" s="48" t="s">
        <v>93</v>
      </c>
      <c r="V2088" s="2"/>
      <c r="W2088" s="2"/>
      <c r="X2088" s="2"/>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row>
    <row r="2089" spans="2:47" ht="14.25" customHeight="1" x14ac:dyDescent="0.3">
      <c r="B2089" s="3"/>
      <c r="Q2089" s="1"/>
      <c r="R2089" s="1"/>
      <c r="S2089" s="2"/>
      <c r="T2089" s="2">
        <v>1975</v>
      </c>
      <c r="U2089" s="48" t="s">
        <v>93</v>
      </c>
      <c r="V2089" s="2"/>
      <c r="W2089" s="2"/>
      <c r="X2089" s="2"/>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row>
    <row r="2090" spans="2:47" ht="14.25" customHeight="1" x14ac:dyDescent="0.3">
      <c r="B2090" s="3"/>
      <c r="Q2090" s="1"/>
      <c r="R2090" s="1"/>
      <c r="S2090" s="2"/>
      <c r="T2090" s="2">
        <v>1976</v>
      </c>
      <c r="U2090" s="48" t="s">
        <v>93</v>
      </c>
      <c r="V2090" s="2"/>
      <c r="W2090" s="2"/>
      <c r="X2090" s="2"/>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row>
    <row r="2091" spans="2:47" ht="14.25" customHeight="1" x14ac:dyDescent="0.3">
      <c r="B2091" s="3"/>
      <c r="Q2091" s="1"/>
      <c r="R2091" s="1"/>
      <c r="S2091" s="2"/>
      <c r="T2091" s="2">
        <v>1977</v>
      </c>
      <c r="U2091" s="48" t="s">
        <v>93</v>
      </c>
      <c r="V2091" s="2"/>
      <c r="W2091" s="2"/>
      <c r="X2091" s="2"/>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row>
    <row r="2092" spans="2:47" ht="14.25" customHeight="1" x14ac:dyDescent="0.3">
      <c r="B2092" s="3"/>
      <c r="Q2092" s="1"/>
      <c r="R2092" s="1"/>
      <c r="S2092" s="2"/>
      <c r="T2092" s="2">
        <v>1978</v>
      </c>
      <c r="U2092" s="48" t="s">
        <v>93</v>
      </c>
      <c r="V2092" s="2"/>
      <c r="W2092" s="2"/>
      <c r="X2092" s="2"/>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row>
    <row r="2093" spans="2:47" ht="14.25" customHeight="1" x14ac:dyDescent="0.3">
      <c r="B2093" s="3"/>
      <c r="Q2093" s="1"/>
      <c r="R2093" s="1"/>
      <c r="S2093" s="2"/>
      <c r="T2093" s="2">
        <v>1979</v>
      </c>
      <c r="U2093" s="48" t="s">
        <v>93</v>
      </c>
      <c r="V2093" s="2"/>
      <c r="W2093" s="2"/>
      <c r="X2093" s="2"/>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row>
    <row r="2094" spans="2:47" ht="14.25" customHeight="1" x14ac:dyDescent="0.3">
      <c r="B2094" s="3"/>
      <c r="Q2094" s="1"/>
      <c r="R2094" s="1"/>
      <c r="S2094" s="2"/>
      <c r="T2094" s="2">
        <v>1980</v>
      </c>
      <c r="U2094" s="48" t="s">
        <v>93</v>
      </c>
      <c r="V2094" s="2"/>
      <c r="W2094" s="2"/>
      <c r="X2094" s="2"/>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row>
    <row r="2095" spans="2:47" ht="14.25" customHeight="1" x14ac:dyDescent="0.3">
      <c r="B2095" s="3"/>
      <c r="Q2095" s="1"/>
      <c r="R2095" s="1"/>
      <c r="S2095" s="2"/>
      <c r="T2095" s="2">
        <v>1981</v>
      </c>
      <c r="U2095" s="48" t="s">
        <v>93</v>
      </c>
      <c r="V2095" s="2"/>
      <c r="W2095" s="2"/>
      <c r="X2095" s="2"/>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row>
    <row r="2096" spans="2:47" ht="14.25" customHeight="1" x14ac:dyDescent="0.3">
      <c r="B2096" s="3"/>
      <c r="Q2096" s="1"/>
      <c r="R2096" s="1"/>
      <c r="S2096" s="2"/>
      <c r="T2096" s="2">
        <v>1982</v>
      </c>
      <c r="U2096" s="48" t="s">
        <v>93</v>
      </c>
      <c r="V2096" s="2"/>
      <c r="W2096" s="2"/>
      <c r="X2096" s="2"/>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row>
    <row r="2097" spans="2:47" ht="14.25" customHeight="1" x14ac:dyDescent="0.3">
      <c r="B2097" s="3"/>
      <c r="Q2097" s="1"/>
      <c r="R2097" s="1"/>
      <c r="S2097" s="2"/>
      <c r="T2097" s="2">
        <v>1983</v>
      </c>
      <c r="U2097" s="48" t="s">
        <v>93</v>
      </c>
      <c r="V2097" s="2"/>
      <c r="W2097" s="2"/>
      <c r="X2097" s="2"/>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row>
    <row r="2098" spans="2:47" ht="14.25" customHeight="1" x14ac:dyDescent="0.3">
      <c r="B2098" s="3"/>
      <c r="Q2098" s="1"/>
      <c r="R2098" s="1"/>
      <c r="S2098" s="2"/>
      <c r="T2098" s="2">
        <v>1984</v>
      </c>
      <c r="U2098" s="48" t="s">
        <v>93</v>
      </c>
      <c r="V2098" s="2"/>
      <c r="W2098" s="2"/>
      <c r="X2098" s="2"/>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row>
    <row r="2099" spans="2:47" ht="14.25" customHeight="1" x14ac:dyDescent="0.3">
      <c r="B2099" s="3"/>
      <c r="Q2099" s="1"/>
      <c r="R2099" s="1"/>
      <c r="S2099" s="2"/>
      <c r="T2099" s="2">
        <v>1985</v>
      </c>
      <c r="U2099" s="48" t="s">
        <v>93</v>
      </c>
      <c r="V2099" s="2"/>
      <c r="W2099" s="2"/>
      <c r="X2099" s="2"/>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row>
    <row r="2100" spans="2:47" ht="14.25" customHeight="1" x14ac:dyDescent="0.3">
      <c r="B2100" s="3"/>
      <c r="Q2100" s="1"/>
      <c r="R2100" s="1"/>
      <c r="S2100" s="2"/>
      <c r="T2100" s="2">
        <v>1986</v>
      </c>
      <c r="U2100" s="48" t="s">
        <v>93</v>
      </c>
      <c r="V2100" s="2"/>
      <c r="W2100" s="2"/>
      <c r="X2100" s="2"/>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row>
    <row r="2101" spans="2:47" ht="14.25" customHeight="1" x14ac:dyDescent="0.3">
      <c r="B2101" s="3"/>
      <c r="Q2101" s="1"/>
      <c r="R2101" s="1"/>
      <c r="S2101" s="2"/>
      <c r="T2101" s="2">
        <v>1987</v>
      </c>
      <c r="U2101" s="48" t="s">
        <v>93</v>
      </c>
      <c r="V2101" s="2"/>
      <c r="W2101" s="2"/>
      <c r="X2101" s="2"/>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row>
    <row r="2102" spans="2:47" ht="14.25" customHeight="1" x14ac:dyDescent="0.3">
      <c r="B2102" s="3"/>
      <c r="Q2102" s="1"/>
      <c r="R2102" s="1"/>
      <c r="S2102" s="2"/>
      <c r="T2102" s="2">
        <v>1988</v>
      </c>
      <c r="U2102" s="48" t="s">
        <v>93</v>
      </c>
      <c r="V2102" s="2"/>
      <c r="W2102" s="2"/>
      <c r="X2102" s="2"/>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row>
    <row r="2103" spans="2:47" ht="14.25" customHeight="1" x14ac:dyDescent="0.3">
      <c r="B2103" s="3"/>
      <c r="Q2103" s="1"/>
      <c r="R2103" s="1"/>
      <c r="S2103" s="2"/>
      <c r="T2103" s="2">
        <v>1989</v>
      </c>
      <c r="U2103" s="48" t="s">
        <v>93</v>
      </c>
      <c r="V2103" s="2"/>
      <c r="W2103" s="2"/>
      <c r="X2103" s="2"/>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row>
    <row r="2104" spans="2:47" ht="14.25" customHeight="1" x14ac:dyDescent="0.3">
      <c r="B2104" s="3"/>
      <c r="Q2104" s="1"/>
      <c r="R2104" s="1"/>
      <c r="S2104" s="2"/>
      <c r="T2104" s="2">
        <v>1990</v>
      </c>
      <c r="U2104" s="48" t="s">
        <v>93</v>
      </c>
      <c r="V2104" s="2"/>
      <c r="W2104" s="2"/>
      <c r="X2104" s="2"/>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row>
    <row r="2105" spans="2:47" ht="14.25" customHeight="1" x14ac:dyDescent="0.3">
      <c r="B2105" s="3"/>
      <c r="Q2105" s="1"/>
      <c r="R2105" s="1"/>
      <c r="S2105" s="2"/>
      <c r="T2105" s="2">
        <v>1991</v>
      </c>
      <c r="U2105" s="48" t="s">
        <v>93</v>
      </c>
      <c r="V2105" s="2"/>
      <c r="W2105" s="2"/>
      <c r="X2105" s="2"/>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row>
    <row r="2106" spans="2:47" ht="14.25" customHeight="1" x14ac:dyDescent="0.3">
      <c r="B2106" s="3"/>
      <c r="Q2106" s="1"/>
      <c r="R2106" s="1"/>
      <c r="S2106" s="2"/>
      <c r="T2106" s="2">
        <v>1992</v>
      </c>
      <c r="U2106" s="48" t="s">
        <v>93</v>
      </c>
      <c r="V2106" s="2"/>
      <c r="W2106" s="2"/>
      <c r="X2106" s="2"/>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row>
    <row r="2107" spans="2:47" ht="14.25" customHeight="1" x14ac:dyDescent="0.3">
      <c r="B2107" s="3"/>
      <c r="Q2107" s="1"/>
      <c r="R2107" s="1"/>
      <c r="S2107" s="2"/>
      <c r="T2107" s="2">
        <v>1993</v>
      </c>
      <c r="U2107" s="48" t="s">
        <v>93</v>
      </c>
      <c r="V2107" s="2"/>
      <c r="W2107" s="2"/>
      <c r="X2107" s="2"/>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row>
    <row r="2108" spans="2:47" ht="14.25" customHeight="1" x14ac:dyDescent="0.3">
      <c r="B2108" s="3"/>
      <c r="Q2108" s="1"/>
      <c r="R2108" s="1"/>
      <c r="S2108" s="2"/>
      <c r="T2108" s="2">
        <v>1994</v>
      </c>
      <c r="U2108" s="48" t="s">
        <v>93</v>
      </c>
      <c r="V2108" s="2"/>
      <c r="W2108" s="2"/>
      <c r="X2108" s="2"/>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row>
    <row r="2109" spans="2:47" ht="14.25" customHeight="1" x14ac:dyDescent="0.3">
      <c r="B2109" s="3"/>
      <c r="Q2109" s="1"/>
      <c r="R2109" s="1"/>
      <c r="S2109" s="2"/>
      <c r="T2109" s="2">
        <v>1995</v>
      </c>
      <c r="U2109" s="48" t="s">
        <v>93</v>
      </c>
      <c r="V2109" s="2"/>
      <c r="W2109" s="2"/>
      <c r="X2109" s="2"/>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row>
    <row r="2110" spans="2:47" ht="14.25" customHeight="1" x14ac:dyDescent="0.3">
      <c r="B2110" s="3"/>
      <c r="Q2110" s="1"/>
      <c r="R2110" s="1"/>
      <c r="S2110" s="2"/>
      <c r="T2110" s="2">
        <v>1996</v>
      </c>
      <c r="U2110" s="48" t="s">
        <v>93</v>
      </c>
      <c r="V2110" s="2"/>
      <c r="W2110" s="2"/>
      <c r="X2110" s="2"/>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row>
    <row r="2111" spans="2:47" ht="14.25" customHeight="1" x14ac:dyDescent="0.3">
      <c r="B2111" s="3"/>
      <c r="Q2111" s="1"/>
      <c r="R2111" s="1"/>
      <c r="S2111" s="2"/>
      <c r="T2111" s="2">
        <v>1997</v>
      </c>
      <c r="U2111" s="48" t="s">
        <v>93</v>
      </c>
      <c r="V2111" s="2"/>
      <c r="W2111" s="2"/>
      <c r="X2111" s="2"/>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row>
    <row r="2112" spans="2:47" ht="14.25" customHeight="1" x14ac:dyDescent="0.3">
      <c r="B2112" s="3"/>
      <c r="Q2112" s="1"/>
      <c r="R2112" s="1"/>
      <c r="S2112" s="2"/>
      <c r="T2112" s="2">
        <v>1998</v>
      </c>
      <c r="U2112" s="48" t="s">
        <v>93</v>
      </c>
      <c r="V2112" s="2"/>
      <c r="W2112" s="2"/>
      <c r="X2112" s="2"/>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row>
    <row r="2113" spans="2:47" ht="14.25" customHeight="1" x14ac:dyDescent="0.3">
      <c r="B2113" s="3"/>
      <c r="Q2113" s="1"/>
      <c r="R2113" s="1"/>
      <c r="S2113" s="2"/>
      <c r="T2113" s="2">
        <v>1999</v>
      </c>
      <c r="U2113" s="48" t="s">
        <v>93</v>
      </c>
      <c r="V2113" s="2"/>
      <c r="W2113" s="2"/>
      <c r="X2113" s="2"/>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row>
    <row r="2114" spans="2:47" ht="14.25" customHeight="1" x14ac:dyDescent="0.3">
      <c r="B2114" s="3"/>
      <c r="Q2114" s="1"/>
      <c r="R2114" s="1"/>
      <c r="S2114" s="2"/>
      <c r="T2114" s="2">
        <v>2000</v>
      </c>
      <c r="U2114" s="48" t="s">
        <v>93</v>
      </c>
      <c r="V2114" s="2"/>
      <c r="W2114" s="2"/>
      <c r="X2114" s="2"/>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row>
    <row r="2115" spans="2:47" ht="14.25" customHeight="1" x14ac:dyDescent="0.3">
      <c r="B2115" s="3"/>
      <c r="Q2115" s="1"/>
      <c r="R2115" s="1"/>
      <c r="S2115" s="2"/>
      <c r="T2115" s="2">
        <v>2001</v>
      </c>
      <c r="U2115" s="48" t="s">
        <v>93</v>
      </c>
      <c r="V2115" s="2"/>
      <c r="W2115" s="2"/>
      <c r="X2115" s="2"/>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row>
    <row r="2116" spans="2:47" ht="14.25" customHeight="1" x14ac:dyDescent="0.3">
      <c r="B2116" s="3"/>
      <c r="Q2116" s="1"/>
      <c r="R2116" s="1"/>
      <c r="S2116" s="2"/>
      <c r="T2116" s="2">
        <v>2002</v>
      </c>
      <c r="U2116" s="48" t="s">
        <v>93</v>
      </c>
      <c r="V2116" s="2"/>
      <c r="W2116" s="2"/>
      <c r="X2116" s="2"/>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row>
    <row r="2117" spans="2:47" ht="14.25" customHeight="1" x14ac:dyDescent="0.3">
      <c r="B2117" s="3"/>
      <c r="Q2117" s="1"/>
      <c r="R2117" s="1"/>
      <c r="S2117" s="2"/>
      <c r="T2117" s="2">
        <v>2003</v>
      </c>
      <c r="U2117" s="48" t="s">
        <v>93</v>
      </c>
      <c r="V2117" s="2"/>
      <c r="W2117" s="2"/>
      <c r="X2117" s="2"/>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row>
    <row r="2118" spans="2:47" ht="14.25" customHeight="1" x14ac:dyDescent="0.3">
      <c r="B2118" s="3"/>
      <c r="Q2118" s="1"/>
      <c r="R2118" s="1"/>
      <c r="S2118" s="2"/>
      <c r="T2118" s="2">
        <v>2004</v>
      </c>
      <c r="U2118" s="48" t="s">
        <v>93</v>
      </c>
      <c r="V2118" s="2"/>
      <c r="W2118" s="2"/>
      <c r="X2118" s="2"/>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row>
    <row r="2119" spans="2:47" ht="14.25" customHeight="1" x14ac:dyDescent="0.3">
      <c r="B2119" s="3"/>
      <c r="Q2119" s="1"/>
      <c r="R2119" s="1"/>
      <c r="S2119" s="2"/>
      <c r="T2119" s="2">
        <v>2005</v>
      </c>
      <c r="U2119" s="48" t="s">
        <v>93</v>
      </c>
      <c r="V2119" s="2"/>
      <c r="W2119" s="2"/>
      <c r="X2119" s="2"/>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row>
    <row r="2120" spans="2:47" ht="14.25" customHeight="1" x14ac:dyDescent="0.3">
      <c r="B2120" s="3"/>
      <c r="Q2120" s="1"/>
      <c r="R2120" s="1"/>
      <c r="S2120" s="2"/>
      <c r="T2120" s="2">
        <v>2006</v>
      </c>
      <c r="U2120" s="48" t="s">
        <v>93</v>
      </c>
      <c r="V2120" s="2"/>
      <c r="W2120" s="2"/>
      <c r="X2120" s="2"/>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row>
    <row r="2121" spans="2:47" ht="14.25" customHeight="1" x14ac:dyDescent="0.3">
      <c r="B2121" s="3"/>
      <c r="Q2121" s="1"/>
      <c r="R2121" s="1"/>
      <c r="S2121" s="2"/>
      <c r="T2121" s="2">
        <v>2007</v>
      </c>
      <c r="U2121" s="48" t="s">
        <v>93</v>
      </c>
      <c r="V2121" s="2"/>
      <c r="W2121" s="2"/>
      <c r="X2121" s="2"/>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row>
    <row r="2122" spans="2:47" ht="14.25" customHeight="1" x14ac:dyDescent="0.3">
      <c r="B2122" s="3"/>
      <c r="Q2122" s="1"/>
      <c r="R2122" s="1"/>
      <c r="S2122" s="2"/>
      <c r="T2122" s="2">
        <v>2008</v>
      </c>
      <c r="U2122" s="48" t="s">
        <v>93</v>
      </c>
      <c r="V2122" s="2"/>
      <c r="W2122" s="2"/>
      <c r="X2122" s="2"/>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row>
    <row r="2123" spans="2:47" ht="14.25" customHeight="1" x14ac:dyDescent="0.3">
      <c r="B2123" s="3"/>
      <c r="Q2123" s="1"/>
      <c r="R2123" s="1"/>
      <c r="S2123" s="2"/>
      <c r="T2123" s="2">
        <v>2009</v>
      </c>
      <c r="U2123" s="48" t="s">
        <v>93</v>
      </c>
      <c r="V2123" s="2"/>
      <c r="W2123" s="2"/>
      <c r="X2123" s="2"/>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row>
    <row r="2124" spans="2:47" ht="14.25" customHeight="1" x14ac:dyDescent="0.3">
      <c r="B2124" s="3"/>
      <c r="Q2124" s="1"/>
      <c r="R2124" s="1"/>
      <c r="S2124" s="2"/>
      <c r="T2124" s="2">
        <v>2010</v>
      </c>
      <c r="U2124" s="48" t="s">
        <v>93</v>
      </c>
      <c r="V2124" s="2"/>
      <c r="W2124" s="2"/>
      <c r="X2124" s="2"/>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row>
    <row r="2125" spans="2:47" ht="14.25" customHeight="1" x14ac:dyDescent="0.3">
      <c r="B2125" s="3"/>
      <c r="Q2125" s="1"/>
      <c r="R2125" s="1"/>
      <c r="S2125" s="2"/>
      <c r="T2125" s="2">
        <v>2011</v>
      </c>
      <c r="U2125" s="48" t="s">
        <v>93</v>
      </c>
      <c r="V2125" s="2"/>
      <c r="W2125" s="2"/>
      <c r="X2125" s="2"/>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row>
    <row r="2126" spans="2:47" ht="14.25" customHeight="1" x14ac:dyDescent="0.3">
      <c r="B2126" s="3"/>
      <c r="Q2126" s="1"/>
      <c r="R2126" s="1"/>
      <c r="S2126" s="2"/>
      <c r="T2126" s="2">
        <v>2012</v>
      </c>
      <c r="U2126" s="48" t="s">
        <v>93</v>
      </c>
      <c r="V2126" s="2"/>
      <c r="W2126" s="2"/>
      <c r="X2126" s="2"/>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row>
    <row r="2127" spans="2:47" ht="14.25" customHeight="1" x14ac:dyDescent="0.3">
      <c r="B2127" s="3"/>
      <c r="Q2127" s="1"/>
      <c r="R2127" s="1"/>
      <c r="S2127" s="2"/>
      <c r="T2127" s="2">
        <v>2013</v>
      </c>
      <c r="U2127" s="48" t="s">
        <v>93</v>
      </c>
      <c r="V2127" s="2"/>
      <c r="W2127" s="2"/>
      <c r="X2127" s="2"/>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row>
    <row r="2128" spans="2:47" ht="14.25" customHeight="1" x14ac:dyDescent="0.3">
      <c r="B2128" s="3"/>
      <c r="Q2128" s="1"/>
      <c r="R2128" s="1"/>
      <c r="S2128" s="2"/>
      <c r="T2128" s="2">
        <v>2014</v>
      </c>
      <c r="U2128" s="48" t="s">
        <v>93</v>
      </c>
      <c r="V2128" s="2"/>
      <c r="W2128" s="2"/>
      <c r="X2128" s="2"/>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row>
    <row r="2129" spans="2:47" ht="14.25" customHeight="1" x14ac:dyDescent="0.3">
      <c r="B2129" s="3"/>
      <c r="Q2129" s="1"/>
      <c r="R2129" s="1"/>
      <c r="S2129" s="2"/>
      <c r="T2129" s="2">
        <v>2015</v>
      </c>
      <c r="U2129" s="48" t="s">
        <v>93</v>
      </c>
      <c r="V2129" s="2"/>
      <c r="W2129" s="2"/>
      <c r="X2129" s="2"/>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row>
    <row r="2130" spans="2:47" ht="14.25" customHeight="1" x14ac:dyDescent="0.3">
      <c r="B2130" s="3"/>
      <c r="Q2130" s="1"/>
      <c r="R2130" s="1"/>
      <c r="S2130" s="2"/>
      <c r="T2130" s="2">
        <v>2016</v>
      </c>
      <c r="U2130" s="48" t="s">
        <v>93</v>
      </c>
      <c r="V2130" s="2"/>
      <c r="W2130" s="2"/>
      <c r="X2130" s="2"/>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row>
    <row r="2131" spans="2:47" ht="14.25" customHeight="1" x14ac:dyDescent="0.3">
      <c r="B2131" s="3"/>
      <c r="Q2131" s="1"/>
      <c r="R2131" s="1"/>
      <c r="S2131" s="2"/>
      <c r="T2131" s="2">
        <v>2017</v>
      </c>
      <c r="U2131" s="48" t="s">
        <v>93</v>
      </c>
      <c r="V2131" s="2"/>
      <c r="W2131" s="2"/>
      <c r="X2131" s="2"/>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row>
    <row r="2132" spans="2:47" ht="14.25" customHeight="1" x14ac:dyDescent="0.3">
      <c r="B2132" s="3"/>
      <c r="Q2132" s="1"/>
      <c r="R2132" s="1"/>
      <c r="S2132" s="2"/>
      <c r="T2132" s="2">
        <v>2018</v>
      </c>
      <c r="U2132" s="48" t="s">
        <v>93</v>
      </c>
      <c r="V2132" s="2"/>
      <c r="W2132" s="2"/>
      <c r="X2132" s="2"/>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row>
    <row r="2133" spans="2:47" ht="14.25" customHeight="1" x14ac:dyDescent="0.3">
      <c r="B2133" s="3"/>
      <c r="Q2133" s="1"/>
      <c r="R2133" s="1"/>
      <c r="S2133" s="2"/>
      <c r="T2133" s="2">
        <v>2019</v>
      </c>
      <c r="U2133" s="48" t="s">
        <v>93</v>
      </c>
      <c r="V2133" s="2"/>
      <c r="W2133" s="2"/>
      <c r="X2133" s="2"/>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row>
    <row r="2134" spans="2:47" ht="14.25" customHeight="1" x14ac:dyDescent="0.3">
      <c r="B2134" s="3"/>
      <c r="Q2134" s="1"/>
      <c r="R2134" s="1"/>
      <c r="S2134" s="2"/>
      <c r="T2134" s="2">
        <v>2020</v>
      </c>
      <c r="U2134" s="48" t="s">
        <v>93</v>
      </c>
      <c r="V2134" s="2"/>
      <c r="W2134" s="2"/>
      <c r="X2134" s="2"/>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row>
    <row r="2135" spans="2:47" ht="14.25" customHeight="1" x14ac:dyDescent="0.3">
      <c r="B2135" s="3"/>
      <c r="Q2135" s="1"/>
      <c r="R2135" s="1"/>
      <c r="S2135" s="2"/>
      <c r="T2135" s="2">
        <v>2021</v>
      </c>
      <c r="U2135" s="48" t="s">
        <v>93</v>
      </c>
      <c r="V2135" s="2"/>
      <c r="W2135" s="2"/>
      <c r="X2135" s="2"/>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row>
    <row r="2136" spans="2:47" ht="14.25" customHeight="1" x14ac:dyDescent="0.3">
      <c r="B2136" s="3"/>
      <c r="Q2136" s="1"/>
      <c r="R2136" s="1"/>
      <c r="S2136" s="2"/>
      <c r="T2136" s="2">
        <v>2022</v>
      </c>
      <c r="U2136" s="48" t="s">
        <v>93</v>
      </c>
      <c r="V2136" s="2"/>
      <c r="W2136" s="2"/>
      <c r="X2136" s="2"/>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row>
    <row r="2137" spans="2:47" ht="14.25" customHeight="1" x14ac:dyDescent="0.3">
      <c r="B2137" s="3"/>
      <c r="Q2137" s="1"/>
      <c r="R2137" s="1"/>
      <c r="S2137" s="2"/>
      <c r="T2137" s="2">
        <v>2023</v>
      </c>
      <c r="U2137" s="48" t="s">
        <v>93</v>
      </c>
      <c r="V2137" s="2"/>
      <c r="W2137" s="2"/>
      <c r="X2137" s="2"/>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row>
    <row r="2138" spans="2:47" ht="14.25" customHeight="1" x14ac:dyDescent="0.3">
      <c r="B2138" s="3"/>
      <c r="Q2138" s="1"/>
      <c r="R2138" s="1"/>
      <c r="S2138" s="2"/>
      <c r="T2138" s="2">
        <v>2024</v>
      </c>
      <c r="U2138" s="48" t="s">
        <v>93</v>
      </c>
      <c r="V2138" s="2"/>
      <c r="W2138" s="2"/>
      <c r="X2138" s="2"/>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row>
    <row r="2139" spans="2:47" ht="14.25" customHeight="1" x14ac:dyDescent="0.3">
      <c r="B2139" s="3"/>
      <c r="Q2139" s="1"/>
      <c r="R2139" s="1"/>
      <c r="S2139" s="2"/>
      <c r="T2139" s="2">
        <v>2025</v>
      </c>
      <c r="U2139" s="48" t="s">
        <v>93</v>
      </c>
      <c r="V2139" s="2"/>
      <c r="W2139" s="2"/>
      <c r="X2139" s="2"/>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row>
    <row r="2140" spans="2:47" ht="14.25" customHeight="1" x14ac:dyDescent="0.3">
      <c r="B2140" s="3"/>
      <c r="Q2140" s="1"/>
      <c r="R2140" s="1"/>
      <c r="S2140" s="2"/>
      <c r="T2140" s="2">
        <v>2026</v>
      </c>
      <c r="U2140" s="48" t="s">
        <v>93</v>
      </c>
      <c r="V2140" s="2"/>
      <c r="W2140" s="2"/>
      <c r="X2140" s="2"/>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row>
    <row r="2141" spans="2:47" ht="14.25" customHeight="1" x14ac:dyDescent="0.3">
      <c r="B2141" s="3"/>
      <c r="Q2141" s="1"/>
      <c r="R2141" s="1"/>
      <c r="S2141" s="2"/>
      <c r="T2141" s="2">
        <v>2027</v>
      </c>
      <c r="U2141" s="48" t="s">
        <v>93</v>
      </c>
      <c r="V2141" s="2"/>
      <c r="W2141" s="2"/>
      <c r="X2141" s="2"/>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row>
    <row r="2142" spans="2:47" ht="14.25" customHeight="1" x14ac:dyDescent="0.3">
      <c r="B2142" s="3"/>
      <c r="Q2142" s="1"/>
      <c r="R2142" s="1"/>
      <c r="S2142" s="2"/>
      <c r="T2142" s="2">
        <v>2028</v>
      </c>
      <c r="U2142" s="48" t="s">
        <v>93</v>
      </c>
      <c r="V2142" s="2"/>
      <c r="W2142" s="2"/>
      <c r="X2142" s="2"/>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row>
    <row r="2143" spans="2:47" ht="14.25" customHeight="1" x14ac:dyDescent="0.3">
      <c r="B2143" s="3"/>
      <c r="Q2143" s="1"/>
      <c r="R2143" s="1"/>
      <c r="S2143" s="2"/>
      <c r="T2143" s="2">
        <v>2029</v>
      </c>
      <c r="U2143" s="48" t="s">
        <v>93</v>
      </c>
      <c r="V2143" s="2"/>
      <c r="W2143" s="2"/>
      <c r="X2143" s="2"/>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row>
    <row r="2144" spans="2:47" ht="14.25" customHeight="1" x14ac:dyDescent="0.3">
      <c r="B2144" s="3"/>
      <c r="Q2144" s="1"/>
      <c r="R2144" s="1"/>
      <c r="S2144" s="2"/>
      <c r="T2144" s="2">
        <v>2030</v>
      </c>
      <c r="U2144" s="48" t="s">
        <v>93</v>
      </c>
      <c r="V2144" s="2"/>
      <c r="W2144" s="2"/>
      <c r="X2144" s="2"/>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row>
    <row r="2145" spans="2:47" ht="14.25" customHeight="1" x14ac:dyDescent="0.3">
      <c r="B2145" s="3"/>
      <c r="Q2145" s="1"/>
      <c r="R2145" s="1"/>
      <c r="S2145" s="2"/>
      <c r="T2145" s="2">
        <v>2031</v>
      </c>
      <c r="U2145" s="48" t="s">
        <v>93</v>
      </c>
      <c r="V2145" s="2"/>
      <c r="W2145" s="2"/>
      <c r="X2145" s="2"/>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row>
    <row r="2146" spans="2:47" ht="14.25" customHeight="1" x14ac:dyDescent="0.3">
      <c r="B2146" s="3"/>
      <c r="Q2146" s="1"/>
      <c r="R2146" s="1"/>
      <c r="S2146" s="2"/>
      <c r="T2146" s="2">
        <v>2032</v>
      </c>
      <c r="U2146" s="48" t="s">
        <v>93</v>
      </c>
      <c r="V2146" s="2"/>
      <c r="W2146" s="2"/>
      <c r="X2146" s="2"/>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row>
    <row r="2147" spans="2:47" ht="14.25" customHeight="1" x14ac:dyDescent="0.3">
      <c r="B2147" s="3"/>
      <c r="Q2147" s="1"/>
      <c r="R2147" s="1"/>
      <c r="S2147" s="2"/>
      <c r="T2147" s="2">
        <v>2033</v>
      </c>
      <c r="U2147" s="48" t="s">
        <v>93</v>
      </c>
      <c r="V2147" s="2"/>
      <c r="W2147" s="2"/>
      <c r="X2147" s="2"/>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row>
    <row r="2148" spans="2:47" ht="14.25" customHeight="1" x14ac:dyDescent="0.3">
      <c r="B2148" s="3"/>
      <c r="Q2148" s="1"/>
      <c r="R2148" s="1"/>
      <c r="S2148" s="2"/>
      <c r="T2148" s="2">
        <v>2034</v>
      </c>
      <c r="U2148" s="48" t="s">
        <v>93</v>
      </c>
      <c r="V2148" s="2"/>
      <c r="W2148" s="2"/>
      <c r="X2148" s="2"/>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row>
    <row r="2149" spans="2:47" ht="14.25" customHeight="1" x14ac:dyDescent="0.3">
      <c r="B2149" s="3"/>
      <c r="Q2149" s="1"/>
      <c r="R2149" s="1"/>
      <c r="S2149" s="2"/>
      <c r="T2149" s="2">
        <v>2035</v>
      </c>
      <c r="U2149" s="48" t="s">
        <v>93</v>
      </c>
      <c r="V2149" s="2"/>
      <c r="W2149" s="2"/>
      <c r="X2149" s="2"/>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row>
    <row r="2150" spans="2:47" ht="14.25" customHeight="1" x14ac:dyDescent="0.3">
      <c r="B2150" s="3"/>
      <c r="Q2150" s="1"/>
      <c r="R2150" s="1"/>
      <c r="S2150" s="2"/>
      <c r="T2150" s="2">
        <v>2036</v>
      </c>
      <c r="U2150" s="48" t="s">
        <v>93</v>
      </c>
      <c r="V2150" s="2"/>
      <c r="W2150" s="2"/>
      <c r="X2150" s="2"/>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row>
    <row r="2151" spans="2:47" ht="14.25" customHeight="1" x14ac:dyDescent="0.3">
      <c r="B2151" s="3"/>
      <c r="Q2151" s="1"/>
      <c r="R2151" s="1"/>
      <c r="S2151" s="2"/>
      <c r="T2151" s="2">
        <v>2037</v>
      </c>
      <c r="U2151" s="48" t="s">
        <v>93</v>
      </c>
      <c r="V2151" s="2"/>
      <c r="W2151" s="2"/>
      <c r="X2151" s="2"/>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row>
    <row r="2152" spans="2:47" ht="14.25" customHeight="1" x14ac:dyDescent="0.3">
      <c r="B2152" s="3"/>
      <c r="Q2152" s="1"/>
      <c r="R2152" s="1"/>
      <c r="S2152" s="2"/>
      <c r="T2152" s="2">
        <v>2038</v>
      </c>
      <c r="U2152" s="48" t="s">
        <v>93</v>
      </c>
      <c r="V2152" s="2"/>
      <c r="W2152" s="2"/>
      <c r="X2152" s="2"/>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row>
    <row r="2153" spans="2:47" ht="14.25" customHeight="1" x14ac:dyDescent="0.3">
      <c r="B2153" s="3"/>
      <c r="Q2153" s="1"/>
      <c r="R2153" s="1"/>
      <c r="S2153" s="2"/>
      <c r="T2153" s="2">
        <v>2039</v>
      </c>
      <c r="U2153" s="48" t="s">
        <v>93</v>
      </c>
      <c r="V2153" s="2"/>
      <c r="W2153" s="2"/>
      <c r="X2153" s="2"/>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row>
    <row r="2154" spans="2:47" ht="14.25" customHeight="1" x14ac:dyDescent="0.3">
      <c r="B2154" s="3"/>
      <c r="Q2154" s="1"/>
      <c r="R2154" s="1"/>
      <c r="S2154" s="2"/>
      <c r="T2154" s="2">
        <v>2040</v>
      </c>
      <c r="U2154" s="48" t="s">
        <v>93</v>
      </c>
      <c r="V2154" s="2"/>
      <c r="W2154" s="2"/>
      <c r="X2154" s="2"/>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row>
    <row r="2155" spans="2:47" ht="14.25" customHeight="1" x14ac:dyDescent="0.3">
      <c r="B2155" s="3"/>
      <c r="Q2155" s="1"/>
      <c r="R2155" s="1"/>
      <c r="S2155" s="2"/>
      <c r="T2155" s="2">
        <v>2041</v>
      </c>
      <c r="U2155" s="48" t="s">
        <v>93</v>
      </c>
      <c r="V2155" s="2"/>
      <c r="W2155" s="2"/>
      <c r="X2155" s="2"/>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row>
    <row r="2156" spans="2:47" ht="14.25" customHeight="1" x14ac:dyDescent="0.3">
      <c r="B2156" s="3"/>
      <c r="Q2156" s="1"/>
      <c r="R2156" s="1"/>
      <c r="S2156" s="2"/>
      <c r="T2156" s="2">
        <v>2042</v>
      </c>
      <c r="U2156" s="48" t="s">
        <v>93</v>
      </c>
      <c r="V2156" s="2"/>
      <c r="W2156" s="2"/>
      <c r="X2156" s="2"/>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row>
    <row r="2157" spans="2:47" ht="14.25" customHeight="1" x14ac:dyDescent="0.3">
      <c r="B2157" s="3"/>
      <c r="Q2157" s="1"/>
      <c r="R2157" s="1"/>
      <c r="S2157" s="2"/>
      <c r="T2157" s="2">
        <v>2043</v>
      </c>
      <c r="U2157" s="48" t="s">
        <v>93</v>
      </c>
      <c r="V2157" s="2"/>
      <c r="W2157" s="2"/>
      <c r="X2157" s="2"/>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row>
    <row r="2158" spans="2:47" ht="14.25" customHeight="1" x14ac:dyDescent="0.3">
      <c r="B2158" s="3"/>
      <c r="Q2158" s="1"/>
      <c r="R2158" s="1"/>
      <c r="S2158" s="2"/>
      <c r="T2158" s="2">
        <v>2044</v>
      </c>
      <c r="U2158" s="48" t="s">
        <v>93</v>
      </c>
      <c r="V2158" s="2"/>
      <c r="W2158" s="2"/>
      <c r="X2158" s="2"/>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row>
    <row r="2159" spans="2:47" ht="14.25" customHeight="1" x14ac:dyDescent="0.3">
      <c r="B2159" s="3"/>
      <c r="Q2159" s="1"/>
      <c r="R2159" s="1"/>
      <c r="S2159" s="2"/>
      <c r="T2159" s="2">
        <v>2045</v>
      </c>
      <c r="U2159" s="48" t="s">
        <v>93</v>
      </c>
      <c r="V2159" s="2"/>
      <c r="W2159" s="2"/>
      <c r="X2159" s="2"/>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row>
    <row r="2160" spans="2:47" ht="14.25" customHeight="1" x14ac:dyDescent="0.3">
      <c r="B2160" s="3"/>
      <c r="Q2160" s="1"/>
      <c r="R2160" s="1"/>
      <c r="S2160" s="2"/>
      <c r="T2160" s="2">
        <v>2046</v>
      </c>
      <c r="U2160" s="48" t="s">
        <v>93</v>
      </c>
      <c r="V2160" s="2"/>
      <c r="W2160" s="2"/>
      <c r="X2160" s="2"/>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row>
    <row r="2161" spans="2:47" ht="14.25" customHeight="1" x14ac:dyDescent="0.3">
      <c r="B2161" s="3"/>
      <c r="Q2161" s="1"/>
      <c r="R2161" s="1"/>
      <c r="S2161" s="2"/>
      <c r="T2161" s="2">
        <v>2047</v>
      </c>
      <c r="U2161" s="48" t="s">
        <v>93</v>
      </c>
      <c r="V2161" s="2"/>
      <c r="W2161" s="2"/>
      <c r="X2161" s="2"/>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row>
    <row r="2162" spans="2:47" ht="14.25" customHeight="1" x14ac:dyDescent="0.3">
      <c r="B2162" s="3"/>
      <c r="Q2162" s="1"/>
      <c r="R2162" s="1"/>
      <c r="S2162" s="2"/>
      <c r="T2162" s="2">
        <v>2048</v>
      </c>
      <c r="U2162" s="48" t="s">
        <v>93</v>
      </c>
      <c r="V2162" s="2"/>
      <c r="W2162" s="2"/>
      <c r="X2162" s="2"/>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row>
    <row r="2163" spans="2:47" ht="14.25" customHeight="1" x14ac:dyDescent="0.3">
      <c r="B2163" s="3"/>
      <c r="Q2163" s="1"/>
      <c r="R2163" s="1"/>
      <c r="S2163" s="2"/>
      <c r="T2163" s="2">
        <v>2049</v>
      </c>
      <c r="U2163" s="48" t="s">
        <v>93</v>
      </c>
      <c r="V2163" s="2"/>
      <c r="W2163" s="2"/>
      <c r="X2163" s="2"/>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row>
    <row r="2164" spans="2:47" ht="14.25" customHeight="1" x14ac:dyDescent="0.3">
      <c r="B2164" s="3"/>
      <c r="Q2164" s="1"/>
      <c r="R2164" s="1"/>
      <c r="S2164" s="2"/>
      <c r="T2164" s="2">
        <v>2050</v>
      </c>
      <c r="U2164" s="48" t="s">
        <v>93</v>
      </c>
      <c r="V2164" s="2"/>
      <c r="W2164" s="2"/>
      <c r="X2164" s="2"/>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row>
    <row r="2165" spans="2:47" ht="14.25" customHeight="1" x14ac:dyDescent="0.3">
      <c r="B2165" s="3"/>
      <c r="Q2165" s="1"/>
      <c r="R2165" s="1"/>
      <c r="S2165" s="2"/>
      <c r="T2165" s="2">
        <v>2051</v>
      </c>
      <c r="U2165" s="48" t="s">
        <v>93</v>
      </c>
      <c r="V2165" s="2"/>
      <c r="W2165" s="2"/>
      <c r="X2165" s="2"/>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row>
    <row r="2166" spans="2:47" ht="14.25" customHeight="1" x14ac:dyDescent="0.3">
      <c r="B2166" s="3"/>
      <c r="Q2166" s="1"/>
      <c r="R2166" s="1"/>
      <c r="S2166" s="2"/>
      <c r="T2166" s="2">
        <v>2052</v>
      </c>
      <c r="U2166" s="48" t="s">
        <v>93</v>
      </c>
      <c r="V2166" s="2"/>
      <c r="W2166" s="2"/>
      <c r="X2166" s="2"/>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row>
    <row r="2167" spans="2:47" ht="14.25" customHeight="1" x14ac:dyDescent="0.3">
      <c r="B2167" s="3"/>
      <c r="Q2167" s="1"/>
      <c r="R2167" s="1"/>
      <c r="S2167" s="2"/>
      <c r="T2167" s="2">
        <v>2053</v>
      </c>
      <c r="U2167" s="48" t="s">
        <v>93</v>
      </c>
      <c r="V2167" s="2"/>
      <c r="W2167" s="2"/>
      <c r="X2167" s="2"/>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row>
    <row r="2168" spans="2:47" ht="14.25" customHeight="1" x14ac:dyDescent="0.3">
      <c r="B2168" s="3"/>
      <c r="Q2168" s="1"/>
      <c r="R2168" s="1"/>
      <c r="S2168" s="2"/>
      <c r="T2168" s="2">
        <v>2054</v>
      </c>
      <c r="U2168" s="48" t="s">
        <v>93</v>
      </c>
      <c r="V2168" s="2"/>
      <c r="W2168" s="2"/>
      <c r="X2168" s="2"/>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row>
    <row r="2169" spans="2:47" ht="14.25" customHeight="1" x14ac:dyDescent="0.3">
      <c r="B2169" s="3"/>
      <c r="Q2169" s="1"/>
      <c r="R2169" s="1"/>
      <c r="S2169" s="2"/>
      <c r="T2169" s="2">
        <v>2055</v>
      </c>
      <c r="U2169" s="48" t="s">
        <v>93</v>
      </c>
      <c r="V2169" s="2"/>
      <c r="W2169" s="2"/>
      <c r="X2169" s="2"/>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row>
    <row r="2170" spans="2:47" ht="14.25" customHeight="1" x14ac:dyDescent="0.3">
      <c r="B2170" s="3"/>
      <c r="Q2170" s="1"/>
      <c r="R2170" s="1"/>
      <c r="S2170" s="2"/>
      <c r="T2170" s="2">
        <v>2056</v>
      </c>
      <c r="U2170" s="48" t="s">
        <v>93</v>
      </c>
      <c r="V2170" s="2"/>
      <c r="W2170" s="2"/>
      <c r="X2170" s="2"/>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row>
    <row r="2171" spans="2:47" ht="14.25" customHeight="1" x14ac:dyDescent="0.3">
      <c r="B2171" s="3"/>
      <c r="Q2171" s="1"/>
      <c r="R2171" s="1"/>
      <c r="S2171" s="2"/>
      <c r="T2171" s="2">
        <v>2057</v>
      </c>
      <c r="U2171" s="48" t="s">
        <v>93</v>
      </c>
      <c r="V2171" s="2"/>
      <c r="W2171" s="2"/>
      <c r="X2171" s="2"/>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row>
    <row r="2172" spans="2:47" ht="14.25" customHeight="1" x14ac:dyDescent="0.3">
      <c r="B2172" s="3"/>
      <c r="Q2172" s="1"/>
      <c r="R2172" s="1"/>
      <c r="S2172" s="2"/>
      <c r="T2172" s="2">
        <v>2058</v>
      </c>
      <c r="U2172" s="48" t="s">
        <v>93</v>
      </c>
      <c r="V2172" s="2"/>
      <c r="W2172" s="2"/>
      <c r="X2172" s="2"/>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row>
    <row r="2173" spans="2:47" ht="14.25" customHeight="1" x14ac:dyDescent="0.3">
      <c r="B2173" s="3"/>
      <c r="Q2173" s="1"/>
      <c r="R2173" s="1"/>
      <c r="S2173" s="2"/>
      <c r="T2173" s="2">
        <v>2059</v>
      </c>
      <c r="U2173" s="48" t="s">
        <v>93</v>
      </c>
      <c r="V2173" s="2"/>
      <c r="W2173" s="2"/>
      <c r="X2173" s="2"/>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row>
    <row r="2174" spans="2:47" ht="14.25" customHeight="1" x14ac:dyDescent="0.3">
      <c r="B2174" s="3"/>
      <c r="Q2174" s="1"/>
      <c r="R2174" s="1"/>
      <c r="S2174" s="2"/>
      <c r="T2174" s="2">
        <v>2060</v>
      </c>
      <c r="U2174" s="48" t="s">
        <v>93</v>
      </c>
      <c r="V2174" s="2"/>
      <c r="W2174" s="2"/>
      <c r="X2174" s="2"/>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row>
    <row r="2175" spans="2:47" ht="14.25" customHeight="1" x14ac:dyDescent="0.3">
      <c r="B2175" s="3"/>
      <c r="Q2175" s="1"/>
      <c r="R2175" s="1"/>
      <c r="S2175" s="2"/>
      <c r="T2175" s="2">
        <v>2061</v>
      </c>
      <c r="U2175" s="48" t="s">
        <v>93</v>
      </c>
      <c r="V2175" s="2"/>
      <c r="W2175" s="2"/>
      <c r="X2175" s="2"/>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row>
    <row r="2176" spans="2:47" ht="14.25" customHeight="1" x14ac:dyDescent="0.3">
      <c r="B2176" s="3"/>
      <c r="Q2176" s="1"/>
      <c r="R2176" s="1"/>
      <c r="S2176" s="2"/>
      <c r="T2176" s="2">
        <v>2062</v>
      </c>
      <c r="U2176" s="48" t="s">
        <v>93</v>
      </c>
      <c r="V2176" s="2"/>
      <c r="W2176" s="2"/>
      <c r="X2176" s="2"/>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row>
    <row r="2177" spans="2:47" ht="14.25" customHeight="1" x14ac:dyDescent="0.3">
      <c r="B2177" s="3"/>
      <c r="Q2177" s="1"/>
      <c r="R2177" s="1"/>
      <c r="S2177" s="2"/>
      <c r="T2177" s="2">
        <v>2063</v>
      </c>
      <c r="U2177" s="48" t="s">
        <v>93</v>
      </c>
      <c r="V2177" s="2"/>
      <c r="W2177" s="2"/>
      <c r="X2177" s="2"/>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row>
    <row r="2178" spans="2:47" ht="14.25" customHeight="1" x14ac:dyDescent="0.3">
      <c r="B2178" s="3"/>
      <c r="Q2178" s="1"/>
      <c r="R2178" s="1"/>
      <c r="S2178" s="2"/>
      <c r="T2178" s="2">
        <v>2064</v>
      </c>
      <c r="U2178" s="48" t="s">
        <v>93</v>
      </c>
      <c r="V2178" s="2"/>
      <c r="W2178" s="2"/>
      <c r="X2178" s="2"/>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row>
    <row r="2179" spans="2:47" ht="14.25" customHeight="1" x14ac:dyDescent="0.3">
      <c r="B2179" s="3"/>
      <c r="Q2179" s="1"/>
      <c r="R2179" s="1"/>
      <c r="S2179" s="2"/>
      <c r="T2179" s="2">
        <v>2065</v>
      </c>
      <c r="U2179" s="48" t="s">
        <v>93</v>
      </c>
      <c r="V2179" s="2"/>
      <c r="W2179" s="2"/>
      <c r="X2179" s="2"/>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row>
    <row r="2180" spans="2:47" ht="14.25" customHeight="1" x14ac:dyDescent="0.3">
      <c r="B2180" s="3"/>
      <c r="Q2180" s="1"/>
      <c r="R2180" s="1"/>
      <c r="S2180" s="2"/>
      <c r="T2180" s="2">
        <v>2066</v>
      </c>
      <c r="U2180" s="48" t="s">
        <v>93</v>
      </c>
      <c r="V2180" s="2"/>
      <c r="W2180" s="2"/>
      <c r="X2180" s="2"/>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row>
    <row r="2181" spans="2:47" ht="14.25" customHeight="1" x14ac:dyDescent="0.3">
      <c r="B2181" s="3"/>
      <c r="Q2181" s="1"/>
      <c r="R2181" s="1"/>
      <c r="S2181" s="2"/>
      <c r="T2181" s="2">
        <v>2067</v>
      </c>
      <c r="U2181" s="48" t="s">
        <v>93</v>
      </c>
      <c r="V2181" s="2"/>
      <c r="W2181" s="2"/>
      <c r="X2181" s="2"/>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row>
    <row r="2182" spans="2:47" ht="14.25" customHeight="1" x14ac:dyDescent="0.3">
      <c r="B2182" s="3"/>
      <c r="Q2182" s="1"/>
      <c r="R2182" s="1"/>
      <c r="S2182" s="2"/>
      <c r="T2182" s="2">
        <v>2068</v>
      </c>
      <c r="U2182" s="48" t="s">
        <v>93</v>
      </c>
      <c r="V2182" s="2"/>
      <c r="W2182" s="2"/>
      <c r="X2182" s="2"/>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row>
    <row r="2183" spans="2:47" ht="14.25" customHeight="1" x14ac:dyDescent="0.3">
      <c r="B2183" s="3"/>
      <c r="Q2183" s="1"/>
      <c r="R2183" s="1"/>
      <c r="S2183" s="2"/>
      <c r="T2183" s="2">
        <v>2069</v>
      </c>
      <c r="U2183" s="48" t="s">
        <v>93</v>
      </c>
      <c r="V2183" s="2"/>
      <c r="W2183" s="2"/>
      <c r="X2183" s="2"/>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row>
    <row r="2184" spans="2:47" ht="14.25" customHeight="1" x14ac:dyDescent="0.3">
      <c r="B2184" s="3"/>
      <c r="Q2184" s="1"/>
      <c r="R2184" s="1"/>
      <c r="S2184" s="2"/>
      <c r="T2184" s="2">
        <v>2070</v>
      </c>
      <c r="U2184" s="48" t="s">
        <v>93</v>
      </c>
      <c r="V2184" s="2"/>
      <c r="W2184" s="2"/>
      <c r="X2184" s="2"/>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row>
    <row r="2185" spans="2:47" ht="14.25" customHeight="1" x14ac:dyDescent="0.3">
      <c r="B2185" s="3"/>
      <c r="Q2185" s="1"/>
      <c r="R2185" s="1"/>
      <c r="S2185" s="2"/>
      <c r="T2185" s="2">
        <v>2071</v>
      </c>
      <c r="U2185" s="48" t="s">
        <v>93</v>
      </c>
      <c r="V2185" s="2"/>
      <c r="W2185" s="2"/>
      <c r="X2185" s="2"/>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row>
    <row r="2186" spans="2:47" ht="14.25" customHeight="1" x14ac:dyDescent="0.3">
      <c r="B2186" s="3"/>
      <c r="Q2186" s="1"/>
      <c r="R2186" s="1"/>
      <c r="S2186" s="2"/>
      <c r="T2186" s="2">
        <v>2072</v>
      </c>
      <c r="U2186" s="48" t="s">
        <v>93</v>
      </c>
      <c r="V2186" s="2"/>
      <c r="W2186" s="2"/>
      <c r="X2186" s="2"/>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row>
    <row r="2187" spans="2:47" ht="14.25" customHeight="1" x14ac:dyDescent="0.3">
      <c r="B2187" s="3"/>
      <c r="Q2187" s="1"/>
      <c r="R2187" s="1"/>
      <c r="S2187" s="2"/>
      <c r="T2187" s="2">
        <v>2073</v>
      </c>
      <c r="U2187" s="48" t="s">
        <v>93</v>
      </c>
      <c r="V2187" s="2"/>
      <c r="W2187" s="2"/>
      <c r="X2187" s="2"/>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row>
    <row r="2188" spans="2:47" ht="14.25" customHeight="1" x14ac:dyDescent="0.3">
      <c r="B2188" s="3"/>
      <c r="Q2188" s="1"/>
      <c r="R2188" s="1"/>
      <c r="S2188" s="2"/>
      <c r="T2188" s="2">
        <v>2074</v>
      </c>
      <c r="U2188" s="48" t="s">
        <v>93</v>
      </c>
      <c r="V2188" s="2"/>
      <c r="W2188" s="2"/>
      <c r="X2188" s="2"/>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row>
    <row r="2189" spans="2:47" ht="14.25" customHeight="1" x14ac:dyDescent="0.3">
      <c r="B2189" s="3"/>
      <c r="Q2189" s="1"/>
      <c r="R2189" s="1"/>
      <c r="S2189" s="2"/>
      <c r="T2189" s="2">
        <v>2075</v>
      </c>
      <c r="U2189" s="48" t="s">
        <v>93</v>
      </c>
      <c r="V2189" s="2"/>
      <c r="W2189" s="2"/>
      <c r="X2189" s="2"/>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row>
    <row r="2190" spans="2:47" ht="14.25" customHeight="1" x14ac:dyDescent="0.3">
      <c r="B2190" s="3"/>
      <c r="Q2190" s="1"/>
      <c r="R2190" s="1"/>
      <c r="S2190" s="2"/>
      <c r="T2190" s="2">
        <v>2076</v>
      </c>
      <c r="U2190" s="48" t="s">
        <v>93</v>
      </c>
      <c r="V2190" s="2"/>
      <c r="W2190" s="2"/>
      <c r="X2190" s="2"/>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row>
    <row r="2191" spans="2:47" ht="14.25" customHeight="1" x14ac:dyDescent="0.3">
      <c r="B2191" s="3"/>
      <c r="Q2191" s="1"/>
      <c r="R2191" s="1"/>
      <c r="S2191" s="2"/>
      <c r="T2191" s="2">
        <v>2077</v>
      </c>
      <c r="U2191" s="48" t="s">
        <v>93</v>
      </c>
      <c r="V2191" s="2"/>
      <c r="W2191" s="2"/>
      <c r="X2191" s="2"/>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row>
    <row r="2192" spans="2:47" ht="14.25" customHeight="1" x14ac:dyDescent="0.3">
      <c r="B2192" s="3"/>
      <c r="Q2192" s="1"/>
      <c r="R2192" s="1"/>
      <c r="S2192" s="2"/>
      <c r="T2192" s="2">
        <v>2078</v>
      </c>
      <c r="U2192" s="48" t="s">
        <v>93</v>
      </c>
      <c r="V2192" s="2"/>
      <c r="W2192" s="2"/>
      <c r="X2192" s="2"/>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row>
    <row r="2193" spans="2:47" ht="14.25" customHeight="1" x14ac:dyDescent="0.3">
      <c r="B2193" s="3"/>
      <c r="Q2193" s="1"/>
      <c r="R2193" s="1"/>
      <c r="S2193" s="2"/>
      <c r="T2193" s="2">
        <v>2079</v>
      </c>
      <c r="U2193" s="48" t="s">
        <v>93</v>
      </c>
      <c r="V2193" s="2"/>
      <c r="W2193" s="2"/>
      <c r="X2193" s="2"/>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row>
    <row r="2194" spans="2:47" ht="14.25" customHeight="1" x14ac:dyDescent="0.3">
      <c r="B2194" s="3"/>
      <c r="Q2194" s="1"/>
      <c r="R2194" s="1"/>
      <c r="S2194" s="2"/>
      <c r="T2194" s="2">
        <v>2080</v>
      </c>
      <c r="U2194" s="48" t="s">
        <v>93</v>
      </c>
      <c r="V2194" s="2"/>
      <c r="W2194" s="2"/>
      <c r="X2194" s="2"/>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row>
    <row r="2195" spans="2:47" ht="14.25" customHeight="1" x14ac:dyDescent="0.3">
      <c r="B2195" s="3"/>
      <c r="Q2195" s="1"/>
      <c r="R2195" s="1"/>
      <c r="S2195" s="2"/>
      <c r="T2195" s="2">
        <v>2081</v>
      </c>
      <c r="U2195" s="48" t="s">
        <v>93</v>
      </c>
      <c r="V2195" s="2"/>
      <c r="W2195" s="2"/>
      <c r="X2195" s="2"/>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row>
    <row r="2196" spans="2:47" ht="14.25" customHeight="1" x14ac:dyDescent="0.3">
      <c r="B2196" s="3"/>
      <c r="Q2196" s="1"/>
      <c r="R2196" s="1"/>
      <c r="S2196" s="2"/>
      <c r="T2196" s="2">
        <v>2082</v>
      </c>
      <c r="U2196" s="48" t="s">
        <v>93</v>
      </c>
      <c r="V2196" s="2"/>
      <c r="W2196" s="2"/>
      <c r="X2196" s="2"/>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row>
    <row r="2197" spans="2:47" ht="14.25" customHeight="1" x14ac:dyDescent="0.3">
      <c r="B2197" s="3"/>
      <c r="Q2197" s="1"/>
      <c r="R2197" s="1"/>
      <c r="S2197" s="2"/>
      <c r="T2197" s="2">
        <v>2083</v>
      </c>
      <c r="U2197" s="48" t="s">
        <v>93</v>
      </c>
      <c r="V2197" s="2"/>
      <c r="W2197" s="2"/>
      <c r="X2197" s="2"/>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row>
    <row r="2198" spans="2:47" ht="14.25" customHeight="1" x14ac:dyDescent="0.3">
      <c r="B2198" s="3"/>
      <c r="Q2198" s="1"/>
      <c r="R2198" s="1"/>
      <c r="S2198" s="2"/>
      <c r="T2198" s="2">
        <v>2084</v>
      </c>
      <c r="U2198" s="48" t="s">
        <v>93</v>
      </c>
      <c r="V2198" s="2"/>
      <c r="W2198" s="2"/>
      <c r="X2198" s="2"/>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row>
    <row r="2199" spans="2:47" ht="14.25" customHeight="1" x14ac:dyDescent="0.3">
      <c r="B2199" s="3"/>
      <c r="Q2199" s="1"/>
      <c r="R2199" s="1"/>
      <c r="S2199" s="2"/>
      <c r="T2199" s="2">
        <v>2085</v>
      </c>
      <c r="U2199" s="48" t="s">
        <v>93</v>
      </c>
      <c r="V2199" s="2"/>
      <c r="W2199" s="2"/>
      <c r="X2199" s="2"/>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row>
    <row r="2200" spans="2:47" ht="14.25" customHeight="1" x14ac:dyDescent="0.3">
      <c r="B2200" s="3"/>
      <c r="Q2200" s="1"/>
      <c r="R2200" s="1"/>
      <c r="S2200" s="2"/>
      <c r="T2200" s="2">
        <v>2086</v>
      </c>
      <c r="U2200" s="48" t="s">
        <v>93</v>
      </c>
      <c r="V2200" s="2"/>
      <c r="W2200" s="2"/>
      <c r="X2200" s="2"/>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row>
    <row r="2201" spans="2:47" ht="14.25" customHeight="1" x14ac:dyDescent="0.3">
      <c r="B2201" s="3"/>
      <c r="Q2201" s="1"/>
      <c r="R2201" s="1"/>
      <c r="S2201" s="2"/>
      <c r="T2201" s="2">
        <v>2087</v>
      </c>
      <c r="U2201" s="48" t="s">
        <v>93</v>
      </c>
      <c r="V2201" s="2"/>
      <c r="W2201" s="2"/>
      <c r="X2201" s="2"/>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row>
    <row r="2202" spans="2:47" ht="14.25" customHeight="1" x14ac:dyDescent="0.3">
      <c r="B2202" s="3"/>
      <c r="Q2202" s="1"/>
      <c r="R2202" s="1"/>
      <c r="S2202" s="2"/>
      <c r="T2202" s="2">
        <v>2088</v>
      </c>
      <c r="U2202" s="48" t="s">
        <v>93</v>
      </c>
      <c r="V2202" s="2"/>
      <c r="W2202" s="2"/>
      <c r="X2202" s="2"/>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row>
    <row r="2203" spans="2:47" ht="14.25" customHeight="1" x14ac:dyDescent="0.3">
      <c r="B2203" s="3"/>
      <c r="Q2203" s="1"/>
      <c r="R2203" s="1"/>
      <c r="S2203" s="2"/>
      <c r="T2203" s="2">
        <v>2089</v>
      </c>
      <c r="U2203" s="48" t="s">
        <v>93</v>
      </c>
      <c r="V2203" s="2"/>
      <c r="W2203" s="2"/>
      <c r="X2203" s="2"/>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row>
    <row r="2204" spans="2:47" ht="14.25" customHeight="1" x14ac:dyDescent="0.3">
      <c r="B2204" s="3"/>
      <c r="Q2204" s="1"/>
      <c r="R2204" s="1"/>
      <c r="S2204" s="2"/>
      <c r="T2204" s="2">
        <v>2090</v>
      </c>
      <c r="U2204" s="48" t="s">
        <v>93</v>
      </c>
      <c r="V2204" s="2"/>
      <c r="W2204" s="2"/>
      <c r="X2204" s="2"/>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row>
    <row r="2205" spans="2:47" ht="14.25" customHeight="1" x14ac:dyDescent="0.3">
      <c r="B2205" s="3"/>
      <c r="Q2205" s="1"/>
      <c r="R2205" s="1"/>
      <c r="S2205" s="2"/>
      <c r="T2205" s="2">
        <v>2091</v>
      </c>
      <c r="U2205" s="48" t="s">
        <v>93</v>
      </c>
      <c r="V2205" s="2"/>
      <c r="W2205" s="2"/>
      <c r="X2205" s="2"/>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row>
    <row r="2206" spans="2:47" ht="14.25" customHeight="1" x14ac:dyDescent="0.3">
      <c r="B2206" s="3"/>
      <c r="Q2206" s="1"/>
      <c r="R2206" s="1"/>
      <c r="S2206" s="2"/>
      <c r="T2206" s="2">
        <v>2092</v>
      </c>
      <c r="U2206" s="48" t="s">
        <v>93</v>
      </c>
      <c r="V2206" s="2"/>
      <c r="W2206" s="2"/>
      <c r="X2206" s="2"/>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row>
    <row r="2207" spans="2:47" ht="14.25" customHeight="1" x14ac:dyDescent="0.3">
      <c r="B2207" s="3"/>
      <c r="Q2207" s="1"/>
      <c r="R2207" s="1"/>
      <c r="S2207" s="2"/>
      <c r="T2207" s="2">
        <v>2093</v>
      </c>
      <c r="U2207" s="48" t="s">
        <v>93</v>
      </c>
      <c r="V2207" s="2"/>
      <c r="W2207" s="2"/>
      <c r="X2207" s="2"/>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row>
    <row r="2208" spans="2:47" ht="14.25" customHeight="1" x14ac:dyDescent="0.3">
      <c r="B2208" s="3"/>
      <c r="Q2208" s="1"/>
      <c r="R2208" s="1"/>
      <c r="S2208" s="2"/>
      <c r="T2208" s="2">
        <v>2094</v>
      </c>
      <c r="U2208" s="48" t="s">
        <v>93</v>
      </c>
      <c r="V2208" s="2"/>
      <c r="W2208" s="2"/>
      <c r="X2208" s="2"/>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row>
    <row r="2209" spans="2:47" ht="14.25" customHeight="1" x14ac:dyDescent="0.3">
      <c r="B2209" s="3"/>
      <c r="Q2209" s="1"/>
      <c r="R2209" s="1"/>
      <c r="S2209" s="2"/>
      <c r="T2209" s="2">
        <v>2095</v>
      </c>
      <c r="U2209" s="48" t="s">
        <v>93</v>
      </c>
      <c r="V2209" s="2"/>
      <c r="W2209" s="2"/>
      <c r="X2209" s="2"/>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row>
    <row r="2210" spans="2:47" ht="14.25" customHeight="1" x14ac:dyDescent="0.3">
      <c r="B2210" s="3"/>
      <c r="Q2210" s="1"/>
      <c r="R2210" s="1"/>
      <c r="S2210" s="2"/>
      <c r="T2210" s="2">
        <v>2096</v>
      </c>
      <c r="U2210" s="48" t="s">
        <v>93</v>
      </c>
      <c r="V2210" s="2"/>
      <c r="W2210" s="2"/>
      <c r="X2210" s="2"/>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row>
    <row r="2211" spans="2:47" ht="14.25" customHeight="1" x14ac:dyDescent="0.3">
      <c r="B2211" s="3"/>
      <c r="Q2211" s="1"/>
      <c r="R2211" s="1"/>
      <c r="S2211" s="2"/>
      <c r="T2211" s="2">
        <v>2097</v>
      </c>
      <c r="U2211" s="48" t="s">
        <v>93</v>
      </c>
      <c r="V2211" s="2"/>
      <c r="W2211" s="2"/>
      <c r="X2211" s="2"/>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row>
    <row r="2212" spans="2:47" ht="14.25" customHeight="1" x14ac:dyDescent="0.3">
      <c r="B2212" s="3"/>
      <c r="Q2212" s="1"/>
      <c r="R2212" s="1"/>
      <c r="S2212" s="2"/>
      <c r="T2212" s="2">
        <v>2098</v>
      </c>
      <c r="U2212" s="48" t="s">
        <v>93</v>
      </c>
      <c r="V2212" s="2"/>
      <c r="W2212" s="2"/>
      <c r="X2212" s="2"/>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row>
    <row r="2213" spans="2:47" ht="14.25" customHeight="1" x14ac:dyDescent="0.3">
      <c r="B2213" s="3"/>
      <c r="Q2213" s="1"/>
      <c r="R2213" s="1"/>
      <c r="S2213" s="2"/>
      <c r="T2213" s="2">
        <v>2099</v>
      </c>
      <c r="U2213" s="48" t="s">
        <v>93</v>
      </c>
      <c r="V2213" s="2"/>
      <c r="W2213" s="2"/>
      <c r="X2213" s="2"/>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row>
    <row r="2214" spans="2:47" ht="14.25" customHeight="1" x14ac:dyDescent="0.3">
      <c r="B2214" s="3"/>
      <c r="Q2214" s="1"/>
      <c r="R2214" s="1"/>
      <c r="S2214" s="2"/>
      <c r="T2214" s="2">
        <v>2100</v>
      </c>
      <c r="U2214" s="48" t="s">
        <v>93</v>
      </c>
      <c r="V2214" s="2"/>
      <c r="W2214" s="2"/>
      <c r="X2214" s="2"/>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row>
    <row r="2215" spans="2:47" ht="14.25" customHeight="1" x14ac:dyDescent="0.3">
      <c r="B2215" s="3"/>
      <c r="Q2215" s="1"/>
      <c r="R2215" s="1"/>
      <c r="S2215" s="2"/>
      <c r="T2215" s="2">
        <v>2101</v>
      </c>
      <c r="U2215" s="48" t="s">
        <v>93</v>
      </c>
      <c r="V2215" s="2"/>
      <c r="W2215" s="2"/>
      <c r="X2215" s="2"/>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row>
    <row r="2216" spans="2:47" ht="14.25" customHeight="1" x14ac:dyDescent="0.3">
      <c r="B2216" s="3"/>
      <c r="Q2216" s="1"/>
      <c r="R2216" s="1"/>
      <c r="S2216" s="2"/>
      <c r="T2216" s="2">
        <v>2102</v>
      </c>
      <c r="U2216" s="48" t="s">
        <v>93</v>
      </c>
      <c r="V2216" s="2"/>
      <c r="W2216" s="2"/>
      <c r="X2216" s="2"/>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row>
    <row r="2217" spans="2:47" ht="14.25" customHeight="1" x14ac:dyDescent="0.3">
      <c r="B2217" s="3"/>
      <c r="Q2217" s="1"/>
      <c r="R2217" s="1"/>
      <c r="S2217" s="2"/>
      <c r="T2217" s="2">
        <v>2103</v>
      </c>
      <c r="U2217" s="48" t="s">
        <v>93</v>
      </c>
      <c r="V2217" s="2"/>
      <c r="W2217" s="2"/>
      <c r="X2217" s="2"/>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row>
    <row r="2218" spans="2:47" ht="14.25" customHeight="1" x14ac:dyDescent="0.3">
      <c r="B2218" s="3"/>
      <c r="Q2218" s="1"/>
      <c r="R2218" s="1"/>
      <c r="S2218" s="2"/>
      <c r="T2218" s="2">
        <v>2104</v>
      </c>
      <c r="U2218" s="48" t="s">
        <v>93</v>
      </c>
      <c r="V2218" s="2"/>
      <c r="W2218" s="2"/>
      <c r="X2218" s="2"/>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row>
    <row r="2219" spans="2:47" ht="14.25" customHeight="1" x14ac:dyDescent="0.3">
      <c r="B2219" s="3"/>
      <c r="Q2219" s="1"/>
      <c r="R2219" s="1"/>
      <c r="S2219" s="2"/>
      <c r="T2219" s="2">
        <v>2105</v>
      </c>
      <c r="U2219" s="48" t="s">
        <v>93</v>
      </c>
      <c r="V2219" s="2"/>
      <c r="W2219" s="2"/>
      <c r="X2219" s="2"/>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row>
    <row r="2220" spans="2:47" ht="14.25" customHeight="1" x14ac:dyDescent="0.3">
      <c r="B2220" s="3"/>
      <c r="Q2220" s="1"/>
      <c r="R2220" s="1"/>
      <c r="S2220" s="2"/>
      <c r="T2220" s="2">
        <v>2106</v>
      </c>
      <c r="U2220" s="48" t="s">
        <v>93</v>
      </c>
      <c r="V2220" s="2"/>
      <c r="W2220" s="2"/>
      <c r="X2220" s="2"/>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row>
    <row r="2221" spans="2:47" ht="14.25" customHeight="1" x14ac:dyDescent="0.3">
      <c r="B2221" s="3"/>
      <c r="Q2221" s="1"/>
      <c r="R2221" s="1"/>
      <c r="S2221" s="2"/>
      <c r="T2221" s="2">
        <v>2107</v>
      </c>
      <c r="U2221" s="48" t="s">
        <v>93</v>
      </c>
      <c r="V2221" s="2"/>
      <c r="W2221" s="2"/>
      <c r="X2221" s="2"/>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row>
    <row r="2222" spans="2:47" ht="14.25" customHeight="1" x14ac:dyDescent="0.3">
      <c r="B2222" s="3"/>
      <c r="Q2222" s="1"/>
      <c r="R2222" s="1"/>
      <c r="S2222" s="2"/>
      <c r="T2222" s="2">
        <v>2108</v>
      </c>
      <c r="U2222" s="48" t="s">
        <v>93</v>
      </c>
      <c r="V2222" s="2"/>
      <c r="W2222" s="2"/>
      <c r="X2222" s="2"/>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row>
    <row r="2223" spans="2:47" ht="14.25" customHeight="1" x14ac:dyDescent="0.3">
      <c r="B2223" s="3"/>
      <c r="Q2223" s="1"/>
      <c r="R2223" s="1"/>
      <c r="S2223" s="2"/>
      <c r="T2223" s="2">
        <v>2109</v>
      </c>
      <c r="U2223" s="48" t="s">
        <v>93</v>
      </c>
      <c r="V2223" s="2"/>
      <c r="W2223" s="2"/>
      <c r="X2223" s="2"/>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row>
    <row r="2224" spans="2:47" ht="14.25" customHeight="1" x14ac:dyDescent="0.3">
      <c r="B2224" s="3"/>
      <c r="Q2224" s="1"/>
      <c r="R2224" s="1"/>
      <c r="S2224" s="2"/>
      <c r="T2224" s="2">
        <v>2110</v>
      </c>
      <c r="U2224" s="48" t="s">
        <v>93</v>
      </c>
      <c r="V2224" s="2"/>
      <c r="W2224" s="2"/>
      <c r="X2224" s="2"/>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row>
    <row r="2225" spans="2:47" ht="14.25" customHeight="1" x14ac:dyDescent="0.3">
      <c r="B2225" s="3"/>
      <c r="Q2225" s="1"/>
      <c r="R2225" s="1"/>
      <c r="S2225" s="2"/>
      <c r="T2225" s="2">
        <v>2111</v>
      </c>
      <c r="U2225" s="48" t="s">
        <v>93</v>
      </c>
      <c r="V2225" s="2"/>
      <c r="W2225" s="2"/>
      <c r="X2225" s="2"/>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row>
    <row r="2226" spans="2:47" ht="14.25" customHeight="1" x14ac:dyDescent="0.3">
      <c r="B2226" s="3"/>
      <c r="Q2226" s="1"/>
      <c r="R2226" s="1"/>
      <c r="S2226" s="2"/>
      <c r="T2226" s="2">
        <v>2112</v>
      </c>
      <c r="U2226" s="48" t="s">
        <v>93</v>
      </c>
      <c r="V2226" s="2"/>
      <c r="W2226" s="2"/>
      <c r="X2226" s="2"/>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row>
    <row r="2227" spans="2:47" ht="14.25" customHeight="1" x14ac:dyDescent="0.3">
      <c r="B2227" s="3"/>
      <c r="Q2227" s="1"/>
      <c r="R2227" s="1"/>
      <c r="S2227" s="2"/>
      <c r="T2227" s="2">
        <v>2113</v>
      </c>
      <c r="U2227" s="48" t="s">
        <v>93</v>
      </c>
      <c r="V2227" s="2"/>
      <c r="W2227" s="2"/>
      <c r="X2227" s="2"/>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row>
    <row r="2228" spans="2:47" ht="14.25" customHeight="1" x14ac:dyDescent="0.3">
      <c r="B2228" s="3"/>
      <c r="Q2228" s="1"/>
      <c r="R2228" s="1"/>
      <c r="S2228" s="2"/>
      <c r="T2228" s="2">
        <v>2114</v>
      </c>
      <c r="U2228" s="48" t="s">
        <v>93</v>
      </c>
      <c r="V2228" s="2"/>
      <c r="W2228" s="2"/>
      <c r="X2228" s="2"/>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row>
    <row r="2229" spans="2:47" ht="14.25" customHeight="1" x14ac:dyDescent="0.3">
      <c r="B2229" s="3"/>
      <c r="Q2229" s="1"/>
      <c r="R2229" s="1"/>
      <c r="S2229" s="2"/>
      <c r="T2229" s="2">
        <v>2115</v>
      </c>
      <c r="U2229" s="48" t="s">
        <v>93</v>
      </c>
      <c r="V2229" s="2"/>
      <c r="W2229" s="2"/>
      <c r="X2229" s="2"/>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row>
    <row r="2230" spans="2:47" ht="14.25" customHeight="1" x14ac:dyDescent="0.3">
      <c r="B2230" s="3"/>
      <c r="Q2230" s="1"/>
      <c r="R2230" s="1"/>
      <c r="S2230" s="2"/>
      <c r="T2230" s="2">
        <v>2116</v>
      </c>
      <c r="U2230" s="48" t="s">
        <v>93</v>
      </c>
      <c r="V2230" s="2"/>
      <c r="W2230" s="2"/>
      <c r="X2230" s="2"/>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row>
    <row r="2231" spans="2:47" ht="14.25" customHeight="1" x14ac:dyDescent="0.3">
      <c r="B2231" s="3"/>
      <c r="Q2231" s="1"/>
      <c r="R2231" s="1"/>
      <c r="S2231" s="2"/>
      <c r="T2231" s="2">
        <v>2117</v>
      </c>
      <c r="U2231" s="48" t="s">
        <v>93</v>
      </c>
      <c r="V2231" s="2"/>
      <c r="W2231" s="2"/>
      <c r="X2231" s="2"/>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row>
    <row r="2232" spans="2:47" ht="14.25" customHeight="1" x14ac:dyDescent="0.3">
      <c r="B2232" s="3"/>
      <c r="Q2232" s="1"/>
      <c r="R2232" s="1"/>
      <c r="S2232" s="2"/>
      <c r="T2232" s="2">
        <v>2118</v>
      </c>
      <c r="U2232" s="48" t="s">
        <v>93</v>
      </c>
      <c r="V2232" s="2"/>
      <c r="W2232" s="2"/>
      <c r="X2232" s="2"/>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row>
    <row r="2233" spans="2:47" ht="14.25" customHeight="1" x14ac:dyDescent="0.3">
      <c r="B2233" s="3"/>
      <c r="Q2233" s="1"/>
      <c r="R2233" s="1"/>
      <c r="S2233" s="2"/>
      <c r="T2233" s="2">
        <v>2119</v>
      </c>
      <c r="U2233" s="48" t="s">
        <v>93</v>
      </c>
      <c r="V2233" s="2"/>
      <c r="W2233" s="2"/>
      <c r="X2233" s="2"/>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row>
    <row r="2234" spans="2:47" ht="14.25" customHeight="1" x14ac:dyDescent="0.3">
      <c r="B2234" s="3"/>
      <c r="Q2234" s="1"/>
      <c r="R2234" s="1"/>
      <c r="S2234" s="2"/>
      <c r="T2234" s="2">
        <v>2120</v>
      </c>
      <c r="U2234" s="48" t="s">
        <v>93</v>
      </c>
      <c r="V2234" s="2"/>
      <c r="W2234" s="2"/>
      <c r="X2234" s="2"/>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row>
    <row r="2235" spans="2:47" ht="14.25" customHeight="1" x14ac:dyDescent="0.3">
      <c r="B2235" s="3"/>
      <c r="Q2235" s="1"/>
      <c r="R2235" s="1"/>
      <c r="S2235" s="2"/>
      <c r="T2235" s="2">
        <v>2121</v>
      </c>
      <c r="U2235" s="48" t="s">
        <v>93</v>
      </c>
      <c r="V2235" s="2"/>
      <c r="W2235" s="2"/>
      <c r="X2235" s="2"/>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row>
    <row r="2236" spans="2:47" ht="14.25" customHeight="1" x14ac:dyDescent="0.3">
      <c r="B2236" s="3"/>
      <c r="Q2236" s="1"/>
      <c r="R2236" s="1"/>
      <c r="S2236" s="2"/>
      <c r="T2236" s="2">
        <v>2122</v>
      </c>
      <c r="U2236" s="48" t="s">
        <v>93</v>
      </c>
      <c r="V2236" s="2"/>
      <c r="W2236" s="2"/>
      <c r="X2236" s="2"/>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row>
    <row r="2237" spans="2:47" ht="14.25" customHeight="1" x14ac:dyDescent="0.3">
      <c r="B2237" s="3"/>
      <c r="Q2237" s="1"/>
      <c r="R2237" s="1"/>
      <c r="S2237" s="2"/>
      <c r="T2237" s="2">
        <v>2123</v>
      </c>
      <c r="U2237" s="48" t="s">
        <v>93</v>
      </c>
      <c r="V2237" s="2"/>
      <c r="W2237" s="2"/>
      <c r="X2237" s="2"/>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row>
    <row r="2238" spans="2:47" ht="14.25" customHeight="1" x14ac:dyDescent="0.3">
      <c r="B2238" s="3"/>
      <c r="Q2238" s="1"/>
      <c r="R2238" s="1"/>
      <c r="S2238" s="2"/>
      <c r="T2238" s="2">
        <v>2124</v>
      </c>
      <c r="U2238" s="48" t="s">
        <v>93</v>
      </c>
      <c r="V2238" s="2"/>
      <c r="W2238" s="2"/>
      <c r="X2238" s="2"/>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row>
    <row r="2239" spans="2:47" ht="14.25" customHeight="1" x14ac:dyDescent="0.3">
      <c r="B2239" s="3"/>
      <c r="Q2239" s="1"/>
      <c r="R2239" s="1"/>
      <c r="S2239" s="2"/>
      <c r="T2239" s="2">
        <v>2125</v>
      </c>
      <c r="U2239" s="48" t="s">
        <v>93</v>
      </c>
      <c r="V2239" s="2"/>
      <c r="W2239" s="2"/>
      <c r="X2239" s="2"/>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row>
    <row r="2240" spans="2:47" ht="14.25" customHeight="1" x14ac:dyDescent="0.3">
      <c r="B2240" s="3"/>
      <c r="Q2240" s="1"/>
      <c r="R2240" s="1"/>
      <c r="S2240" s="2"/>
      <c r="T2240" s="2">
        <v>2126</v>
      </c>
      <c r="U2240" s="48" t="s">
        <v>93</v>
      </c>
      <c r="V2240" s="2"/>
      <c r="W2240" s="2"/>
      <c r="X2240" s="2"/>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row>
    <row r="2241" spans="2:47" ht="14.25" customHeight="1" x14ac:dyDescent="0.3">
      <c r="B2241" s="3"/>
      <c r="Q2241" s="1"/>
      <c r="R2241" s="1"/>
      <c r="S2241" s="2"/>
      <c r="T2241" s="2">
        <v>2127</v>
      </c>
      <c r="U2241" s="48" t="s">
        <v>93</v>
      </c>
      <c r="V2241" s="2"/>
      <c r="W2241" s="2"/>
      <c r="X2241" s="2"/>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row>
    <row r="2242" spans="2:47" ht="14.25" customHeight="1" x14ac:dyDescent="0.3">
      <c r="B2242" s="3"/>
      <c r="Q2242" s="1"/>
      <c r="R2242" s="1"/>
      <c r="S2242" s="2"/>
      <c r="T2242" s="2">
        <v>2128</v>
      </c>
      <c r="U2242" s="48" t="s">
        <v>93</v>
      </c>
      <c r="V2242" s="2"/>
      <c r="W2242" s="2"/>
      <c r="X2242" s="2"/>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row>
    <row r="2243" spans="2:47" ht="14.25" customHeight="1" x14ac:dyDescent="0.3">
      <c r="B2243" s="3"/>
      <c r="Q2243" s="1"/>
      <c r="R2243" s="1"/>
      <c r="S2243" s="2"/>
      <c r="T2243" s="2">
        <v>2129</v>
      </c>
      <c r="U2243" s="48" t="s">
        <v>93</v>
      </c>
      <c r="V2243" s="2"/>
      <c r="W2243" s="2"/>
      <c r="X2243" s="2"/>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row>
    <row r="2244" spans="2:47" ht="14.25" customHeight="1" x14ac:dyDescent="0.3">
      <c r="B2244" s="3"/>
      <c r="Q2244" s="1"/>
      <c r="R2244" s="1"/>
      <c r="S2244" s="2"/>
      <c r="T2244" s="2">
        <v>2130</v>
      </c>
      <c r="U2244" s="48" t="s">
        <v>93</v>
      </c>
      <c r="V2244" s="2"/>
      <c r="W2244" s="2"/>
      <c r="X2244" s="2"/>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row>
    <row r="2245" spans="2:47" ht="14.25" customHeight="1" x14ac:dyDescent="0.3">
      <c r="B2245" s="3"/>
      <c r="Q2245" s="1"/>
      <c r="R2245" s="1"/>
      <c r="S2245" s="2"/>
      <c r="T2245" s="2">
        <v>2131</v>
      </c>
      <c r="U2245" s="48" t="s">
        <v>93</v>
      </c>
      <c r="V2245" s="2"/>
      <c r="W2245" s="2"/>
      <c r="X2245" s="2"/>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row>
    <row r="2246" spans="2:47" ht="14.25" customHeight="1" x14ac:dyDescent="0.3">
      <c r="B2246" s="3"/>
      <c r="Q2246" s="1"/>
      <c r="R2246" s="1"/>
      <c r="S2246" s="2"/>
      <c r="T2246" s="2">
        <v>2132</v>
      </c>
      <c r="U2246" s="48" t="s">
        <v>93</v>
      </c>
      <c r="V2246" s="2"/>
      <c r="W2246" s="2"/>
      <c r="X2246" s="2"/>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row>
    <row r="2247" spans="2:47" ht="14.25" customHeight="1" x14ac:dyDescent="0.3">
      <c r="B2247" s="3"/>
      <c r="Q2247" s="1"/>
      <c r="R2247" s="1"/>
      <c r="S2247" s="2"/>
      <c r="T2247" s="2">
        <v>2133</v>
      </c>
      <c r="U2247" s="48" t="s">
        <v>93</v>
      </c>
      <c r="V2247" s="2"/>
      <c r="W2247" s="2"/>
      <c r="X2247" s="2"/>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row>
    <row r="2248" spans="2:47" ht="14.25" customHeight="1" x14ac:dyDescent="0.3">
      <c r="B2248" s="3"/>
      <c r="Q2248" s="1"/>
      <c r="R2248" s="1"/>
      <c r="S2248" s="2"/>
      <c r="T2248" s="2">
        <v>2134</v>
      </c>
      <c r="U2248" s="48" t="s">
        <v>93</v>
      </c>
      <c r="V2248" s="2"/>
      <c r="W2248" s="2"/>
      <c r="X2248" s="2"/>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row>
    <row r="2249" spans="2:47" ht="14.25" customHeight="1" x14ac:dyDescent="0.3">
      <c r="B2249" s="3"/>
      <c r="Q2249" s="1"/>
      <c r="R2249" s="1"/>
      <c r="S2249" s="2"/>
      <c r="T2249" s="2">
        <v>2135</v>
      </c>
      <c r="U2249" s="48" t="s">
        <v>93</v>
      </c>
      <c r="V2249" s="2"/>
      <c r="W2249" s="2"/>
      <c r="X2249" s="2"/>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row>
    <row r="2250" spans="2:47" ht="14.25" customHeight="1" x14ac:dyDescent="0.3">
      <c r="B2250" s="3"/>
      <c r="Q2250" s="1"/>
      <c r="R2250" s="1"/>
      <c r="S2250" s="2"/>
      <c r="T2250" s="2">
        <v>2136</v>
      </c>
      <c r="U2250" s="48" t="s">
        <v>93</v>
      </c>
      <c r="V2250" s="2"/>
      <c r="W2250" s="2"/>
      <c r="X2250" s="2"/>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row>
    <row r="2251" spans="2:47" ht="14.25" customHeight="1" x14ac:dyDescent="0.3">
      <c r="B2251" s="3"/>
      <c r="Q2251" s="1"/>
      <c r="R2251" s="1"/>
      <c r="S2251" s="2"/>
      <c r="T2251" s="2">
        <v>2137</v>
      </c>
      <c r="U2251" s="48" t="s">
        <v>93</v>
      </c>
      <c r="V2251" s="2"/>
      <c r="W2251" s="2"/>
      <c r="X2251" s="2"/>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row>
    <row r="2252" spans="2:47" ht="14.25" customHeight="1" x14ac:dyDescent="0.3">
      <c r="B2252" s="3"/>
      <c r="Q2252" s="1"/>
      <c r="R2252" s="1"/>
      <c r="S2252" s="2"/>
      <c r="T2252" s="2">
        <v>2138</v>
      </c>
      <c r="U2252" s="48" t="s">
        <v>93</v>
      </c>
      <c r="V2252" s="2"/>
      <c r="W2252" s="2"/>
      <c r="X2252" s="2"/>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row>
    <row r="2253" spans="2:47" ht="14.25" customHeight="1" x14ac:dyDescent="0.3">
      <c r="B2253" s="3"/>
      <c r="Q2253" s="1"/>
      <c r="R2253" s="1"/>
      <c r="S2253" s="2"/>
      <c r="T2253" s="2">
        <v>2139</v>
      </c>
      <c r="U2253" s="48" t="s">
        <v>93</v>
      </c>
      <c r="V2253" s="2"/>
      <c r="W2253" s="2"/>
      <c r="X2253" s="2"/>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row>
    <row r="2254" spans="2:47" ht="14.25" customHeight="1" x14ac:dyDescent="0.3">
      <c r="B2254" s="3"/>
      <c r="Q2254" s="1"/>
      <c r="R2254" s="1"/>
      <c r="S2254" s="2"/>
      <c r="T2254" s="2">
        <v>2140</v>
      </c>
      <c r="U2254" s="48" t="s">
        <v>93</v>
      </c>
      <c r="V2254" s="2"/>
      <c r="W2254" s="2"/>
      <c r="X2254" s="2"/>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row>
    <row r="2255" spans="2:47" ht="14.25" customHeight="1" x14ac:dyDescent="0.3">
      <c r="B2255" s="3"/>
      <c r="Q2255" s="1"/>
      <c r="R2255" s="1"/>
      <c r="S2255" s="2"/>
      <c r="T2255" s="2">
        <v>2141</v>
      </c>
      <c r="U2255" s="48" t="s">
        <v>93</v>
      </c>
      <c r="V2255" s="2"/>
      <c r="W2255" s="2"/>
      <c r="X2255" s="2"/>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row>
    <row r="2256" spans="2:47" ht="14.25" customHeight="1" x14ac:dyDescent="0.3">
      <c r="B2256" s="3"/>
      <c r="Q2256" s="1"/>
      <c r="R2256" s="1"/>
      <c r="S2256" s="2"/>
      <c r="T2256" s="2">
        <v>2142</v>
      </c>
      <c r="U2256" s="48" t="s">
        <v>93</v>
      </c>
      <c r="V2256" s="2"/>
      <c r="W2256" s="2"/>
      <c r="X2256" s="2"/>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row>
    <row r="2257" spans="2:47" ht="14.25" customHeight="1" x14ac:dyDescent="0.3">
      <c r="B2257" s="3"/>
      <c r="Q2257" s="1"/>
      <c r="R2257" s="1"/>
      <c r="S2257" s="2"/>
      <c r="T2257" s="2">
        <v>2143</v>
      </c>
      <c r="U2257" s="48" t="s">
        <v>93</v>
      </c>
      <c r="V2257" s="2"/>
      <c r="W2257" s="2"/>
      <c r="X2257" s="2"/>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row>
    <row r="2258" spans="2:47" ht="14.25" customHeight="1" x14ac:dyDescent="0.3">
      <c r="B2258" s="3"/>
      <c r="Q2258" s="1"/>
      <c r="R2258" s="1"/>
      <c r="S2258" s="2"/>
      <c r="T2258" s="2">
        <v>2144</v>
      </c>
      <c r="U2258" s="48" t="s">
        <v>93</v>
      </c>
      <c r="V2258" s="2"/>
      <c r="W2258" s="2"/>
      <c r="X2258" s="2"/>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row>
    <row r="2259" spans="2:47" ht="14.25" customHeight="1" x14ac:dyDescent="0.3">
      <c r="B2259" s="3"/>
      <c r="Q2259" s="1"/>
      <c r="R2259" s="1"/>
      <c r="S2259" s="2"/>
      <c r="T2259" s="2">
        <v>2145</v>
      </c>
      <c r="U2259" s="48" t="s">
        <v>93</v>
      </c>
      <c r="V2259" s="2"/>
      <c r="W2259" s="2"/>
      <c r="X2259" s="2"/>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row>
    <row r="2260" spans="2:47" ht="14.25" customHeight="1" x14ac:dyDescent="0.3">
      <c r="B2260" s="3"/>
      <c r="Q2260" s="1"/>
      <c r="R2260" s="1"/>
      <c r="S2260" s="2"/>
      <c r="T2260" s="2">
        <v>2146</v>
      </c>
      <c r="U2260" s="48" t="s">
        <v>93</v>
      </c>
      <c r="V2260" s="2"/>
      <c r="W2260" s="2"/>
      <c r="X2260" s="2"/>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row>
    <row r="2261" spans="2:47" ht="14.25" customHeight="1" x14ac:dyDescent="0.3">
      <c r="B2261" s="3"/>
      <c r="Q2261" s="1"/>
      <c r="R2261" s="1"/>
      <c r="S2261" s="2"/>
      <c r="T2261" s="2">
        <v>2147</v>
      </c>
      <c r="U2261" s="48" t="s">
        <v>93</v>
      </c>
      <c r="V2261" s="2"/>
      <c r="W2261" s="2"/>
      <c r="X2261" s="2"/>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row>
    <row r="2262" spans="2:47" ht="14.25" customHeight="1" x14ac:dyDescent="0.3">
      <c r="B2262" s="3"/>
      <c r="Q2262" s="1"/>
      <c r="R2262" s="1"/>
      <c r="S2262" s="2"/>
      <c r="T2262" s="2">
        <v>2148</v>
      </c>
      <c r="U2262" s="48" t="s">
        <v>93</v>
      </c>
      <c r="V2262" s="2"/>
      <c r="W2262" s="2"/>
      <c r="X2262" s="2"/>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row>
    <row r="2263" spans="2:47" ht="14.25" customHeight="1" x14ac:dyDescent="0.3">
      <c r="B2263" s="3"/>
      <c r="Q2263" s="1"/>
      <c r="R2263" s="1"/>
      <c r="S2263" s="2"/>
      <c r="T2263" s="2">
        <v>2149</v>
      </c>
      <c r="U2263" s="48" t="s">
        <v>93</v>
      </c>
      <c r="V2263" s="2"/>
      <c r="W2263" s="2"/>
      <c r="X2263" s="2"/>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row>
    <row r="2264" spans="2:47" ht="14.25" customHeight="1" x14ac:dyDescent="0.3">
      <c r="B2264" s="3"/>
      <c r="Q2264" s="1"/>
      <c r="R2264" s="1"/>
      <c r="S2264" s="2"/>
      <c r="T2264" s="2">
        <v>2150</v>
      </c>
      <c r="U2264" s="48" t="s">
        <v>93</v>
      </c>
      <c r="V2264" s="2"/>
      <c r="W2264" s="2"/>
      <c r="X2264" s="2"/>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row>
    <row r="2265" spans="2:47" ht="14.25" customHeight="1" x14ac:dyDescent="0.3">
      <c r="B2265" s="3"/>
      <c r="Q2265" s="1"/>
      <c r="R2265" s="1"/>
      <c r="S2265" s="2"/>
      <c r="T2265" s="2">
        <v>2151</v>
      </c>
      <c r="U2265" s="48" t="s">
        <v>93</v>
      </c>
      <c r="V2265" s="2"/>
      <c r="W2265" s="2"/>
      <c r="X2265" s="2"/>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row>
    <row r="2266" spans="2:47" ht="14.25" customHeight="1" x14ac:dyDescent="0.3">
      <c r="B2266" s="3"/>
      <c r="Q2266" s="1"/>
      <c r="R2266" s="1"/>
      <c r="S2266" s="2"/>
      <c r="T2266" s="2">
        <v>2152</v>
      </c>
      <c r="U2266" s="48" t="s">
        <v>93</v>
      </c>
      <c r="V2266" s="2"/>
      <c r="W2266" s="2"/>
      <c r="X2266" s="2"/>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row>
    <row r="2267" spans="2:47" ht="14.25" customHeight="1" x14ac:dyDescent="0.3">
      <c r="B2267" s="3"/>
      <c r="Q2267" s="1"/>
      <c r="R2267" s="1"/>
      <c r="S2267" s="2"/>
      <c r="T2267" s="2">
        <v>2153</v>
      </c>
      <c r="U2267" s="48" t="s">
        <v>93</v>
      </c>
      <c r="V2267" s="2"/>
      <c r="W2267" s="2"/>
      <c r="X2267" s="2"/>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row>
    <row r="2268" spans="2:47" ht="14.25" customHeight="1" x14ac:dyDescent="0.3">
      <c r="B2268" s="3"/>
      <c r="Q2268" s="1"/>
      <c r="R2268" s="1"/>
      <c r="S2268" s="2"/>
      <c r="T2268" s="2">
        <v>2154</v>
      </c>
      <c r="U2268" s="48" t="s">
        <v>93</v>
      </c>
      <c r="V2268" s="2"/>
      <c r="W2268" s="2"/>
      <c r="X2268" s="2"/>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row>
    <row r="2269" spans="2:47" ht="14.25" customHeight="1" x14ac:dyDescent="0.3">
      <c r="B2269" s="3"/>
      <c r="Q2269" s="1"/>
      <c r="R2269" s="1"/>
      <c r="S2269" s="2"/>
      <c r="T2269" s="2">
        <v>2155</v>
      </c>
      <c r="U2269" s="48" t="s">
        <v>93</v>
      </c>
      <c r="V2269" s="2"/>
      <c r="W2269" s="2"/>
      <c r="X2269" s="2"/>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row>
    <row r="2270" spans="2:47" ht="14.25" customHeight="1" x14ac:dyDescent="0.3">
      <c r="B2270" s="3"/>
      <c r="Q2270" s="1"/>
      <c r="R2270" s="1"/>
      <c r="S2270" s="2"/>
      <c r="T2270" s="2">
        <v>2156</v>
      </c>
      <c r="U2270" s="48" t="s">
        <v>93</v>
      </c>
      <c r="V2270" s="2"/>
      <c r="W2270" s="2"/>
      <c r="X2270" s="2"/>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row>
    <row r="2271" spans="2:47" ht="14.25" customHeight="1" x14ac:dyDescent="0.3">
      <c r="B2271" s="3"/>
      <c r="Q2271" s="1"/>
      <c r="R2271" s="1"/>
      <c r="S2271" s="2"/>
      <c r="T2271" s="2">
        <v>2157</v>
      </c>
      <c r="U2271" s="48" t="s">
        <v>93</v>
      </c>
      <c r="V2271" s="2"/>
      <c r="W2271" s="2"/>
      <c r="X2271" s="2"/>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row>
    <row r="2272" spans="2:47" ht="14.25" customHeight="1" x14ac:dyDescent="0.3">
      <c r="B2272" s="3"/>
      <c r="Q2272" s="1"/>
      <c r="R2272" s="1"/>
      <c r="S2272" s="2"/>
      <c r="T2272" s="2">
        <v>2158</v>
      </c>
      <c r="U2272" s="48" t="s">
        <v>93</v>
      </c>
      <c r="V2272" s="2"/>
      <c r="W2272" s="2"/>
      <c r="X2272" s="2"/>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row>
    <row r="2273" spans="2:47" ht="14.25" customHeight="1" x14ac:dyDescent="0.3">
      <c r="B2273" s="3"/>
      <c r="Q2273" s="1"/>
      <c r="R2273" s="1"/>
      <c r="S2273" s="2"/>
      <c r="T2273" s="2">
        <v>2159</v>
      </c>
      <c r="U2273" s="48" t="s">
        <v>93</v>
      </c>
      <c r="V2273" s="2"/>
      <c r="W2273" s="2"/>
      <c r="X2273" s="2"/>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row>
    <row r="2274" spans="2:47" ht="14.25" customHeight="1" x14ac:dyDescent="0.3">
      <c r="B2274" s="3"/>
      <c r="Q2274" s="1"/>
      <c r="R2274" s="1"/>
      <c r="S2274" s="2"/>
      <c r="T2274" s="2">
        <v>2160</v>
      </c>
      <c r="U2274" s="48" t="s">
        <v>93</v>
      </c>
      <c r="V2274" s="2"/>
      <c r="W2274" s="2"/>
      <c r="X2274" s="2"/>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row>
    <row r="2275" spans="2:47" ht="14.25" customHeight="1" x14ac:dyDescent="0.3">
      <c r="B2275" s="3"/>
      <c r="Q2275" s="1"/>
      <c r="R2275" s="1"/>
      <c r="S2275" s="2"/>
      <c r="T2275" s="2">
        <v>2161</v>
      </c>
      <c r="U2275" s="48" t="s">
        <v>93</v>
      </c>
      <c r="V2275" s="2"/>
      <c r="W2275" s="2"/>
      <c r="X2275" s="2"/>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row>
    <row r="2276" spans="2:47" ht="14.25" customHeight="1" x14ac:dyDescent="0.3">
      <c r="B2276" s="3"/>
      <c r="Q2276" s="1"/>
      <c r="R2276" s="1"/>
      <c r="S2276" s="2"/>
      <c r="T2276" s="2">
        <v>2162</v>
      </c>
      <c r="U2276" s="48" t="s">
        <v>93</v>
      </c>
      <c r="V2276" s="2"/>
      <c r="W2276" s="2"/>
      <c r="X2276" s="2"/>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row>
    <row r="2277" spans="2:47" ht="14.25" customHeight="1" x14ac:dyDescent="0.3">
      <c r="B2277" s="3"/>
      <c r="Q2277" s="1"/>
      <c r="R2277" s="1"/>
      <c r="S2277" s="2"/>
      <c r="T2277" s="2">
        <v>2163</v>
      </c>
      <c r="U2277" s="48" t="s">
        <v>93</v>
      </c>
      <c r="V2277" s="2"/>
      <c r="W2277" s="2"/>
      <c r="X2277" s="2"/>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row>
    <row r="2278" spans="2:47" ht="14.25" customHeight="1" x14ac:dyDescent="0.3">
      <c r="B2278" s="3"/>
      <c r="Q2278" s="1"/>
      <c r="R2278" s="1"/>
      <c r="S2278" s="2"/>
      <c r="T2278" s="2">
        <v>2164</v>
      </c>
      <c r="U2278" s="48" t="s">
        <v>93</v>
      </c>
      <c r="V2278" s="2"/>
      <c r="W2278" s="2"/>
      <c r="X2278" s="2"/>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row>
    <row r="2279" spans="2:47" ht="14.25" customHeight="1" x14ac:dyDescent="0.3">
      <c r="B2279" s="3"/>
      <c r="Q2279" s="1"/>
      <c r="R2279" s="1"/>
      <c r="S2279" s="2"/>
      <c r="T2279" s="2">
        <v>2165</v>
      </c>
      <c r="U2279" s="48" t="s">
        <v>93</v>
      </c>
      <c r="V2279" s="2"/>
      <c r="W2279" s="2"/>
      <c r="X2279" s="2"/>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row>
    <row r="2280" spans="2:47" ht="14.25" customHeight="1" x14ac:dyDescent="0.3">
      <c r="B2280" s="3"/>
      <c r="Q2280" s="1"/>
      <c r="R2280" s="1"/>
      <c r="S2280" s="2"/>
      <c r="T2280" s="2">
        <v>2166</v>
      </c>
      <c r="U2280" s="48" t="s">
        <v>93</v>
      </c>
      <c r="V2280" s="2"/>
      <c r="W2280" s="2"/>
      <c r="X2280" s="2"/>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row>
    <row r="2281" spans="2:47" ht="14.25" customHeight="1" x14ac:dyDescent="0.3">
      <c r="B2281" s="3"/>
      <c r="Q2281" s="1"/>
      <c r="R2281" s="1"/>
      <c r="S2281" s="2"/>
      <c r="T2281" s="2">
        <v>2167</v>
      </c>
      <c r="U2281" s="48" t="s">
        <v>93</v>
      </c>
      <c r="V2281" s="2"/>
      <c r="W2281" s="2"/>
      <c r="X2281" s="2"/>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row>
    <row r="2282" spans="2:47" ht="14.25" customHeight="1" x14ac:dyDescent="0.3">
      <c r="B2282" s="3"/>
      <c r="Q2282" s="1"/>
      <c r="R2282" s="1"/>
      <c r="S2282" s="2"/>
      <c r="T2282" s="2">
        <v>2168</v>
      </c>
      <c r="U2282" s="48" t="s">
        <v>93</v>
      </c>
      <c r="V2282" s="2"/>
      <c r="W2282" s="2"/>
      <c r="X2282" s="2"/>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row>
    <row r="2283" spans="2:47" ht="14.25" customHeight="1" x14ac:dyDescent="0.3">
      <c r="B2283" s="3"/>
      <c r="Q2283" s="1"/>
      <c r="R2283" s="1"/>
      <c r="S2283" s="2"/>
      <c r="T2283" s="2">
        <v>2169</v>
      </c>
      <c r="U2283" s="48" t="s">
        <v>93</v>
      </c>
      <c r="V2283" s="2"/>
      <c r="W2283" s="2"/>
      <c r="X2283" s="2"/>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row>
    <row r="2284" spans="2:47" ht="14.25" customHeight="1" x14ac:dyDescent="0.3">
      <c r="B2284" s="3"/>
      <c r="Q2284" s="1"/>
      <c r="R2284" s="1"/>
      <c r="S2284" s="2"/>
      <c r="T2284" s="2">
        <v>2170</v>
      </c>
      <c r="U2284" s="48" t="s">
        <v>93</v>
      </c>
      <c r="V2284" s="2"/>
      <c r="W2284" s="2"/>
      <c r="X2284" s="2"/>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row>
    <row r="2285" spans="2:47" ht="14.25" customHeight="1" x14ac:dyDescent="0.3">
      <c r="B2285" s="3"/>
      <c r="Q2285" s="1"/>
      <c r="R2285" s="1"/>
      <c r="S2285" s="2"/>
      <c r="T2285" s="2">
        <v>2171</v>
      </c>
      <c r="U2285" s="48" t="s">
        <v>93</v>
      </c>
      <c r="V2285" s="2"/>
      <c r="W2285" s="2"/>
      <c r="X2285" s="2"/>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row>
    <row r="2286" spans="2:47" ht="14.25" customHeight="1" x14ac:dyDescent="0.3">
      <c r="B2286" s="3"/>
      <c r="Q2286" s="1"/>
      <c r="R2286" s="1"/>
      <c r="S2286" s="2"/>
      <c r="T2286" s="2">
        <v>2172</v>
      </c>
      <c r="U2286" s="48" t="s">
        <v>93</v>
      </c>
      <c r="V2286" s="2"/>
      <c r="W2286" s="2"/>
      <c r="X2286" s="2"/>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row>
    <row r="2287" spans="2:47" ht="14.25" customHeight="1" x14ac:dyDescent="0.3">
      <c r="B2287" s="3"/>
      <c r="Q2287" s="1"/>
      <c r="R2287" s="1"/>
      <c r="S2287" s="2"/>
      <c r="T2287" s="2">
        <v>2173</v>
      </c>
      <c r="U2287" s="48" t="s">
        <v>93</v>
      </c>
      <c r="V2287" s="2"/>
      <c r="W2287" s="2"/>
      <c r="X2287" s="2"/>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row>
    <row r="2288" spans="2:47" ht="14.25" customHeight="1" x14ac:dyDescent="0.3">
      <c r="B2288" s="3"/>
      <c r="Q2288" s="1"/>
      <c r="R2288" s="1"/>
      <c r="S2288" s="2"/>
      <c r="T2288" s="2">
        <v>2174</v>
      </c>
      <c r="U2288" s="48" t="s">
        <v>93</v>
      </c>
      <c r="V2288" s="2"/>
      <c r="W2288" s="2"/>
      <c r="X2288" s="2"/>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row>
    <row r="2289" spans="2:47" ht="14.25" customHeight="1" x14ac:dyDescent="0.3">
      <c r="B2289" s="3"/>
      <c r="Q2289" s="1"/>
      <c r="R2289" s="1"/>
      <c r="S2289" s="2"/>
      <c r="T2289" s="2">
        <v>2175</v>
      </c>
      <c r="U2289" s="48" t="s">
        <v>93</v>
      </c>
      <c r="V2289" s="2"/>
      <c r="W2289" s="2"/>
      <c r="X2289" s="2"/>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row>
    <row r="2290" spans="2:47" ht="14.25" customHeight="1" x14ac:dyDescent="0.3">
      <c r="B2290" s="3"/>
      <c r="Q2290" s="1"/>
      <c r="R2290" s="1"/>
      <c r="S2290" s="2"/>
      <c r="T2290" s="2">
        <v>2176</v>
      </c>
      <c r="U2290" s="48" t="s">
        <v>93</v>
      </c>
      <c r="V2290" s="2"/>
      <c r="W2290" s="2"/>
      <c r="X2290" s="2"/>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row>
    <row r="2291" spans="2:47" ht="14.25" customHeight="1" x14ac:dyDescent="0.3">
      <c r="B2291" s="3"/>
      <c r="Q2291" s="1"/>
      <c r="R2291" s="1"/>
      <c r="S2291" s="2"/>
      <c r="T2291" s="2">
        <v>2177</v>
      </c>
      <c r="U2291" s="48" t="s">
        <v>93</v>
      </c>
      <c r="V2291" s="2"/>
      <c r="W2291" s="2"/>
      <c r="X2291" s="2"/>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row>
    <row r="2292" spans="2:47" ht="14.25" customHeight="1" x14ac:dyDescent="0.3">
      <c r="B2292" s="3"/>
      <c r="Q2292" s="1"/>
      <c r="R2292" s="1"/>
      <c r="S2292" s="2"/>
      <c r="T2292" s="2">
        <v>2178</v>
      </c>
      <c r="U2292" s="48" t="s">
        <v>93</v>
      </c>
      <c r="V2292" s="2"/>
      <c r="W2292" s="2"/>
      <c r="X2292" s="2"/>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row>
    <row r="2293" spans="2:47" ht="14.25" customHeight="1" x14ac:dyDescent="0.3">
      <c r="B2293" s="3"/>
      <c r="Q2293" s="1"/>
      <c r="R2293" s="1"/>
      <c r="S2293" s="2"/>
      <c r="T2293" s="2">
        <v>2179</v>
      </c>
      <c r="U2293" s="48" t="s">
        <v>93</v>
      </c>
      <c r="V2293" s="2"/>
      <c r="W2293" s="2"/>
      <c r="X2293" s="2"/>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row>
    <row r="2294" spans="2:47" ht="14.25" customHeight="1" x14ac:dyDescent="0.3">
      <c r="B2294" s="3"/>
      <c r="Q2294" s="1"/>
      <c r="R2294" s="1"/>
      <c r="S2294" s="2"/>
      <c r="T2294" s="2">
        <v>2180</v>
      </c>
      <c r="U2294" s="48" t="s">
        <v>93</v>
      </c>
      <c r="V2294" s="2"/>
      <c r="W2294" s="2"/>
      <c r="X2294" s="2"/>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row>
    <row r="2295" spans="2:47" ht="14.25" customHeight="1" x14ac:dyDescent="0.3">
      <c r="B2295" s="3"/>
      <c r="Q2295" s="1"/>
      <c r="R2295" s="1"/>
      <c r="S2295" s="2"/>
      <c r="T2295" s="2">
        <v>2181</v>
      </c>
      <c r="U2295" s="48" t="s">
        <v>93</v>
      </c>
      <c r="V2295" s="2"/>
      <c r="W2295" s="2"/>
      <c r="X2295" s="2"/>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row>
    <row r="2296" spans="2:47" ht="14.25" customHeight="1" x14ac:dyDescent="0.3">
      <c r="B2296" s="3"/>
      <c r="Q2296" s="1"/>
      <c r="R2296" s="1"/>
      <c r="S2296" s="2"/>
      <c r="T2296" s="2">
        <v>2182</v>
      </c>
      <c r="U2296" s="48" t="s">
        <v>93</v>
      </c>
      <c r="V2296" s="2"/>
      <c r="W2296" s="2"/>
      <c r="X2296" s="2"/>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row>
    <row r="2297" spans="2:47" ht="14.25" customHeight="1" x14ac:dyDescent="0.3">
      <c r="B2297" s="3"/>
      <c r="Q2297" s="1"/>
      <c r="R2297" s="1"/>
      <c r="S2297" s="2"/>
      <c r="T2297" s="2">
        <v>2183</v>
      </c>
      <c r="U2297" s="48" t="s">
        <v>93</v>
      </c>
      <c r="V2297" s="2"/>
      <c r="W2297" s="2"/>
      <c r="X2297" s="2"/>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row>
    <row r="2298" spans="2:47" ht="14.25" customHeight="1" x14ac:dyDescent="0.3">
      <c r="B2298" s="3"/>
      <c r="Q2298" s="1"/>
      <c r="R2298" s="1"/>
      <c r="S2298" s="2"/>
      <c r="T2298" s="2">
        <v>2184</v>
      </c>
      <c r="U2298" s="48" t="s">
        <v>93</v>
      </c>
      <c r="V2298" s="2"/>
      <c r="W2298" s="2"/>
      <c r="X2298" s="2"/>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row>
    <row r="2299" spans="2:47" ht="14.25" customHeight="1" x14ac:dyDescent="0.3">
      <c r="B2299" s="3"/>
      <c r="Q2299" s="1"/>
      <c r="R2299" s="1"/>
      <c r="S2299" s="2"/>
      <c r="T2299" s="2">
        <v>2185</v>
      </c>
      <c r="U2299" s="48" t="s">
        <v>93</v>
      </c>
      <c r="V2299" s="2"/>
      <c r="W2299" s="2"/>
      <c r="X2299" s="2"/>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row>
    <row r="2300" spans="2:47" ht="14.25" customHeight="1" x14ac:dyDescent="0.3">
      <c r="B2300" s="3"/>
      <c r="Q2300" s="1"/>
      <c r="R2300" s="1"/>
      <c r="S2300" s="2"/>
      <c r="T2300" s="2">
        <v>2186</v>
      </c>
      <c r="U2300" s="48" t="s">
        <v>93</v>
      </c>
      <c r="V2300" s="2"/>
      <c r="W2300" s="2"/>
      <c r="X2300" s="2"/>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row>
    <row r="2301" spans="2:47" ht="14.25" customHeight="1" x14ac:dyDescent="0.3">
      <c r="B2301" s="3"/>
      <c r="Q2301" s="1"/>
      <c r="R2301" s="1"/>
      <c r="S2301" s="2"/>
      <c r="T2301" s="2">
        <v>2187</v>
      </c>
      <c r="U2301" s="48" t="s">
        <v>93</v>
      </c>
      <c r="V2301" s="2"/>
      <c r="W2301" s="2"/>
      <c r="X2301" s="2"/>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row>
    <row r="2302" spans="2:47" ht="14.25" customHeight="1" x14ac:dyDescent="0.3">
      <c r="B2302" s="3"/>
      <c r="Q2302" s="1"/>
      <c r="R2302" s="1"/>
      <c r="S2302" s="2"/>
      <c r="T2302" s="2">
        <v>2188</v>
      </c>
      <c r="U2302" s="48" t="s">
        <v>93</v>
      </c>
      <c r="V2302" s="2"/>
      <c r="W2302" s="2"/>
      <c r="X2302" s="2"/>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row>
    <row r="2303" spans="2:47" ht="14.25" customHeight="1" x14ac:dyDescent="0.3">
      <c r="B2303" s="3"/>
      <c r="Q2303" s="1"/>
      <c r="R2303" s="1"/>
      <c r="S2303" s="2"/>
      <c r="T2303" s="2">
        <v>2189</v>
      </c>
      <c r="U2303" s="48" t="s">
        <v>93</v>
      </c>
      <c r="V2303" s="2"/>
      <c r="W2303" s="2"/>
      <c r="X2303" s="2"/>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row>
    <row r="2304" spans="2:47" ht="14.25" customHeight="1" x14ac:dyDescent="0.3">
      <c r="B2304" s="3"/>
      <c r="Q2304" s="1"/>
      <c r="R2304" s="1"/>
      <c r="S2304" s="2"/>
      <c r="T2304" s="2">
        <v>2190</v>
      </c>
      <c r="U2304" s="48" t="s">
        <v>93</v>
      </c>
      <c r="V2304" s="2"/>
      <c r="W2304" s="2"/>
      <c r="X2304" s="2"/>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row>
    <row r="2305" spans="2:47" ht="14.25" customHeight="1" x14ac:dyDescent="0.3">
      <c r="B2305" s="3"/>
      <c r="Q2305" s="1"/>
      <c r="R2305" s="1"/>
      <c r="S2305" s="2"/>
      <c r="T2305" s="2">
        <v>2191</v>
      </c>
      <c r="U2305" s="48" t="s">
        <v>93</v>
      </c>
      <c r="V2305" s="2"/>
      <c r="W2305" s="2"/>
      <c r="X2305" s="2"/>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row>
    <row r="2306" spans="2:47" ht="14.25" customHeight="1" x14ac:dyDescent="0.3">
      <c r="B2306" s="3"/>
      <c r="Q2306" s="1"/>
      <c r="R2306" s="1"/>
      <c r="S2306" s="2"/>
      <c r="T2306" s="2">
        <v>2192</v>
      </c>
      <c r="U2306" s="48" t="s">
        <v>93</v>
      </c>
      <c r="V2306" s="2"/>
      <c r="W2306" s="2"/>
      <c r="X2306" s="2"/>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row>
    <row r="2307" spans="2:47" ht="14.25" customHeight="1" x14ac:dyDescent="0.3">
      <c r="B2307" s="3"/>
      <c r="Q2307" s="1"/>
      <c r="R2307" s="1"/>
      <c r="S2307" s="2"/>
      <c r="T2307" s="2">
        <v>2193</v>
      </c>
      <c r="U2307" s="48" t="s">
        <v>93</v>
      </c>
      <c r="V2307" s="2"/>
      <c r="W2307" s="2"/>
      <c r="X2307" s="2"/>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row>
    <row r="2308" spans="2:47" ht="14.25" customHeight="1" x14ac:dyDescent="0.3">
      <c r="B2308" s="3"/>
      <c r="Q2308" s="1"/>
      <c r="R2308" s="1"/>
      <c r="S2308" s="2"/>
      <c r="T2308" s="2">
        <v>2194</v>
      </c>
      <c r="U2308" s="48" t="s">
        <v>93</v>
      </c>
      <c r="V2308" s="2"/>
      <c r="W2308" s="2"/>
      <c r="X2308" s="2"/>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row>
    <row r="2309" spans="2:47" ht="14.25" customHeight="1" x14ac:dyDescent="0.3">
      <c r="B2309" s="3"/>
      <c r="Q2309" s="1"/>
      <c r="R2309" s="1"/>
      <c r="S2309" s="2"/>
      <c r="T2309" s="2">
        <v>2195</v>
      </c>
      <c r="U2309" s="48" t="s">
        <v>93</v>
      </c>
      <c r="V2309" s="2"/>
      <c r="W2309" s="2"/>
      <c r="X2309" s="2"/>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row>
    <row r="2310" spans="2:47" ht="14.25" customHeight="1" x14ac:dyDescent="0.3">
      <c r="B2310" s="3"/>
      <c r="Q2310" s="1"/>
      <c r="R2310" s="1"/>
      <c r="S2310" s="2"/>
      <c r="T2310" s="2">
        <v>2196</v>
      </c>
      <c r="U2310" s="48" t="s">
        <v>93</v>
      </c>
      <c r="V2310" s="2"/>
      <c r="W2310" s="2"/>
      <c r="X2310" s="2"/>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row>
    <row r="2311" spans="2:47" ht="14.25" customHeight="1" x14ac:dyDescent="0.3">
      <c r="B2311" s="3"/>
      <c r="Q2311" s="1"/>
      <c r="R2311" s="1"/>
      <c r="S2311" s="2"/>
      <c r="T2311" s="2">
        <v>2197</v>
      </c>
      <c r="U2311" s="48" t="s">
        <v>93</v>
      </c>
      <c r="V2311" s="2"/>
      <c r="W2311" s="2"/>
      <c r="X2311" s="2"/>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row>
    <row r="2312" spans="2:47" ht="14.25" customHeight="1" x14ac:dyDescent="0.3">
      <c r="B2312" s="3"/>
      <c r="Q2312" s="1"/>
      <c r="R2312" s="1"/>
      <c r="S2312" s="2"/>
      <c r="T2312" s="2">
        <v>2198</v>
      </c>
      <c r="U2312" s="48" t="s">
        <v>93</v>
      </c>
      <c r="V2312" s="2"/>
      <c r="W2312" s="2"/>
      <c r="X2312" s="2"/>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row>
    <row r="2313" spans="2:47" ht="14.25" customHeight="1" x14ac:dyDescent="0.3">
      <c r="B2313" s="3"/>
      <c r="Q2313" s="1"/>
      <c r="R2313" s="1"/>
      <c r="S2313" s="2"/>
      <c r="T2313" s="2">
        <v>2199</v>
      </c>
      <c r="U2313" s="48" t="s">
        <v>93</v>
      </c>
      <c r="V2313" s="2"/>
      <c r="W2313" s="2"/>
      <c r="X2313" s="2"/>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row>
    <row r="2314" spans="2:47" ht="14.25" customHeight="1" x14ac:dyDescent="0.3">
      <c r="B2314" s="3"/>
      <c r="Q2314" s="1"/>
      <c r="R2314" s="1"/>
      <c r="S2314" s="2"/>
      <c r="T2314" s="2">
        <v>2200</v>
      </c>
      <c r="U2314" s="48" t="s">
        <v>93</v>
      </c>
      <c r="V2314" s="2"/>
      <c r="W2314" s="2"/>
      <c r="X2314" s="2"/>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row>
    <row r="2315" spans="2:47" ht="14.25" customHeight="1" x14ac:dyDescent="0.3">
      <c r="B2315" s="3"/>
      <c r="Q2315" s="1"/>
      <c r="R2315" s="1"/>
      <c r="S2315" s="2"/>
      <c r="T2315" s="2">
        <v>2201</v>
      </c>
      <c r="U2315" s="48" t="s">
        <v>93</v>
      </c>
      <c r="V2315" s="2"/>
      <c r="W2315" s="2"/>
      <c r="X2315" s="2"/>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row>
    <row r="2316" spans="2:47" ht="14.25" customHeight="1" x14ac:dyDescent="0.3">
      <c r="B2316" s="3"/>
      <c r="Q2316" s="1"/>
      <c r="R2316" s="1"/>
      <c r="S2316" s="2"/>
      <c r="T2316" s="2">
        <v>2202</v>
      </c>
      <c r="U2316" s="48" t="s">
        <v>93</v>
      </c>
      <c r="V2316" s="2"/>
      <c r="W2316" s="2"/>
      <c r="X2316" s="2"/>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row>
    <row r="2317" spans="2:47" ht="14.25" customHeight="1" x14ac:dyDescent="0.3">
      <c r="B2317" s="3"/>
      <c r="Q2317" s="1"/>
      <c r="R2317" s="1"/>
      <c r="S2317" s="2"/>
      <c r="T2317" s="2">
        <v>2203</v>
      </c>
      <c r="U2317" s="48" t="s">
        <v>93</v>
      </c>
      <c r="V2317" s="2"/>
      <c r="W2317" s="2"/>
      <c r="X2317" s="2"/>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row>
    <row r="2318" spans="2:47" ht="14.25" customHeight="1" x14ac:dyDescent="0.3">
      <c r="B2318" s="3"/>
      <c r="Q2318" s="1"/>
      <c r="R2318" s="1"/>
      <c r="S2318" s="2"/>
      <c r="T2318" s="2">
        <v>2204</v>
      </c>
      <c r="U2318" s="48" t="s">
        <v>93</v>
      </c>
      <c r="V2318" s="2"/>
      <c r="W2318" s="2"/>
      <c r="X2318" s="2"/>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row>
    <row r="2319" spans="2:47" ht="14.25" customHeight="1" x14ac:dyDescent="0.3">
      <c r="B2319" s="3"/>
      <c r="Q2319" s="1"/>
      <c r="R2319" s="1"/>
      <c r="S2319" s="2"/>
      <c r="T2319" s="2">
        <v>2205</v>
      </c>
      <c r="U2319" s="48" t="s">
        <v>93</v>
      </c>
      <c r="V2319" s="2"/>
      <c r="W2319" s="2"/>
      <c r="X2319" s="2"/>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row>
    <row r="2320" spans="2:47" ht="14.25" customHeight="1" x14ac:dyDescent="0.3">
      <c r="B2320" s="3"/>
      <c r="Q2320" s="1"/>
      <c r="R2320" s="1"/>
      <c r="S2320" s="2"/>
      <c r="T2320" s="2">
        <v>2206</v>
      </c>
      <c r="U2320" s="48" t="s">
        <v>93</v>
      </c>
      <c r="V2320" s="2"/>
      <c r="W2320" s="2"/>
      <c r="X2320" s="2"/>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row>
    <row r="2321" spans="2:47" ht="14.25" customHeight="1" x14ac:dyDescent="0.3">
      <c r="B2321" s="3"/>
      <c r="Q2321" s="1"/>
      <c r="R2321" s="1"/>
      <c r="S2321" s="2"/>
      <c r="T2321" s="2">
        <v>2207</v>
      </c>
      <c r="U2321" s="48" t="s">
        <v>93</v>
      </c>
      <c r="V2321" s="2"/>
      <c r="W2321" s="2"/>
      <c r="X2321" s="2"/>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row>
    <row r="2322" spans="2:47" ht="14.25" customHeight="1" x14ac:dyDescent="0.3">
      <c r="B2322" s="3"/>
      <c r="Q2322" s="1"/>
      <c r="R2322" s="1"/>
      <c r="S2322" s="2"/>
      <c r="T2322" s="2">
        <v>2208</v>
      </c>
      <c r="U2322" s="48" t="s">
        <v>93</v>
      </c>
      <c r="V2322" s="2"/>
      <c r="W2322" s="2"/>
      <c r="X2322" s="2"/>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row>
    <row r="2323" spans="2:47" ht="14.25" customHeight="1" x14ac:dyDescent="0.3">
      <c r="B2323" s="3"/>
      <c r="Q2323" s="1"/>
      <c r="R2323" s="1"/>
      <c r="S2323" s="2"/>
      <c r="T2323" s="2">
        <v>2209</v>
      </c>
      <c r="U2323" s="48" t="s">
        <v>93</v>
      </c>
      <c r="V2323" s="2"/>
      <c r="W2323" s="2"/>
      <c r="X2323" s="2"/>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row>
    <row r="2324" spans="2:47" ht="14.25" customHeight="1" x14ac:dyDescent="0.3">
      <c r="B2324" s="3"/>
      <c r="Q2324" s="1"/>
      <c r="R2324" s="1"/>
      <c r="S2324" s="2"/>
      <c r="T2324" s="2">
        <v>2210</v>
      </c>
      <c r="U2324" s="48" t="s">
        <v>93</v>
      </c>
      <c r="V2324" s="2"/>
      <c r="W2324" s="2"/>
      <c r="X2324" s="2"/>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row>
    <row r="2325" spans="2:47" ht="14.25" customHeight="1" x14ac:dyDescent="0.3">
      <c r="B2325" s="3"/>
      <c r="Q2325" s="1"/>
      <c r="R2325" s="1"/>
      <c r="S2325" s="2"/>
      <c r="T2325" s="2">
        <v>2211</v>
      </c>
      <c r="U2325" s="48" t="s">
        <v>93</v>
      </c>
      <c r="V2325" s="2"/>
      <c r="W2325" s="2"/>
      <c r="X2325" s="2"/>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row>
    <row r="2326" spans="2:47" ht="14.25" customHeight="1" x14ac:dyDescent="0.3">
      <c r="B2326" s="3"/>
      <c r="Q2326" s="1"/>
      <c r="R2326" s="1"/>
      <c r="S2326" s="2"/>
      <c r="T2326" s="2">
        <v>2212</v>
      </c>
      <c r="U2326" s="48" t="s">
        <v>93</v>
      </c>
      <c r="V2326" s="2"/>
      <c r="W2326" s="2"/>
      <c r="X2326" s="2"/>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row>
    <row r="2327" spans="2:47" ht="14.25" customHeight="1" x14ac:dyDescent="0.3">
      <c r="B2327" s="3"/>
      <c r="Q2327" s="1"/>
      <c r="R2327" s="1"/>
      <c r="S2327" s="2"/>
      <c r="T2327" s="2">
        <v>2213</v>
      </c>
      <c r="U2327" s="48" t="s">
        <v>93</v>
      </c>
      <c r="V2327" s="2"/>
      <c r="W2327" s="2"/>
      <c r="X2327" s="2"/>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row>
    <row r="2328" spans="2:47" ht="14.25" customHeight="1" x14ac:dyDescent="0.3">
      <c r="B2328" s="3"/>
      <c r="Q2328" s="1"/>
      <c r="R2328" s="1"/>
      <c r="S2328" s="2"/>
      <c r="T2328" s="2">
        <v>2214</v>
      </c>
      <c r="U2328" s="48" t="s">
        <v>93</v>
      </c>
      <c r="V2328" s="2"/>
      <c r="W2328" s="2"/>
      <c r="X2328" s="2"/>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row>
    <row r="2329" spans="2:47" ht="14.25" customHeight="1" x14ac:dyDescent="0.3">
      <c r="B2329" s="3"/>
      <c r="Q2329" s="1"/>
      <c r="R2329" s="1"/>
      <c r="S2329" s="2"/>
      <c r="T2329" s="2">
        <v>2215</v>
      </c>
      <c r="U2329" s="48" t="s">
        <v>93</v>
      </c>
      <c r="V2329" s="2"/>
      <c r="W2329" s="2"/>
      <c r="X2329" s="2"/>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row>
    <row r="2330" spans="2:47" ht="14.25" customHeight="1" x14ac:dyDescent="0.3">
      <c r="B2330" s="3"/>
      <c r="Q2330" s="1"/>
      <c r="R2330" s="1"/>
      <c r="S2330" s="2"/>
      <c r="T2330" s="2">
        <v>2216</v>
      </c>
      <c r="U2330" s="48" t="s">
        <v>93</v>
      </c>
      <c r="V2330" s="2"/>
      <c r="W2330" s="2"/>
      <c r="X2330" s="2"/>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row>
    <row r="2331" spans="2:47" ht="14.25" customHeight="1" x14ac:dyDescent="0.3">
      <c r="B2331" s="3"/>
      <c r="Q2331" s="1"/>
      <c r="R2331" s="1"/>
      <c r="S2331" s="2"/>
      <c r="T2331" s="2">
        <v>2217</v>
      </c>
      <c r="U2331" s="48" t="s">
        <v>93</v>
      </c>
      <c r="V2331" s="2"/>
      <c r="W2331" s="2"/>
      <c r="X2331" s="2"/>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row>
    <row r="2332" spans="2:47" ht="14.25" customHeight="1" x14ac:dyDescent="0.3">
      <c r="B2332" s="3"/>
      <c r="Q2332" s="1"/>
      <c r="R2332" s="1"/>
      <c r="S2332" s="2"/>
      <c r="T2332" s="2">
        <v>2218</v>
      </c>
      <c r="U2332" s="48" t="s">
        <v>93</v>
      </c>
      <c r="V2332" s="2"/>
      <c r="W2332" s="2"/>
      <c r="X2332" s="2"/>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row>
    <row r="2333" spans="2:47" ht="14.25" customHeight="1" x14ac:dyDescent="0.3">
      <c r="B2333" s="3"/>
      <c r="Q2333" s="1"/>
      <c r="R2333" s="1"/>
      <c r="S2333" s="2"/>
      <c r="T2333" s="2">
        <v>2219</v>
      </c>
      <c r="U2333" s="48" t="s">
        <v>93</v>
      </c>
      <c r="V2333" s="2"/>
      <c r="W2333" s="2"/>
      <c r="X2333" s="2"/>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row>
    <row r="2334" spans="2:47" ht="14.25" customHeight="1" x14ac:dyDescent="0.3">
      <c r="B2334" s="3"/>
      <c r="Q2334" s="1"/>
      <c r="R2334" s="1"/>
      <c r="S2334" s="2"/>
      <c r="T2334" s="2">
        <v>2220</v>
      </c>
      <c r="U2334" s="48" t="s">
        <v>93</v>
      </c>
      <c r="V2334" s="2"/>
      <c r="W2334" s="2"/>
      <c r="X2334" s="2"/>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row>
    <row r="2335" spans="2:47" ht="14.25" customHeight="1" x14ac:dyDescent="0.3">
      <c r="B2335" s="3"/>
      <c r="Q2335" s="1"/>
      <c r="R2335" s="1"/>
      <c r="S2335" s="2"/>
      <c r="T2335" s="2">
        <v>2221</v>
      </c>
      <c r="U2335" s="48" t="s">
        <v>93</v>
      </c>
      <c r="V2335" s="2"/>
      <c r="W2335" s="2"/>
      <c r="X2335" s="2"/>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row>
    <row r="2336" spans="2:47" ht="14.25" customHeight="1" x14ac:dyDescent="0.3">
      <c r="B2336" s="3"/>
      <c r="Q2336" s="1"/>
      <c r="R2336" s="1"/>
      <c r="S2336" s="2"/>
      <c r="T2336" s="2">
        <v>2222</v>
      </c>
      <c r="U2336" s="48" t="s">
        <v>93</v>
      </c>
      <c r="V2336" s="2"/>
      <c r="W2336" s="2"/>
      <c r="X2336" s="2"/>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row>
    <row r="2337" spans="2:47" ht="14.25" customHeight="1" x14ac:dyDescent="0.3">
      <c r="B2337" s="3"/>
      <c r="Q2337" s="1"/>
      <c r="R2337" s="1"/>
      <c r="S2337" s="2"/>
      <c r="T2337" s="2">
        <v>2223</v>
      </c>
      <c r="U2337" s="48" t="s">
        <v>93</v>
      </c>
      <c r="V2337" s="2"/>
      <c r="W2337" s="2"/>
      <c r="X2337" s="2"/>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row>
    <row r="2338" spans="2:47" ht="14.25" customHeight="1" x14ac:dyDescent="0.3">
      <c r="B2338" s="3"/>
      <c r="Q2338" s="1"/>
      <c r="R2338" s="1"/>
      <c r="S2338" s="2"/>
      <c r="T2338" s="2">
        <v>2224</v>
      </c>
      <c r="U2338" s="48" t="s">
        <v>93</v>
      </c>
      <c r="V2338" s="2"/>
      <c r="W2338" s="2"/>
      <c r="X2338" s="2"/>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row>
    <row r="2339" spans="2:47" ht="14.25" customHeight="1" x14ac:dyDescent="0.3">
      <c r="B2339" s="3"/>
      <c r="Q2339" s="1"/>
      <c r="R2339" s="1"/>
      <c r="S2339" s="2"/>
      <c r="T2339" s="2">
        <v>2225</v>
      </c>
      <c r="U2339" s="48" t="s">
        <v>93</v>
      </c>
      <c r="V2339" s="2"/>
      <c r="W2339" s="2"/>
      <c r="X2339" s="2"/>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row>
    <row r="2340" spans="2:47" ht="14.25" customHeight="1" x14ac:dyDescent="0.3">
      <c r="B2340" s="3"/>
      <c r="Q2340" s="1"/>
      <c r="R2340" s="1"/>
      <c r="S2340" s="2"/>
      <c r="T2340" s="2">
        <v>2226</v>
      </c>
      <c r="U2340" s="48" t="s">
        <v>93</v>
      </c>
      <c r="V2340" s="2"/>
      <c r="W2340" s="2"/>
      <c r="X2340" s="2"/>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row>
    <row r="2341" spans="2:47" ht="14.25" customHeight="1" x14ac:dyDescent="0.3">
      <c r="B2341" s="3"/>
      <c r="Q2341" s="1"/>
      <c r="R2341" s="1"/>
      <c r="S2341" s="2"/>
      <c r="T2341" s="2">
        <v>2227</v>
      </c>
      <c r="U2341" s="48" t="s">
        <v>93</v>
      </c>
      <c r="V2341" s="2"/>
      <c r="W2341" s="2"/>
      <c r="X2341" s="2"/>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row>
    <row r="2342" spans="2:47" ht="14.25" customHeight="1" x14ac:dyDescent="0.3">
      <c r="B2342" s="3"/>
      <c r="Q2342" s="1"/>
      <c r="R2342" s="1"/>
      <c r="S2342" s="2"/>
      <c r="T2342" s="2">
        <v>2228</v>
      </c>
      <c r="U2342" s="48" t="s">
        <v>93</v>
      </c>
      <c r="V2342" s="2"/>
      <c r="W2342" s="2"/>
      <c r="X2342" s="2"/>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row>
    <row r="2343" spans="2:47" ht="14.25" customHeight="1" x14ac:dyDescent="0.3">
      <c r="B2343" s="3"/>
      <c r="Q2343" s="1"/>
      <c r="R2343" s="1"/>
      <c r="S2343" s="2"/>
      <c r="T2343" s="2">
        <v>2229</v>
      </c>
      <c r="U2343" s="48" t="s">
        <v>93</v>
      </c>
      <c r="V2343" s="2"/>
      <c r="W2343" s="2"/>
      <c r="X2343" s="2"/>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row>
    <row r="2344" spans="2:47" ht="14.25" customHeight="1" x14ac:dyDescent="0.3">
      <c r="B2344" s="3"/>
      <c r="Q2344" s="1"/>
      <c r="R2344" s="1"/>
      <c r="S2344" s="2"/>
      <c r="T2344" s="2">
        <v>2230</v>
      </c>
      <c r="U2344" s="48" t="s">
        <v>93</v>
      </c>
      <c r="V2344" s="2"/>
      <c r="W2344" s="2"/>
      <c r="X2344" s="2"/>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row>
    <row r="2345" spans="2:47" ht="14.25" customHeight="1" x14ac:dyDescent="0.3">
      <c r="B2345" s="3"/>
      <c r="Q2345" s="1"/>
      <c r="R2345" s="1"/>
      <c r="S2345" s="2"/>
      <c r="T2345" s="2">
        <v>2231</v>
      </c>
      <c r="U2345" s="48" t="s">
        <v>93</v>
      </c>
      <c r="V2345" s="2"/>
      <c r="W2345" s="2"/>
      <c r="X2345" s="2"/>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row>
    <row r="2346" spans="2:47" ht="14.25" customHeight="1" x14ac:dyDescent="0.3">
      <c r="B2346" s="3"/>
      <c r="Q2346" s="1"/>
      <c r="R2346" s="1"/>
      <c r="S2346" s="2"/>
      <c r="T2346" s="2">
        <v>2232</v>
      </c>
      <c r="U2346" s="48" t="s">
        <v>93</v>
      </c>
      <c r="V2346" s="2"/>
      <c r="W2346" s="2"/>
      <c r="X2346" s="2"/>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row>
    <row r="2347" spans="2:47" ht="14.25" customHeight="1" x14ac:dyDescent="0.3">
      <c r="B2347" s="3"/>
      <c r="Q2347" s="1"/>
      <c r="R2347" s="1"/>
      <c r="S2347" s="2"/>
      <c r="T2347" s="2">
        <v>2233</v>
      </c>
      <c r="U2347" s="48" t="s">
        <v>93</v>
      </c>
      <c r="V2347" s="2"/>
      <c r="W2347" s="2"/>
      <c r="X2347" s="2"/>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row>
    <row r="2348" spans="2:47" ht="14.25" customHeight="1" x14ac:dyDescent="0.3">
      <c r="B2348" s="3"/>
      <c r="Q2348" s="1"/>
      <c r="R2348" s="1"/>
      <c r="S2348" s="2"/>
      <c r="T2348" s="2">
        <v>2234</v>
      </c>
      <c r="U2348" s="48" t="s">
        <v>93</v>
      </c>
      <c r="V2348" s="2"/>
      <c r="W2348" s="2"/>
      <c r="X2348" s="2"/>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row>
    <row r="2349" spans="2:47" ht="14.25" customHeight="1" x14ac:dyDescent="0.3">
      <c r="B2349" s="3"/>
      <c r="Q2349" s="1"/>
      <c r="R2349" s="1"/>
      <c r="S2349" s="2"/>
      <c r="T2349" s="2">
        <v>2235</v>
      </c>
      <c r="U2349" s="48" t="s">
        <v>93</v>
      </c>
      <c r="V2349" s="2"/>
      <c r="W2349" s="2"/>
      <c r="X2349" s="2"/>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row>
    <row r="2350" spans="2:47" ht="14.25" customHeight="1" x14ac:dyDescent="0.3">
      <c r="B2350" s="3"/>
      <c r="Q2350" s="1"/>
      <c r="R2350" s="1"/>
      <c r="S2350" s="2"/>
      <c r="T2350" s="2">
        <v>2236</v>
      </c>
      <c r="U2350" s="48" t="s">
        <v>93</v>
      </c>
      <c r="V2350" s="2"/>
      <c r="W2350" s="2"/>
      <c r="X2350" s="2"/>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row>
    <row r="2351" spans="2:47" ht="14.25" customHeight="1" x14ac:dyDescent="0.3">
      <c r="B2351" s="3"/>
      <c r="Q2351" s="1"/>
      <c r="R2351" s="1"/>
      <c r="S2351" s="2"/>
      <c r="T2351" s="2">
        <v>2237</v>
      </c>
      <c r="U2351" s="48" t="s">
        <v>93</v>
      </c>
      <c r="V2351" s="2"/>
      <c r="W2351" s="2"/>
      <c r="X2351" s="2"/>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row>
    <row r="2352" spans="2:47" ht="14.25" customHeight="1" x14ac:dyDescent="0.3">
      <c r="B2352" s="3"/>
      <c r="Q2352" s="1"/>
      <c r="R2352" s="1"/>
      <c r="S2352" s="2"/>
      <c r="T2352" s="2">
        <v>2238</v>
      </c>
      <c r="U2352" s="48" t="s">
        <v>93</v>
      </c>
      <c r="V2352" s="2"/>
      <c r="W2352" s="2"/>
      <c r="X2352" s="2"/>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row>
    <row r="2353" spans="2:47" ht="14.25" customHeight="1" x14ac:dyDescent="0.3">
      <c r="B2353" s="3"/>
      <c r="Q2353" s="1"/>
      <c r="R2353" s="1"/>
      <c r="S2353" s="2"/>
      <c r="T2353" s="2">
        <v>2239</v>
      </c>
      <c r="U2353" s="48" t="s">
        <v>93</v>
      </c>
      <c r="V2353" s="2"/>
      <c r="W2353" s="2"/>
      <c r="X2353" s="2"/>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row>
    <row r="2354" spans="2:47" ht="14.25" customHeight="1" x14ac:dyDescent="0.3">
      <c r="B2354" s="3"/>
      <c r="Q2354" s="1"/>
      <c r="R2354" s="1"/>
      <c r="S2354" s="2"/>
      <c r="T2354" s="2">
        <v>2240</v>
      </c>
      <c r="U2354" s="48" t="s">
        <v>93</v>
      </c>
      <c r="V2354" s="2"/>
      <c r="W2354" s="2"/>
      <c r="X2354" s="2"/>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row>
    <row r="2355" spans="2:47" ht="14.25" customHeight="1" x14ac:dyDescent="0.3">
      <c r="B2355" s="3"/>
      <c r="Q2355" s="1"/>
      <c r="R2355" s="1"/>
      <c r="S2355" s="2"/>
      <c r="T2355" s="2">
        <v>2241</v>
      </c>
      <c r="U2355" s="48" t="s">
        <v>93</v>
      </c>
      <c r="V2355" s="2"/>
      <c r="W2355" s="2"/>
      <c r="X2355" s="2"/>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row>
    <row r="2356" spans="2:47" ht="14.25" customHeight="1" x14ac:dyDescent="0.3">
      <c r="B2356" s="3"/>
      <c r="Q2356" s="1"/>
      <c r="R2356" s="1"/>
      <c r="S2356" s="2"/>
      <c r="T2356" s="2">
        <v>2242</v>
      </c>
      <c r="U2356" s="48" t="s">
        <v>93</v>
      </c>
      <c r="V2356" s="2"/>
      <c r="W2356" s="2"/>
      <c r="X2356" s="2"/>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row>
    <row r="2357" spans="2:47" ht="14.25" customHeight="1" x14ac:dyDescent="0.3">
      <c r="B2357" s="3"/>
      <c r="Q2357" s="1"/>
      <c r="R2357" s="1"/>
      <c r="S2357" s="2"/>
      <c r="T2357" s="2">
        <v>2243</v>
      </c>
      <c r="U2357" s="48" t="s">
        <v>93</v>
      </c>
      <c r="V2357" s="2"/>
      <c r="W2357" s="2"/>
      <c r="X2357" s="2"/>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row>
    <row r="2358" spans="2:47" ht="14.25" customHeight="1" x14ac:dyDescent="0.3">
      <c r="B2358" s="3"/>
      <c r="Q2358" s="1"/>
      <c r="R2358" s="1"/>
      <c r="S2358" s="2"/>
      <c r="T2358" s="2">
        <v>2244</v>
      </c>
      <c r="U2358" s="48" t="s">
        <v>93</v>
      </c>
      <c r="V2358" s="2"/>
      <c r="W2358" s="2"/>
      <c r="X2358" s="2"/>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row>
    <row r="2359" spans="2:47" ht="14.25" customHeight="1" x14ac:dyDescent="0.3">
      <c r="B2359" s="3"/>
      <c r="Q2359" s="1"/>
      <c r="R2359" s="1"/>
      <c r="S2359" s="2"/>
      <c r="T2359" s="2">
        <v>2245</v>
      </c>
      <c r="U2359" s="48" t="s">
        <v>93</v>
      </c>
      <c r="V2359" s="2"/>
      <c r="W2359" s="2"/>
      <c r="X2359" s="2"/>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row>
    <row r="2360" spans="2:47" ht="14.25" customHeight="1" x14ac:dyDescent="0.3">
      <c r="B2360" s="3"/>
      <c r="Q2360" s="1"/>
      <c r="R2360" s="1"/>
      <c r="S2360" s="2"/>
      <c r="T2360" s="2">
        <v>2246</v>
      </c>
      <c r="U2360" s="48" t="s">
        <v>93</v>
      </c>
      <c r="V2360" s="2"/>
      <c r="W2360" s="2"/>
      <c r="X2360" s="2"/>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row>
    <row r="2361" spans="2:47" ht="14.25" customHeight="1" x14ac:dyDescent="0.3">
      <c r="B2361" s="3"/>
      <c r="Q2361" s="1"/>
      <c r="R2361" s="1"/>
      <c r="S2361" s="2"/>
      <c r="T2361" s="2">
        <v>2247</v>
      </c>
      <c r="U2361" s="48" t="s">
        <v>93</v>
      </c>
      <c r="V2361" s="2"/>
      <c r="W2361" s="2"/>
      <c r="X2361" s="2"/>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row>
    <row r="2362" spans="2:47" ht="14.25" customHeight="1" x14ac:dyDescent="0.3">
      <c r="B2362" s="3"/>
      <c r="Q2362" s="1"/>
      <c r="R2362" s="1"/>
      <c r="S2362" s="2"/>
      <c r="T2362" s="2">
        <v>2248</v>
      </c>
      <c r="U2362" s="48" t="s">
        <v>93</v>
      </c>
      <c r="V2362" s="2"/>
      <c r="W2362" s="2"/>
      <c r="X2362" s="2"/>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row>
    <row r="2363" spans="2:47" ht="14.25" customHeight="1" x14ac:dyDescent="0.3">
      <c r="B2363" s="3"/>
      <c r="Q2363" s="1"/>
      <c r="R2363" s="1"/>
      <c r="S2363" s="2"/>
      <c r="T2363" s="2">
        <v>2249</v>
      </c>
      <c r="U2363" s="48" t="s">
        <v>93</v>
      </c>
      <c r="V2363" s="2"/>
      <c r="W2363" s="2"/>
      <c r="X2363" s="2"/>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row>
    <row r="2364" spans="2:47" ht="14.25" customHeight="1" x14ac:dyDescent="0.3">
      <c r="B2364" s="3"/>
      <c r="Q2364" s="1"/>
      <c r="R2364" s="1"/>
      <c r="S2364" s="2"/>
      <c r="T2364" s="2">
        <v>2250</v>
      </c>
      <c r="U2364" s="48" t="s">
        <v>93</v>
      </c>
      <c r="V2364" s="2"/>
      <c r="W2364" s="2"/>
      <c r="X2364" s="2"/>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row>
    <row r="2365" spans="2:47" ht="14.25" customHeight="1" x14ac:dyDescent="0.3">
      <c r="B2365" s="3"/>
      <c r="Q2365" s="1"/>
      <c r="R2365" s="1"/>
      <c r="S2365" s="2"/>
      <c r="T2365" s="2">
        <v>2251</v>
      </c>
      <c r="U2365" s="48" t="s">
        <v>93</v>
      </c>
      <c r="V2365" s="2"/>
      <c r="W2365" s="2"/>
      <c r="X2365" s="2"/>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row>
    <row r="2366" spans="2:47" ht="14.25" customHeight="1" x14ac:dyDescent="0.3">
      <c r="B2366" s="3"/>
      <c r="Q2366" s="1"/>
      <c r="R2366" s="1"/>
      <c r="S2366" s="2"/>
      <c r="T2366" s="2">
        <v>2252</v>
      </c>
      <c r="U2366" s="48" t="s">
        <v>93</v>
      </c>
      <c r="V2366" s="2"/>
      <c r="W2366" s="2"/>
      <c r="X2366" s="2"/>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row>
    <row r="2367" spans="2:47" ht="14.25" customHeight="1" x14ac:dyDescent="0.3">
      <c r="B2367" s="3"/>
      <c r="Q2367" s="1"/>
      <c r="R2367" s="1"/>
      <c r="S2367" s="2"/>
      <c r="T2367" s="2">
        <v>2253</v>
      </c>
      <c r="U2367" s="48" t="s">
        <v>93</v>
      </c>
      <c r="V2367" s="2"/>
      <c r="W2367" s="2"/>
      <c r="X2367" s="2"/>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row>
    <row r="2368" spans="2:47" ht="14.25" customHeight="1" x14ac:dyDescent="0.3">
      <c r="B2368" s="3"/>
      <c r="Q2368" s="1"/>
      <c r="R2368" s="1"/>
      <c r="S2368" s="2"/>
      <c r="T2368" s="2">
        <v>2254</v>
      </c>
      <c r="U2368" s="48" t="s">
        <v>93</v>
      </c>
      <c r="V2368" s="2"/>
      <c r="W2368" s="2"/>
      <c r="X2368" s="2"/>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row>
    <row r="2369" spans="2:47" ht="14.25" customHeight="1" x14ac:dyDescent="0.3">
      <c r="B2369" s="3"/>
      <c r="Q2369" s="1"/>
      <c r="R2369" s="1"/>
      <c r="S2369" s="2"/>
      <c r="T2369" s="2">
        <v>2255</v>
      </c>
      <c r="U2369" s="48" t="s">
        <v>93</v>
      </c>
      <c r="V2369" s="2"/>
      <c r="W2369" s="2"/>
      <c r="X2369" s="2"/>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row>
    <row r="2370" spans="2:47" ht="14.25" customHeight="1" x14ac:dyDescent="0.3">
      <c r="B2370" s="3"/>
      <c r="Q2370" s="1"/>
      <c r="R2370" s="1"/>
      <c r="S2370" s="2"/>
      <c r="T2370" s="2">
        <v>2256</v>
      </c>
      <c r="U2370" s="48" t="s">
        <v>93</v>
      </c>
      <c r="V2370" s="2"/>
      <c r="W2370" s="2"/>
      <c r="X2370" s="2"/>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row>
    <row r="2371" spans="2:47" ht="14.25" customHeight="1" x14ac:dyDescent="0.3">
      <c r="B2371" s="3"/>
      <c r="Q2371" s="1"/>
      <c r="R2371" s="1"/>
      <c r="S2371" s="2"/>
      <c r="T2371" s="2">
        <v>2257</v>
      </c>
      <c r="U2371" s="48" t="s">
        <v>93</v>
      </c>
      <c r="V2371" s="2"/>
      <c r="W2371" s="2"/>
      <c r="X2371" s="2"/>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row>
    <row r="2372" spans="2:47" ht="14.25" customHeight="1" x14ac:dyDescent="0.3">
      <c r="B2372" s="3"/>
      <c r="Q2372" s="1"/>
      <c r="R2372" s="1"/>
      <c r="S2372" s="2"/>
      <c r="T2372" s="2">
        <v>2258</v>
      </c>
      <c r="U2372" s="48" t="s">
        <v>93</v>
      </c>
      <c r="V2372" s="2"/>
      <c r="W2372" s="2"/>
      <c r="X2372" s="2"/>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row>
    <row r="2373" spans="2:47" ht="14.25" customHeight="1" x14ac:dyDescent="0.3">
      <c r="B2373" s="3"/>
      <c r="Q2373" s="1"/>
      <c r="R2373" s="1"/>
      <c r="S2373" s="2"/>
      <c r="T2373" s="2">
        <v>2259</v>
      </c>
      <c r="U2373" s="48" t="s">
        <v>93</v>
      </c>
      <c r="V2373" s="2"/>
      <c r="W2373" s="2"/>
      <c r="X2373" s="2"/>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row>
    <row r="2374" spans="2:47" ht="14.25" customHeight="1" x14ac:dyDescent="0.3">
      <c r="B2374" s="3"/>
      <c r="Q2374" s="1"/>
      <c r="R2374" s="1"/>
      <c r="S2374" s="2"/>
      <c r="T2374" s="2">
        <v>2260</v>
      </c>
      <c r="U2374" s="48" t="s">
        <v>93</v>
      </c>
      <c r="V2374" s="2"/>
      <c r="W2374" s="2"/>
      <c r="X2374" s="2"/>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row>
    <row r="2375" spans="2:47" ht="14.25" customHeight="1" x14ac:dyDescent="0.3">
      <c r="B2375" s="3"/>
      <c r="Q2375" s="1"/>
      <c r="R2375" s="1"/>
      <c r="S2375" s="2"/>
      <c r="T2375" s="2">
        <v>2261</v>
      </c>
      <c r="U2375" s="48" t="s">
        <v>93</v>
      </c>
      <c r="V2375" s="2"/>
      <c r="W2375" s="2"/>
      <c r="X2375" s="2"/>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row>
    <row r="2376" spans="2:47" ht="14.25" customHeight="1" x14ac:dyDescent="0.3">
      <c r="B2376" s="3"/>
      <c r="Q2376" s="1"/>
      <c r="R2376" s="1"/>
      <c r="S2376" s="2"/>
      <c r="T2376" s="2">
        <v>2262</v>
      </c>
      <c r="U2376" s="48" t="s">
        <v>93</v>
      </c>
      <c r="V2376" s="2"/>
      <c r="W2376" s="2"/>
      <c r="X2376" s="2"/>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row>
    <row r="2377" spans="2:47" ht="14.25" customHeight="1" x14ac:dyDescent="0.3">
      <c r="B2377" s="3"/>
      <c r="Q2377" s="1"/>
      <c r="R2377" s="1"/>
      <c r="S2377" s="2"/>
      <c r="T2377" s="2">
        <v>2263</v>
      </c>
      <c r="U2377" s="48" t="s">
        <v>93</v>
      </c>
      <c r="V2377" s="2"/>
      <c r="W2377" s="2"/>
      <c r="X2377" s="2"/>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row>
    <row r="2378" spans="2:47" ht="14.25" customHeight="1" x14ac:dyDescent="0.3">
      <c r="B2378" s="3"/>
      <c r="Q2378" s="1"/>
      <c r="R2378" s="1"/>
      <c r="S2378" s="2"/>
      <c r="T2378" s="2">
        <v>2264</v>
      </c>
      <c r="U2378" s="48" t="s">
        <v>93</v>
      </c>
      <c r="V2378" s="2"/>
      <c r="W2378" s="2"/>
      <c r="X2378" s="2"/>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row>
    <row r="2379" spans="2:47" ht="14.25" customHeight="1" x14ac:dyDescent="0.3">
      <c r="B2379" s="3"/>
      <c r="Q2379" s="1"/>
      <c r="R2379" s="1"/>
      <c r="S2379" s="2"/>
      <c r="T2379" s="2">
        <v>2265</v>
      </c>
      <c r="U2379" s="48" t="s">
        <v>93</v>
      </c>
      <c r="V2379" s="2"/>
      <c r="W2379" s="2"/>
      <c r="X2379" s="2"/>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row>
    <row r="2380" spans="2:47" ht="14.25" customHeight="1" x14ac:dyDescent="0.3">
      <c r="B2380" s="3"/>
      <c r="Q2380" s="1"/>
      <c r="R2380" s="1"/>
      <c r="S2380" s="2"/>
      <c r="T2380" s="2">
        <v>2266</v>
      </c>
      <c r="U2380" s="48" t="s">
        <v>93</v>
      </c>
      <c r="V2380" s="2"/>
      <c r="W2380" s="2"/>
      <c r="X2380" s="2"/>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row>
    <row r="2381" spans="2:47" ht="14.25" customHeight="1" x14ac:dyDescent="0.3">
      <c r="B2381" s="3"/>
      <c r="Q2381" s="1"/>
      <c r="R2381" s="1"/>
      <c r="S2381" s="2"/>
      <c r="T2381" s="2">
        <v>2267</v>
      </c>
      <c r="U2381" s="48" t="s">
        <v>93</v>
      </c>
      <c r="V2381" s="2"/>
      <c r="W2381" s="2"/>
      <c r="X2381" s="2"/>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row>
    <row r="2382" spans="2:47" ht="14.25" customHeight="1" x14ac:dyDescent="0.3">
      <c r="B2382" s="3"/>
      <c r="Q2382" s="1"/>
      <c r="R2382" s="1"/>
      <c r="S2382" s="2"/>
      <c r="T2382" s="2">
        <v>2268</v>
      </c>
      <c r="U2382" s="48" t="s">
        <v>93</v>
      </c>
      <c r="V2382" s="2"/>
      <c r="W2382" s="2"/>
      <c r="X2382" s="2"/>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row>
    <row r="2383" spans="2:47" ht="14.25" customHeight="1" x14ac:dyDescent="0.3">
      <c r="B2383" s="3"/>
      <c r="Q2383" s="1"/>
      <c r="R2383" s="1"/>
      <c r="S2383" s="2"/>
      <c r="T2383" s="2">
        <v>2269</v>
      </c>
      <c r="U2383" s="48" t="s">
        <v>93</v>
      </c>
      <c r="V2383" s="2"/>
      <c r="W2383" s="2"/>
      <c r="X2383" s="2"/>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row>
    <row r="2384" spans="2:47" ht="14.25" customHeight="1" x14ac:dyDescent="0.3">
      <c r="B2384" s="3"/>
      <c r="Q2384" s="1"/>
      <c r="R2384" s="1"/>
      <c r="S2384" s="2"/>
      <c r="T2384" s="2">
        <v>2270</v>
      </c>
      <c r="U2384" s="48" t="s">
        <v>93</v>
      </c>
      <c r="V2384" s="2"/>
      <c r="W2384" s="2"/>
      <c r="X2384" s="2"/>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row>
    <row r="2385" spans="2:47" ht="14.25" customHeight="1" x14ac:dyDescent="0.3">
      <c r="B2385" s="3"/>
      <c r="Q2385" s="1"/>
      <c r="R2385" s="1"/>
      <c r="S2385" s="2"/>
      <c r="T2385" s="2">
        <v>2271</v>
      </c>
      <c r="U2385" s="48" t="s">
        <v>93</v>
      </c>
      <c r="V2385" s="2"/>
      <c r="W2385" s="2"/>
      <c r="X2385" s="2"/>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row>
    <row r="2386" spans="2:47" ht="14.25" customHeight="1" x14ac:dyDescent="0.3">
      <c r="B2386" s="3"/>
      <c r="Q2386" s="1"/>
      <c r="R2386" s="1"/>
      <c r="S2386" s="2"/>
      <c r="T2386" s="2">
        <v>2272</v>
      </c>
      <c r="U2386" s="48" t="s">
        <v>93</v>
      </c>
      <c r="V2386" s="2"/>
      <c r="W2386" s="2"/>
      <c r="X2386" s="2"/>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row>
    <row r="2387" spans="2:47" ht="14.25" customHeight="1" x14ac:dyDescent="0.3">
      <c r="B2387" s="3"/>
      <c r="Q2387" s="1"/>
      <c r="R2387" s="1"/>
      <c r="S2387" s="2"/>
      <c r="T2387" s="2">
        <v>2273</v>
      </c>
      <c r="U2387" s="48" t="s">
        <v>93</v>
      </c>
      <c r="V2387" s="2"/>
      <c r="W2387" s="2"/>
      <c r="X2387" s="2"/>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row>
    <row r="2388" spans="2:47" ht="14.25" customHeight="1" x14ac:dyDescent="0.3">
      <c r="B2388" s="3"/>
      <c r="Q2388" s="1"/>
      <c r="R2388" s="1"/>
      <c r="S2388" s="2"/>
      <c r="T2388" s="2">
        <v>2274</v>
      </c>
      <c r="U2388" s="48" t="s">
        <v>93</v>
      </c>
      <c r="V2388" s="2"/>
      <c r="W2388" s="2"/>
      <c r="X2388" s="2"/>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row>
    <row r="2389" spans="2:47" ht="14.25" customHeight="1" x14ac:dyDescent="0.3">
      <c r="B2389" s="3"/>
      <c r="Q2389" s="1"/>
      <c r="R2389" s="1"/>
      <c r="S2389" s="2"/>
      <c r="T2389" s="2">
        <v>2275</v>
      </c>
      <c r="U2389" s="48" t="s">
        <v>93</v>
      </c>
      <c r="V2389" s="2"/>
      <c r="W2389" s="2"/>
      <c r="X2389" s="2"/>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row>
    <row r="2390" spans="2:47" ht="14.25" customHeight="1" x14ac:dyDescent="0.3">
      <c r="B2390" s="3"/>
      <c r="Q2390" s="1"/>
      <c r="R2390" s="1"/>
      <c r="S2390" s="2"/>
      <c r="T2390" s="2">
        <v>2276</v>
      </c>
      <c r="U2390" s="48" t="s">
        <v>93</v>
      </c>
      <c r="V2390" s="2"/>
      <c r="W2390" s="2"/>
      <c r="X2390" s="2"/>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row>
    <row r="2391" spans="2:47" ht="14.25" customHeight="1" x14ac:dyDescent="0.3">
      <c r="B2391" s="3"/>
      <c r="Q2391" s="1"/>
      <c r="R2391" s="1"/>
      <c r="S2391" s="2"/>
      <c r="T2391" s="2">
        <v>2277</v>
      </c>
      <c r="U2391" s="48" t="s">
        <v>93</v>
      </c>
      <c r="V2391" s="2"/>
      <c r="W2391" s="2"/>
      <c r="X2391" s="2"/>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row>
    <row r="2392" spans="2:47" ht="14.25" customHeight="1" x14ac:dyDescent="0.3">
      <c r="B2392" s="3"/>
      <c r="Q2392" s="1"/>
      <c r="R2392" s="1"/>
      <c r="S2392" s="2"/>
      <c r="T2392" s="2">
        <v>2278</v>
      </c>
      <c r="U2392" s="48" t="s">
        <v>93</v>
      </c>
      <c r="V2392" s="2"/>
      <c r="W2392" s="2"/>
      <c r="X2392" s="2"/>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row>
    <row r="2393" spans="2:47" ht="14.25" customHeight="1" x14ac:dyDescent="0.3">
      <c r="B2393" s="3"/>
      <c r="Q2393" s="1"/>
      <c r="R2393" s="1"/>
      <c r="S2393" s="2"/>
      <c r="T2393" s="2">
        <v>2279</v>
      </c>
      <c r="U2393" s="48" t="s">
        <v>93</v>
      </c>
      <c r="V2393" s="2"/>
      <c r="W2393" s="2"/>
      <c r="X2393" s="2"/>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row>
    <row r="2394" spans="2:47" ht="14.25" customHeight="1" x14ac:dyDescent="0.3">
      <c r="B2394" s="3"/>
      <c r="Q2394" s="1"/>
      <c r="R2394" s="1"/>
      <c r="S2394" s="2"/>
      <c r="T2394" s="2">
        <v>2280</v>
      </c>
      <c r="U2394" s="48" t="s">
        <v>93</v>
      </c>
      <c r="V2394" s="2"/>
      <c r="W2394" s="2"/>
      <c r="X2394" s="2"/>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row>
    <row r="2395" spans="2:47" ht="14.25" customHeight="1" x14ac:dyDescent="0.3">
      <c r="B2395" s="3"/>
      <c r="Q2395" s="1"/>
      <c r="R2395" s="1"/>
      <c r="S2395" s="2"/>
      <c r="T2395" s="2">
        <v>2281</v>
      </c>
      <c r="U2395" s="48" t="s">
        <v>93</v>
      </c>
      <c r="V2395" s="2"/>
      <c r="W2395" s="2"/>
      <c r="X2395" s="2"/>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row>
    <row r="2396" spans="2:47" ht="14.25" customHeight="1" x14ac:dyDescent="0.3">
      <c r="B2396" s="3"/>
      <c r="Q2396" s="1"/>
      <c r="R2396" s="1"/>
      <c r="S2396" s="2"/>
      <c r="T2396" s="2">
        <v>2282</v>
      </c>
      <c r="U2396" s="48" t="s">
        <v>93</v>
      </c>
      <c r="V2396" s="2"/>
      <c r="W2396" s="2"/>
      <c r="X2396" s="2"/>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row>
    <row r="2397" spans="2:47" ht="14.25" customHeight="1" x14ac:dyDescent="0.3">
      <c r="B2397" s="3"/>
      <c r="Q2397" s="1"/>
      <c r="R2397" s="1"/>
      <c r="S2397" s="2"/>
      <c r="T2397" s="2">
        <v>2283</v>
      </c>
      <c r="U2397" s="48" t="s">
        <v>93</v>
      </c>
      <c r="V2397" s="2"/>
      <c r="W2397" s="2"/>
      <c r="X2397" s="2"/>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row>
    <row r="2398" spans="2:47" ht="14.25" customHeight="1" x14ac:dyDescent="0.3">
      <c r="B2398" s="3"/>
      <c r="Q2398" s="1"/>
      <c r="R2398" s="1"/>
      <c r="S2398" s="2"/>
      <c r="T2398" s="2">
        <v>2284</v>
      </c>
      <c r="U2398" s="48" t="s">
        <v>93</v>
      </c>
      <c r="V2398" s="2"/>
      <c r="W2398" s="2"/>
      <c r="X2398" s="2"/>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row>
    <row r="2399" spans="2:47" ht="14.25" customHeight="1" x14ac:dyDescent="0.3">
      <c r="B2399" s="3"/>
      <c r="Q2399" s="1"/>
      <c r="R2399" s="1"/>
      <c r="S2399" s="2"/>
      <c r="T2399" s="2">
        <v>2285</v>
      </c>
      <c r="U2399" s="48" t="s">
        <v>93</v>
      </c>
      <c r="V2399" s="2"/>
      <c r="W2399" s="2"/>
      <c r="X2399" s="2"/>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row>
    <row r="2400" spans="2:47" ht="14.25" customHeight="1" x14ac:dyDescent="0.3">
      <c r="B2400" s="3"/>
      <c r="Q2400" s="1"/>
      <c r="R2400" s="1"/>
      <c r="S2400" s="2"/>
      <c r="T2400" s="2">
        <v>2286</v>
      </c>
      <c r="U2400" s="48" t="s">
        <v>93</v>
      </c>
      <c r="V2400" s="2"/>
      <c r="W2400" s="2"/>
      <c r="X2400" s="2"/>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row>
    <row r="2401" spans="2:47" ht="14.25" customHeight="1" x14ac:dyDescent="0.3">
      <c r="B2401" s="3"/>
      <c r="Q2401" s="1"/>
      <c r="R2401" s="1"/>
      <c r="S2401" s="2"/>
      <c r="T2401" s="2">
        <v>2287</v>
      </c>
      <c r="U2401" s="48" t="s">
        <v>93</v>
      </c>
      <c r="V2401" s="2"/>
      <c r="W2401" s="2"/>
      <c r="X2401" s="2"/>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row>
    <row r="2402" spans="2:47" ht="14.25" customHeight="1" x14ac:dyDescent="0.3">
      <c r="B2402" s="3"/>
      <c r="Q2402" s="1"/>
      <c r="R2402" s="1"/>
      <c r="S2402" s="2"/>
      <c r="T2402" s="2">
        <v>2288</v>
      </c>
      <c r="U2402" s="48" t="s">
        <v>93</v>
      </c>
      <c r="V2402" s="2"/>
      <c r="W2402" s="2"/>
      <c r="X2402" s="2"/>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row>
    <row r="2403" spans="2:47" ht="14.25" customHeight="1" x14ac:dyDescent="0.3">
      <c r="B2403" s="3"/>
      <c r="Q2403" s="1"/>
      <c r="R2403" s="1"/>
      <c r="S2403" s="2"/>
      <c r="T2403" s="2">
        <v>2289</v>
      </c>
      <c r="U2403" s="48" t="s">
        <v>93</v>
      </c>
      <c r="V2403" s="2"/>
      <c r="W2403" s="2"/>
      <c r="X2403" s="2"/>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row>
    <row r="2404" spans="2:47" ht="14.25" customHeight="1" x14ac:dyDescent="0.3">
      <c r="B2404" s="3"/>
      <c r="Q2404" s="1"/>
      <c r="R2404" s="1"/>
      <c r="S2404" s="2"/>
      <c r="T2404" s="2">
        <v>2290</v>
      </c>
      <c r="U2404" s="48" t="s">
        <v>93</v>
      </c>
      <c r="V2404" s="2"/>
      <c r="W2404" s="2"/>
      <c r="X2404" s="2"/>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row>
    <row r="2405" spans="2:47" ht="14.25" customHeight="1" x14ac:dyDescent="0.3">
      <c r="B2405" s="3"/>
      <c r="Q2405" s="1"/>
      <c r="R2405" s="1"/>
      <c r="S2405" s="2"/>
      <c r="T2405" s="2">
        <v>2291</v>
      </c>
      <c r="U2405" s="48" t="s">
        <v>93</v>
      </c>
      <c r="V2405" s="2"/>
      <c r="W2405" s="2"/>
      <c r="X2405" s="2"/>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row>
    <row r="2406" spans="2:47" ht="14.25" customHeight="1" x14ac:dyDescent="0.3">
      <c r="B2406" s="3"/>
      <c r="Q2406" s="1"/>
      <c r="R2406" s="1"/>
      <c r="S2406" s="2"/>
      <c r="T2406" s="2">
        <v>2292</v>
      </c>
      <c r="U2406" s="48" t="s">
        <v>93</v>
      </c>
      <c r="V2406" s="2"/>
      <c r="W2406" s="2"/>
      <c r="X2406" s="2"/>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row>
    <row r="2407" spans="2:47" ht="14.25" customHeight="1" x14ac:dyDescent="0.3">
      <c r="B2407" s="3"/>
      <c r="Q2407" s="1"/>
      <c r="R2407" s="1"/>
      <c r="S2407" s="2"/>
      <c r="T2407" s="2">
        <v>2293</v>
      </c>
      <c r="U2407" s="48" t="s">
        <v>93</v>
      </c>
      <c r="V2407" s="2"/>
      <c r="W2407" s="2"/>
      <c r="X2407" s="2"/>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row>
    <row r="2408" spans="2:47" ht="14.25" customHeight="1" x14ac:dyDescent="0.3">
      <c r="B2408" s="3"/>
      <c r="Q2408" s="1"/>
      <c r="R2408" s="1"/>
      <c r="S2408" s="2"/>
      <c r="T2408" s="2">
        <v>2294</v>
      </c>
      <c r="U2408" s="48" t="s">
        <v>93</v>
      </c>
      <c r="V2408" s="2"/>
      <c r="W2408" s="2"/>
      <c r="X2408" s="2"/>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row>
    <row r="2409" spans="2:47" ht="14.25" customHeight="1" x14ac:dyDescent="0.3">
      <c r="B2409" s="3"/>
      <c r="Q2409" s="1"/>
      <c r="R2409" s="1"/>
      <c r="S2409" s="2"/>
      <c r="T2409" s="2">
        <v>2295</v>
      </c>
      <c r="U2409" s="48" t="s">
        <v>93</v>
      </c>
      <c r="V2409" s="2"/>
      <c r="W2409" s="2"/>
      <c r="X2409" s="2"/>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row>
    <row r="2410" spans="2:47" ht="14.25" customHeight="1" x14ac:dyDescent="0.3">
      <c r="B2410" s="3"/>
      <c r="Q2410" s="1"/>
      <c r="R2410" s="1"/>
      <c r="S2410" s="2"/>
      <c r="T2410" s="2">
        <v>2296</v>
      </c>
      <c r="U2410" s="48" t="s">
        <v>93</v>
      </c>
      <c r="V2410" s="2"/>
      <c r="W2410" s="2"/>
      <c r="X2410" s="2"/>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row>
    <row r="2411" spans="2:47" ht="14.25" customHeight="1" x14ac:dyDescent="0.3">
      <c r="B2411" s="3"/>
      <c r="Q2411" s="1"/>
      <c r="R2411" s="1"/>
      <c r="S2411" s="2"/>
      <c r="T2411" s="2">
        <v>2297</v>
      </c>
      <c r="U2411" s="48" t="s">
        <v>93</v>
      </c>
      <c r="V2411" s="2"/>
      <c r="W2411" s="2"/>
      <c r="X2411" s="2"/>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row>
    <row r="2412" spans="2:47" ht="14.25" customHeight="1" x14ac:dyDescent="0.3">
      <c r="B2412" s="3"/>
      <c r="Q2412" s="1"/>
      <c r="R2412" s="1"/>
      <c r="S2412" s="2"/>
      <c r="T2412" s="2">
        <v>2298</v>
      </c>
      <c r="U2412" s="48" t="s">
        <v>93</v>
      </c>
      <c r="V2412" s="2"/>
      <c r="W2412" s="2"/>
      <c r="X2412" s="2"/>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row>
    <row r="2413" spans="2:47" ht="14.25" customHeight="1" x14ac:dyDescent="0.3">
      <c r="B2413" s="3"/>
      <c r="Q2413" s="1"/>
      <c r="R2413" s="1"/>
      <c r="S2413" s="2"/>
      <c r="T2413" s="2">
        <v>2299</v>
      </c>
      <c r="U2413" s="48" t="s">
        <v>93</v>
      </c>
      <c r="V2413" s="2"/>
      <c r="W2413" s="2"/>
      <c r="X2413" s="2"/>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row>
    <row r="2414" spans="2:47" ht="14.25" customHeight="1" x14ac:dyDescent="0.3">
      <c r="B2414" s="3"/>
      <c r="Q2414" s="1"/>
      <c r="R2414" s="1"/>
      <c r="S2414" s="2"/>
      <c r="T2414" s="2">
        <v>2300</v>
      </c>
      <c r="U2414" s="48" t="s">
        <v>93</v>
      </c>
      <c r="V2414" s="2"/>
      <c r="W2414" s="2"/>
      <c r="X2414" s="2"/>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row>
    <row r="2415" spans="2:47" ht="14.25" customHeight="1" x14ac:dyDescent="0.3">
      <c r="B2415" s="3"/>
      <c r="Q2415" s="1"/>
      <c r="R2415" s="1"/>
      <c r="S2415" s="2"/>
      <c r="T2415" s="2">
        <v>2301</v>
      </c>
      <c r="U2415" s="48" t="s">
        <v>93</v>
      </c>
      <c r="V2415" s="2"/>
      <c r="W2415" s="2"/>
      <c r="X2415" s="2"/>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row>
    <row r="2416" spans="2:47" ht="14.25" customHeight="1" x14ac:dyDescent="0.3">
      <c r="B2416" s="3"/>
      <c r="Q2416" s="1"/>
      <c r="R2416" s="1"/>
      <c r="S2416" s="2"/>
      <c r="T2416" s="2">
        <v>2302</v>
      </c>
      <c r="U2416" s="48" t="s">
        <v>93</v>
      </c>
      <c r="V2416" s="2"/>
      <c r="W2416" s="2"/>
      <c r="X2416" s="2"/>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row>
    <row r="2417" spans="2:47" ht="14.25" customHeight="1" x14ac:dyDescent="0.3">
      <c r="B2417" s="3"/>
      <c r="Q2417" s="1"/>
      <c r="R2417" s="1"/>
      <c r="S2417" s="2"/>
      <c r="T2417" s="2">
        <v>2303</v>
      </c>
      <c r="U2417" s="48" t="s">
        <v>93</v>
      </c>
      <c r="V2417" s="2"/>
      <c r="W2417" s="2"/>
      <c r="X2417" s="2"/>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row>
    <row r="2418" spans="2:47" ht="14.25" customHeight="1" x14ac:dyDescent="0.3">
      <c r="B2418" s="3"/>
      <c r="Q2418" s="1"/>
      <c r="R2418" s="1"/>
      <c r="S2418" s="2"/>
      <c r="T2418" s="2">
        <v>2304</v>
      </c>
      <c r="U2418" s="48" t="s">
        <v>93</v>
      </c>
      <c r="V2418" s="2"/>
      <c r="W2418" s="2"/>
      <c r="X2418" s="2"/>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row>
    <row r="2419" spans="2:47" ht="14.25" customHeight="1" x14ac:dyDescent="0.3">
      <c r="B2419" s="3"/>
      <c r="Q2419" s="1"/>
      <c r="R2419" s="1"/>
      <c r="S2419" s="2"/>
      <c r="T2419" s="2">
        <v>2305</v>
      </c>
      <c r="U2419" s="48" t="s">
        <v>93</v>
      </c>
      <c r="V2419" s="2"/>
      <c r="W2419" s="2"/>
      <c r="X2419" s="2"/>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row>
    <row r="2420" spans="2:47" ht="14.25" customHeight="1" x14ac:dyDescent="0.3">
      <c r="B2420" s="3"/>
      <c r="Q2420" s="1"/>
      <c r="R2420" s="1"/>
      <c r="S2420" s="2"/>
      <c r="T2420" s="2">
        <v>2306</v>
      </c>
      <c r="U2420" s="48" t="s">
        <v>93</v>
      </c>
      <c r="V2420" s="2"/>
      <c r="W2420" s="2"/>
      <c r="X2420" s="2"/>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row>
    <row r="2421" spans="2:47" ht="14.25" customHeight="1" x14ac:dyDescent="0.3">
      <c r="B2421" s="3"/>
      <c r="Q2421" s="1"/>
      <c r="R2421" s="1"/>
      <c r="S2421" s="2"/>
      <c r="T2421" s="2">
        <v>2307</v>
      </c>
      <c r="U2421" s="48" t="s">
        <v>93</v>
      </c>
      <c r="V2421" s="2"/>
      <c r="W2421" s="2"/>
      <c r="X2421" s="2"/>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row>
    <row r="2422" spans="2:47" ht="14.25" customHeight="1" x14ac:dyDescent="0.3">
      <c r="B2422" s="3"/>
      <c r="Q2422" s="1"/>
      <c r="R2422" s="1"/>
      <c r="S2422" s="2"/>
      <c r="T2422" s="2">
        <v>2308</v>
      </c>
      <c r="U2422" s="48" t="s">
        <v>93</v>
      </c>
      <c r="V2422" s="2"/>
      <c r="W2422" s="2"/>
      <c r="X2422" s="2"/>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row>
    <row r="2423" spans="2:47" ht="14.25" customHeight="1" x14ac:dyDescent="0.3">
      <c r="B2423" s="3"/>
      <c r="Q2423" s="1"/>
      <c r="R2423" s="1"/>
      <c r="S2423" s="2"/>
      <c r="T2423" s="2">
        <v>2309</v>
      </c>
      <c r="U2423" s="48" t="s">
        <v>93</v>
      </c>
      <c r="V2423" s="2"/>
      <c r="W2423" s="2"/>
      <c r="X2423" s="2"/>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row>
    <row r="2424" spans="2:47" ht="14.25" customHeight="1" x14ac:dyDescent="0.3">
      <c r="B2424" s="3"/>
      <c r="Q2424" s="1"/>
      <c r="R2424" s="1"/>
      <c r="S2424" s="2"/>
      <c r="T2424" s="2">
        <v>2310</v>
      </c>
      <c r="U2424" s="48" t="s">
        <v>93</v>
      </c>
      <c r="V2424" s="2"/>
      <c r="W2424" s="2"/>
      <c r="X2424" s="2"/>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row>
    <row r="2425" spans="2:47" ht="14.25" customHeight="1" x14ac:dyDescent="0.3">
      <c r="B2425" s="3"/>
      <c r="Q2425" s="1"/>
      <c r="R2425" s="1"/>
      <c r="S2425" s="2"/>
      <c r="T2425" s="2">
        <v>2311</v>
      </c>
      <c r="U2425" s="48" t="s">
        <v>93</v>
      </c>
      <c r="V2425" s="2"/>
      <c r="W2425" s="2"/>
      <c r="X2425" s="2"/>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row>
    <row r="2426" spans="2:47" ht="14.25" customHeight="1" x14ac:dyDescent="0.3">
      <c r="B2426" s="3"/>
      <c r="Q2426" s="1"/>
      <c r="R2426" s="1"/>
      <c r="S2426" s="2"/>
      <c r="T2426" s="2">
        <v>2312</v>
      </c>
      <c r="U2426" s="48" t="s">
        <v>93</v>
      </c>
      <c r="V2426" s="2"/>
      <c r="W2426" s="2"/>
      <c r="X2426" s="2"/>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row>
    <row r="2427" spans="2:47" ht="14.25" customHeight="1" x14ac:dyDescent="0.3">
      <c r="B2427" s="3"/>
      <c r="Q2427" s="1"/>
      <c r="R2427" s="1"/>
      <c r="S2427" s="2"/>
      <c r="T2427" s="2">
        <v>2313</v>
      </c>
      <c r="U2427" s="48" t="s">
        <v>93</v>
      </c>
      <c r="V2427" s="2"/>
      <c r="W2427" s="2"/>
      <c r="X2427" s="2"/>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row>
    <row r="2428" spans="2:47" ht="14.25" customHeight="1" x14ac:dyDescent="0.3">
      <c r="B2428" s="3"/>
      <c r="Q2428" s="1"/>
      <c r="R2428" s="1"/>
      <c r="S2428" s="2"/>
      <c r="T2428" s="2">
        <v>2314</v>
      </c>
      <c r="U2428" s="48" t="s">
        <v>93</v>
      </c>
      <c r="V2428" s="2"/>
      <c r="W2428" s="2"/>
      <c r="X2428" s="2"/>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row>
    <row r="2429" spans="2:47" ht="14.25" customHeight="1" x14ac:dyDescent="0.3">
      <c r="B2429" s="3"/>
      <c r="Q2429" s="1"/>
      <c r="R2429" s="1"/>
      <c r="S2429" s="2"/>
      <c r="T2429" s="2">
        <v>2315</v>
      </c>
      <c r="U2429" s="48" t="s">
        <v>93</v>
      </c>
      <c r="V2429" s="2"/>
      <c r="W2429" s="2"/>
      <c r="X2429" s="2"/>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row>
    <row r="2430" spans="2:47" ht="14.25" customHeight="1" x14ac:dyDescent="0.3">
      <c r="B2430" s="3"/>
      <c r="Q2430" s="1"/>
      <c r="R2430" s="1"/>
      <c r="S2430" s="2"/>
      <c r="T2430" s="2">
        <v>2316</v>
      </c>
      <c r="U2430" s="48" t="s">
        <v>93</v>
      </c>
      <c r="V2430" s="2"/>
      <c r="W2430" s="2"/>
      <c r="X2430" s="2"/>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row>
    <row r="2431" spans="2:47" ht="14.25" customHeight="1" x14ac:dyDescent="0.3">
      <c r="B2431" s="3"/>
      <c r="Q2431" s="1"/>
      <c r="R2431" s="1"/>
      <c r="S2431" s="2"/>
      <c r="T2431" s="2">
        <v>2317</v>
      </c>
      <c r="U2431" s="48" t="s">
        <v>93</v>
      </c>
      <c r="V2431" s="2"/>
      <c r="W2431" s="2"/>
      <c r="X2431" s="2"/>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row>
    <row r="2432" spans="2:47" ht="14.25" customHeight="1" x14ac:dyDescent="0.3">
      <c r="B2432" s="3"/>
      <c r="Q2432" s="1"/>
      <c r="R2432" s="1"/>
      <c r="S2432" s="2"/>
      <c r="T2432" s="2">
        <v>2318</v>
      </c>
      <c r="U2432" s="48" t="s">
        <v>93</v>
      </c>
      <c r="V2432" s="2"/>
      <c r="W2432" s="2"/>
      <c r="X2432" s="2"/>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row>
    <row r="2433" spans="2:47" ht="14.25" customHeight="1" x14ac:dyDescent="0.3">
      <c r="B2433" s="3"/>
      <c r="Q2433" s="1"/>
      <c r="R2433" s="1"/>
      <c r="S2433" s="2"/>
      <c r="T2433" s="2">
        <v>2319</v>
      </c>
      <c r="U2433" s="48" t="s">
        <v>93</v>
      </c>
      <c r="V2433" s="2"/>
      <c r="W2433" s="2"/>
      <c r="X2433" s="2"/>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row>
    <row r="2434" spans="2:47" ht="14.25" customHeight="1" x14ac:dyDescent="0.3">
      <c r="B2434" s="3"/>
      <c r="Q2434" s="1"/>
      <c r="R2434" s="1"/>
      <c r="S2434" s="2"/>
      <c r="T2434" s="2">
        <v>2320</v>
      </c>
      <c r="U2434" s="48" t="s">
        <v>93</v>
      </c>
      <c r="V2434" s="2"/>
      <c r="W2434" s="2"/>
      <c r="X2434" s="2"/>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row>
    <row r="2435" spans="2:47" ht="14.25" customHeight="1" x14ac:dyDescent="0.3">
      <c r="B2435" s="3"/>
      <c r="Q2435" s="1"/>
      <c r="R2435" s="1"/>
      <c r="S2435" s="2"/>
      <c r="T2435" s="2">
        <v>2321</v>
      </c>
      <c r="U2435" s="48" t="s">
        <v>93</v>
      </c>
      <c r="V2435" s="2"/>
      <c r="W2435" s="2"/>
      <c r="X2435" s="2"/>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row>
    <row r="2436" spans="2:47" ht="14.25" customHeight="1" x14ac:dyDescent="0.3">
      <c r="B2436" s="3"/>
      <c r="Q2436" s="1"/>
      <c r="R2436" s="1"/>
      <c r="S2436" s="2"/>
      <c r="T2436" s="2">
        <v>2322</v>
      </c>
      <c r="U2436" s="48" t="s">
        <v>93</v>
      </c>
      <c r="V2436" s="2"/>
      <c r="W2436" s="2"/>
      <c r="X2436" s="2"/>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row>
    <row r="2437" spans="2:47" ht="14.25" customHeight="1" x14ac:dyDescent="0.3">
      <c r="B2437" s="3"/>
      <c r="Q2437" s="1"/>
      <c r="R2437" s="1"/>
      <c r="S2437" s="2"/>
      <c r="T2437" s="2">
        <v>2323</v>
      </c>
      <c r="U2437" s="48" t="s">
        <v>93</v>
      </c>
      <c r="V2437" s="2"/>
      <c r="W2437" s="2"/>
      <c r="X2437" s="2"/>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row>
    <row r="2438" spans="2:47" ht="14.25" customHeight="1" x14ac:dyDescent="0.3">
      <c r="B2438" s="3"/>
      <c r="Q2438" s="1"/>
      <c r="R2438" s="1"/>
      <c r="S2438" s="2"/>
      <c r="T2438" s="2">
        <v>2324</v>
      </c>
      <c r="U2438" s="48" t="s">
        <v>93</v>
      </c>
      <c r="V2438" s="2"/>
      <c r="W2438" s="2"/>
      <c r="X2438" s="2"/>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row>
    <row r="2439" spans="2:47" ht="14.25" customHeight="1" x14ac:dyDescent="0.3">
      <c r="B2439" s="3"/>
      <c r="Q2439" s="1"/>
      <c r="R2439" s="1"/>
      <c r="S2439" s="2"/>
      <c r="T2439" s="2">
        <v>2325</v>
      </c>
      <c r="U2439" s="48" t="s">
        <v>93</v>
      </c>
      <c r="V2439" s="2"/>
      <c r="W2439" s="2"/>
      <c r="X2439" s="2"/>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row>
    <row r="2440" spans="2:47" ht="14.25" customHeight="1" x14ac:dyDescent="0.3">
      <c r="B2440" s="3"/>
      <c r="Q2440" s="1"/>
      <c r="R2440" s="1"/>
      <c r="S2440" s="2"/>
      <c r="T2440" s="2">
        <v>2326</v>
      </c>
      <c r="U2440" s="48" t="s">
        <v>93</v>
      </c>
      <c r="V2440" s="2"/>
      <c r="W2440" s="2"/>
      <c r="X2440" s="2"/>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row>
    <row r="2441" spans="2:47" ht="14.25" customHeight="1" x14ac:dyDescent="0.3">
      <c r="B2441" s="3"/>
      <c r="Q2441" s="1"/>
      <c r="R2441" s="1"/>
      <c r="S2441" s="2"/>
      <c r="T2441" s="2">
        <v>2327</v>
      </c>
      <c r="U2441" s="48" t="s">
        <v>93</v>
      </c>
      <c r="V2441" s="2"/>
      <c r="W2441" s="2"/>
      <c r="X2441" s="2"/>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row>
    <row r="2442" spans="2:47" ht="14.25" customHeight="1" x14ac:dyDescent="0.3">
      <c r="B2442" s="3"/>
      <c r="Q2442" s="1"/>
      <c r="R2442" s="1"/>
      <c r="S2442" s="2"/>
      <c r="T2442" s="2">
        <v>2328</v>
      </c>
      <c r="U2442" s="48" t="s">
        <v>93</v>
      </c>
      <c r="V2442" s="2"/>
      <c r="W2442" s="2"/>
      <c r="X2442" s="2"/>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row>
    <row r="2443" spans="2:47" ht="14.25" customHeight="1" x14ac:dyDescent="0.3">
      <c r="B2443" s="3"/>
      <c r="Q2443" s="1"/>
      <c r="R2443" s="1"/>
      <c r="S2443" s="2"/>
      <c r="T2443" s="2">
        <v>2329</v>
      </c>
      <c r="U2443" s="48" t="s">
        <v>93</v>
      </c>
      <c r="V2443" s="2"/>
      <c r="W2443" s="2"/>
      <c r="X2443" s="2"/>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row>
    <row r="2444" spans="2:47" ht="14.25" customHeight="1" x14ac:dyDescent="0.3">
      <c r="B2444" s="3"/>
      <c r="Q2444" s="1"/>
      <c r="R2444" s="1"/>
      <c r="S2444" s="2"/>
      <c r="T2444" s="2">
        <v>2330</v>
      </c>
      <c r="U2444" s="48" t="s">
        <v>93</v>
      </c>
      <c r="V2444" s="2"/>
      <c r="W2444" s="2"/>
      <c r="X2444" s="2"/>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row>
    <row r="2445" spans="2:47" ht="14.25" customHeight="1" x14ac:dyDescent="0.3">
      <c r="B2445" s="3"/>
      <c r="Q2445" s="1"/>
      <c r="R2445" s="1"/>
      <c r="S2445" s="2"/>
      <c r="T2445" s="2">
        <v>2331</v>
      </c>
      <c r="U2445" s="48" t="s">
        <v>93</v>
      </c>
      <c r="V2445" s="2"/>
      <c r="W2445" s="2"/>
      <c r="X2445" s="2"/>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row>
    <row r="2446" spans="2:47" ht="14.25" customHeight="1" x14ac:dyDescent="0.3">
      <c r="B2446" s="3"/>
      <c r="Q2446" s="1"/>
      <c r="R2446" s="1"/>
      <c r="S2446" s="2"/>
      <c r="T2446" s="2">
        <v>2332</v>
      </c>
      <c r="U2446" s="48" t="s">
        <v>93</v>
      </c>
      <c r="V2446" s="2"/>
      <c r="W2446" s="2"/>
      <c r="X2446" s="2"/>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row>
    <row r="2447" spans="2:47" ht="14.25" customHeight="1" x14ac:dyDescent="0.3">
      <c r="B2447" s="3"/>
      <c r="Q2447" s="1"/>
      <c r="R2447" s="1"/>
      <c r="S2447" s="2"/>
      <c r="T2447" s="2">
        <v>2333</v>
      </c>
      <c r="U2447" s="48" t="s">
        <v>93</v>
      </c>
      <c r="V2447" s="2"/>
      <c r="W2447" s="2"/>
      <c r="X2447" s="2"/>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row>
    <row r="2448" spans="2:47" ht="14.25" customHeight="1" x14ac:dyDescent="0.3">
      <c r="B2448" s="3"/>
      <c r="Q2448" s="1"/>
      <c r="R2448" s="1"/>
      <c r="S2448" s="2"/>
      <c r="T2448" s="2">
        <v>2334</v>
      </c>
      <c r="U2448" s="48" t="s">
        <v>93</v>
      </c>
      <c r="V2448" s="2"/>
      <c r="W2448" s="2"/>
      <c r="X2448" s="2"/>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row>
    <row r="2449" spans="2:47" ht="14.25" customHeight="1" x14ac:dyDescent="0.3">
      <c r="B2449" s="3"/>
      <c r="Q2449" s="1"/>
      <c r="R2449" s="1"/>
      <c r="S2449" s="2"/>
      <c r="T2449" s="2">
        <v>2335</v>
      </c>
      <c r="U2449" s="48" t="s">
        <v>93</v>
      </c>
      <c r="V2449" s="2"/>
      <c r="W2449" s="2"/>
      <c r="X2449" s="2"/>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row>
    <row r="2450" spans="2:47" ht="14.25" customHeight="1" x14ac:dyDescent="0.3">
      <c r="B2450" s="3"/>
      <c r="Q2450" s="1"/>
      <c r="R2450" s="1"/>
      <c r="S2450" s="2"/>
      <c r="T2450" s="2">
        <v>2336</v>
      </c>
      <c r="U2450" s="48" t="s">
        <v>93</v>
      </c>
      <c r="V2450" s="2"/>
      <c r="W2450" s="2"/>
      <c r="X2450" s="2"/>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row>
    <row r="2451" spans="2:47" ht="14.25" customHeight="1" x14ac:dyDescent="0.3">
      <c r="B2451" s="3"/>
      <c r="Q2451" s="1"/>
      <c r="R2451" s="1"/>
      <c r="S2451" s="2"/>
      <c r="T2451" s="2">
        <v>2337</v>
      </c>
      <c r="U2451" s="48" t="s">
        <v>93</v>
      </c>
      <c r="V2451" s="2"/>
      <c r="W2451" s="2"/>
      <c r="X2451" s="2"/>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row>
    <row r="2452" spans="2:47" ht="14.25" customHeight="1" x14ac:dyDescent="0.3">
      <c r="B2452" s="3"/>
      <c r="Q2452" s="1"/>
      <c r="R2452" s="1"/>
      <c r="S2452" s="2"/>
      <c r="T2452" s="2">
        <v>2338</v>
      </c>
      <c r="U2452" s="48" t="s">
        <v>93</v>
      </c>
      <c r="V2452" s="2"/>
      <c r="W2452" s="2"/>
      <c r="X2452" s="2"/>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row>
    <row r="2453" spans="2:47" ht="14.25" customHeight="1" x14ac:dyDescent="0.3">
      <c r="B2453" s="3"/>
      <c r="Q2453" s="1"/>
      <c r="R2453" s="1"/>
      <c r="S2453" s="2"/>
      <c r="T2453" s="2">
        <v>2339</v>
      </c>
      <c r="U2453" s="48" t="s">
        <v>93</v>
      </c>
      <c r="V2453" s="2"/>
      <c r="W2453" s="2"/>
      <c r="X2453" s="2"/>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row>
    <row r="2454" spans="2:47" ht="14.25" customHeight="1" x14ac:dyDescent="0.3">
      <c r="B2454" s="3"/>
      <c r="Q2454" s="1"/>
      <c r="R2454" s="1"/>
      <c r="S2454" s="2"/>
      <c r="T2454" s="2">
        <v>2340</v>
      </c>
      <c r="U2454" s="48" t="s">
        <v>93</v>
      </c>
      <c r="V2454" s="2"/>
      <c r="W2454" s="2"/>
      <c r="X2454" s="2"/>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row>
    <row r="2455" spans="2:47" ht="14.25" customHeight="1" x14ac:dyDescent="0.3">
      <c r="B2455" s="3"/>
      <c r="Q2455" s="1"/>
      <c r="R2455" s="1"/>
      <c r="S2455" s="2"/>
      <c r="T2455" s="2">
        <v>2341</v>
      </c>
      <c r="U2455" s="48" t="s">
        <v>93</v>
      </c>
      <c r="V2455" s="2"/>
      <c r="W2455" s="2"/>
      <c r="X2455" s="2"/>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row>
    <row r="2456" spans="2:47" ht="14.25" customHeight="1" x14ac:dyDescent="0.3">
      <c r="B2456" s="3"/>
      <c r="Q2456" s="1"/>
      <c r="R2456" s="1"/>
      <c r="S2456" s="2"/>
      <c r="T2456" s="2">
        <v>2342</v>
      </c>
      <c r="U2456" s="48" t="s">
        <v>93</v>
      </c>
      <c r="V2456" s="2"/>
      <c r="W2456" s="2"/>
      <c r="X2456" s="2"/>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row>
    <row r="2457" spans="2:47" ht="14.25" customHeight="1" x14ac:dyDescent="0.3">
      <c r="B2457" s="3"/>
      <c r="Q2457" s="1"/>
      <c r="R2457" s="1"/>
      <c r="S2457" s="2"/>
      <c r="T2457" s="2">
        <v>2343</v>
      </c>
      <c r="U2457" s="48" t="s">
        <v>93</v>
      </c>
      <c r="V2457" s="2"/>
      <c r="W2457" s="2"/>
      <c r="X2457" s="2"/>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row>
    <row r="2458" spans="2:47" ht="14.25" customHeight="1" x14ac:dyDescent="0.3">
      <c r="B2458" s="3"/>
      <c r="Q2458" s="1"/>
      <c r="R2458" s="1"/>
      <c r="S2458" s="2"/>
      <c r="T2458" s="2">
        <v>2344</v>
      </c>
      <c r="U2458" s="48" t="s">
        <v>93</v>
      </c>
      <c r="V2458" s="2"/>
      <c r="W2458" s="2"/>
      <c r="X2458" s="2"/>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row>
    <row r="2459" spans="2:47" ht="14.25" customHeight="1" x14ac:dyDescent="0.3">
      <c r="B2459" s="3"/>
      <c r="Q2459" s="1"/>
      <c r="R2459" s="1"/>
      <c r="S2459" s="2"/>
      <c r="T2459" s="2">
        <v>2345</v>
      </c>
      <c r="U2459" s="48" t="s">
        <v>93</v>
      </c>
      <c r="V2459" s="2"/>
      <c r="W2459" s="2"/>
      <c r="X2459" s="2"/>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row>
    <row r="2460" spans="2:47" ht="14.25" customHeight="1" x14ac:dyDescent="0.3">
      <c r="B2460" s="3"/>
      <c r="Q2460" s="1"/>
      <c r="R2460" s="1"/>
      <c r="S2460" s="2"/>
      <c r="T2460" s="2">
        <v>2346</v>
      </c>
      <c r="U2460" s="48" t="s">
        <v>93</v>
      </c>
      <c r="V2460" s="2"/>
      <c r="W2460" s="2"/>
      <c r="X2460" s="2"/>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row>
    <row r="2461" spans="2:47" ht="14.25" customHeight="1" x14ac:dyDescent="0.3">
      <c r="B2461" s="3"/>
      <c r="Q2461" s="1"/>
      <c r="R2461" s="1"/>
      <c r="S2461" s="2"/>
      <c r="T2461" s="2">
        <v>2347</v>
      </c>
      <c r="U2461" s="48" t="s">
        <v>93</v>
      </c>
      <c r="V2461" s="2"/>
      <c r="W2461" s="2"/>
      <c r="X2461" s="2"/>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row>
    <row r="2462" spans="2:47" ht="14.25" customHeight="1" x14ac:dyDescent="0.3">
      <c r="B2462" s="3"/>
      <c r="Q2462" s="1"/>
      <c r="R2462" s="1"/>
      <c r="S2462" s="2"/>
      <c r="T2462" s="2">
        <v>2348</v>
      </c>
      <c r="U2462" s="48" t="s">
        <v>93</v>
      </c>
      <c r="V2462" s="2"/>
      <c r="W2462" s="2"/>
      <c r="X2462" s="2"/>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row>
    <row r="2463" spans="2:47" ht="14.25" customHeight="1" x14ac:dyDescent="0.3">
      <c r="B2463" s="3"/>
      <c r="Q2463" s="1"/>
      <c r="R2463" s="1"/>
      <c r="S2463" s="2"/>
      <c r="T2463" s="2">
        <v>2349</v>
      </c>
      <c r="U2463" s="48" t="s">
        <v>93</v>
      </c>
      <c r="V2463" s="2"/>
      <c r="W2463" s="2"/>
      <c r="X2463" s="2"/>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row>
    <row r="2464" spans="2:47" ht="14.25" customHeight="1" x14ac:dyDescent="0.3">
      <c r="B2464" s="3"/>
      <c r="Q2464" s="1"/>
      <c r="R2464" s="1"/>
      <c r="S2464" s="2"/>
      <c r="T2464" s="2">
        <v>2350</v>
      </c>
      <c r="U2464" s="48" t="s">
        <v>93</v>
      </c>
      <c r="V2464" s="2"/>
      <c r="W2464" s="2"/>
      <c r="X2464" s="2"/>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row>
    <row r="2465" spans="2:47" ht="14.25" customHeight="1" x14ac:dyDescent="0.3">
      <c r="B2465" s="3"/>
      <c r="Q2465" s="1"/>
      <c r="R2465" s="1"/>
      <c r="S2465" s="2"/>
      <c r="T2465" s="2">
        <v>2351</v>
      </c>
      <c r="U2465" s="48" t="s">
        <v>93</v>
      </c>
      <c r="V2465" s="2"/>
      <c r="W2465" s="2"/>
      <c r="X2465" s="2"/>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row>
    <row r="2466" spans="2:47" ht="14.25" customHeight="1" x14ac:dyDescent="0.3">
      <c r="B2466" s="3"/>
      <c r="Q2466" s="1"/>
      <c r="R2466" s="1"/>
      <c r="S2466" s="2"/>
      <c r="T2466" s="2">
        <v>2352</v>
      </c>
      <c r="U2466" s="48" t="s">
        <v>93</v>
      </c>
      <c r="V2466" s="2"/>
      <c r="W2466" s="2"/>
      <c r="X2466" s="2"/>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row>
    <row r="2467" spans="2:47" ht="14.25" customHeight="1" x14ac:dyDescent="0.3">
      <c r="B2467" s="3"/>
      <c r="Q2467" s="1"/>
      <c r="R2467" s="1"/>
      <c r="S2467" s="2"/>
      <c r="T2467" s="2">
        <v>2353</v>
      </c>
      <c r="U2467" s="48" t="s">
        <v>93</v>
      </c>
      <c r="V2467" s="2"/>
      <c r="W2467" s="2"/>
      <c r="X2467" s="2"/>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row>
    <row r="2468" spans="2:47" ht="14.25" customHeight="1" x14ac:dyDescent="0.3">
      <c r="B2468" s="3"/>
      <c r="Q2468" s="1"/>
      <c r="R2468" s="1"/>
      <c r="S2468" s="2"/>
      <c r="T2468" s="2">
        <v>2354</v>
      </c>
      <c r="U2468" s="48" t="s">
        <v>93</v>
      </c>
      <c r="V2468" s="2"/>
      <c r="W2468" s="2"/>
      <c r="X2468" s="2"/>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row>
    <row r="2469" spans="2:47" ht="14.25" customHeight="1" x14ac:dyDescent="0.3">
      <c r="B2469" s="3"/>
      <c r="Q2469" s="1"/>
      <c r="R2469" s="1"/>
      <c r="S2469" s="2"/>
      <c r="T2469" s="2">
        <v>2355</v>
      </c>
      <c r="U2469" s="48" t="s">
        <v>93</v>
      </c>
      <c r="V2469" s="2"/>
      <c r="W2469" s="2"/>
      <c r="X2469" s="2"/>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row>
    <row r="2470" spans="2:47" ht="14.25" customHeight="1" x14ac:dyDescent="0.3">
      <c r="B2470" s="3"/>
      <c r="Q2470" s="1"/>
      <c r="R2470" s="1"/>
      <c r="S2470" s="2"/>
      <c r="T2470" s="2">
        <v>2356</v>
      </c>
      <c r="U2470" s="48" t="s">
        <v>93</v>
      </c>
      <c r="V2470" s="2"/>
      <c r="W2470" s="2"/>
      <c r="X2470" s="2"/>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row>
    <row r="2471" spans="2:47" ht="14.25" customHeight="1" x14ac:dyDescent="0.3">
      <c r="B2471" s="3"/>
      <c r="Q2471" s="1"/>
      <c r="R2471" s="1"/>
      <c r="S2471" s="2"/>
      <c r="T2471" s="2">
        <v>2357</v>
      </c>
      <c r="U2471" s="48" t="s">
        <v>93</v>
      </c>
      <c r="V2471" s="2"/>
      <c r="W2471" s="2"/>
      <c r="X2471" s="2"/>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row>
    <row r="2472" spans="2:47" ht="14.25" customHeight="1" x14ac:dyDescent="0.3">
      <c r="B2472" s="3"/>
      <c r="Q2472" s="1"/>
      <c r="R2472" s="1"/>
      <c r="S2472" s="2"/>
      <c r="T2472" s="2">
        <v>2358</v>
      </c>
      <c r="U2472" s="48" t="s">
        <v>93</v>
      </c>
      <c r="V2472" s="2"/>
      <c r="W2472" s="2"/>
      <c r="X2472" s="2"/>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row>
    <row r="2473" spans="2:47" ht="14.25" customHeight="1" x14ac:dyDescent="0.3">
      <c r="B2473" s="3"/>
      <c r="Q2473" s="1"/>
      <c r="R2473" s="1"/>
      <c r="S2473" s="2"/>
      <c r="T2473" s="2">
        <v>2359</v>
      </c>
      <c r="U2473" s="48" t="s">
        <v>93</v>
      </c>
      <c r="V2473" s="2"/>
      <c r="W2473" s="2"/>
      <c r="X2473" s="2"/>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row>
    <row r="2474" spans="2:47" ht="14.25" customHeight="1" x14ac:dyDescent="0.3">
      <c r="B2474" s="3"/>
      <c r="Q2474" s="1"/>
      <c r="R2474" s="1"/>
      <c r="S2474" s="2"/>
      <c r="T2474" s="2">
        <v>2360</v>
      </c>
      <c r="U2474" s="48" t="s">
        <v>93</v>
      </c>
      <c r="V2474" s="2"/>
      <c r="W2474" s="2"/>
      <c r="X2474" s="2"/>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row>
    <row r="2475" spans="2:47" ht="14.25" customHeight="1" x14ac:dyDescent="0.3">
      <c r="B2475" s="3"/>
      <c r="Q2475" s="1"/>
      <c r="R2475" s="1"/>
      <c r="S2475" s="2"/>
      <c r="T2475" s="2">
        <v>2361</v>
      </c>
      <c r="U2475" s="48" t="s">
        <v>93</v>
      </c>
      <c r="V2475" s="2"/>
      <c r="W2475" s="2"/>
      <c r="X2475" s="2"/>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row>
    <row r="2476" spans="2:47" ht="14.25" customHeight="1" x14ac:dyDescent="0.3">
      <c r="B2476" s="3"/>
      <c r="Q2476" s="1"/>
      <c r="R2476" s="1"/>
      <c r="S2476" s="2"/>
      <c r="T2476" s="2">
        <v>2362</v>
      </c>
      <c r="U2476" s="48" t="s">
        <v>93</v>
      </c>
      <c r="V2476" s="2"/>
      <c r="W2476" s="2"/>
      <c r="X2476" s="2"/>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row>
    <row r="2477" spans="2:47" ht="14.25" customHeight="1" x14ac:dyDescent="0.3">
      <c r="B2477" s="3"/>
      <c r="Q2477" s="1"/>
      <c r="R2477" s="1"/>
      <c r="S2477" s="2"/>
      <c r="T2477" s="2">
        <v>2363</v>
      </c>
      <c r="U2477" s="48" t="s">
        <v>93</v>
      </c>
      <c r="V2477" s="2"/>
      <c r="W2477" s="2"/>
      <c r="X2477" s="2"/>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row>
    <row r="2478" spans="2:47" ht="14.25" customHeight="1" x14ac:dyDescent="0.3">
      <c r="B2478" s="3"/>
      <c r="Q2478" s="1"/>
      <c r="R2478" s="1"/>
      <c r="S2478" s="2"/>
      <c r="T2478" s="2">
        <v>2364</v>
      </c>
      <c r="U2478" s="48" t="s">
        <v>93</v>
      </c>
      <c r="V2478" s="2"/>
      <c r="W2478" s="2"/>
      <c r="X2478" s="2"/>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row>
    <row r="2479" spans="2:47" ht="14.25" customHeight="1" x14ac:dyDescent="0.3">
      <c r="B2479" s="3"/>
      <c r="Q2479" s="1"/>
      <c r="R2479" s="1"/>
      <c r="S2479" s="2"/>
      <c r="T2479" s="2">
        <v>2365</v>
      </c>
      <c r="U2479" s="48" t="s">
        <v>93</v>
      </c>
      <c r="V2479" s="2"/>
      <c r="W2479" s="2"/>
      <c r="X2479" s="2"/>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row>
    <row r="2480" spans="2:47" ht="14.25" customHeight="1" x14ac:dyDescent="0.3">
      <c r="B2480" s="3"/>
      <c r="Q2480" s="1"/>
      <c r="R2480" s="1"/>
      <c r="S2480" s="2"/>
      <c r="T2480" s="2">
        <v>2366</v>
      </c>
      <c r="U2480" s="48" t="s">
        <v>93</v>
      </c>
      <c r="V2480" s="2"/>
      <c r="W2480" s="2"/>
      <c r="X2480" s="2"/>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row>
    <row r="2481" spans="2:47" ht="14.25" customHeight="1" x14ac:dyDescent="0.3">
      <c r="B2481" s="3"/>
      <c r="Q2481" s="1"/>
      <c r="R2481" s="1"/>
      <c r="S2481" s="2"/>
      <c r="T2481" s="2">
        <v>2367</v>
      </c>
      <c r="U2481" s="48" t="s">
        <v>93</v>
      </c>
      <c r="V2481" s="2"/>
      <c r="W2481" s="2"/>
      <c r="X2481" s="2"/>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row>
    <row r="2482" spans="2:47" ht="14.25" customHeight="1" x14ac:dyDescent="0.3">
      <c r="B2482" s="3"/>
      <c r="Q2482" s="1"/>
      <c r="R2482" s="1"/>
      <c r="S2482" s="2"/>
      <c r="T2482" s="2">
        <v>2368</v>
      </c>
      <c r="U2482" s="48" t="s">
        <v>93</v>
      </c>
      <c r="V2482" s="2"/>
      <c r="W2482" s="2"/>
      <c r="X2482" s="2"/>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row>
    <row r="2483" spans="2:47" ht="14.25" customHeight="1" x14ac:dyDescent="0.3">
      <c r="B2483" s="3"/>
      <c r="Q2483" s="1"/>
      <c r="R2483" s="1"/>
      <c r="S2483" s="2"/>
      <c r="T2483" s="2">
        <v>2369</v>
      </c>
      <c r="U2483" s="48" t="s">
        <v>93</v>
      </c>
      <c r="V2483" s="2"/>
      <c r="W2483" s="2"/>
      <c r="X2483" s="2"/>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row>
    <row r="2484" spans="2:47" ht="14.25" customHeight="1" x14ac:dyDescent="0.3">
      <c r="B2484" s="3"/>
      <c r="Q2484" s="1"/>
      <c r="R2484" s="1"/>
      <c r="S2484" s="2"/>
      <c r="T2484" s="2">
        <v>2370</v>
      </c>
      <c r="U2484" s="48" t="s">
        <v>93</v>
      </c>
      <c r="V2484" s="2"/>
      <c r="W2484" s="2"/>
      <c r="X2484" s="2"/>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row>
    <row r="2485" spans="2:47" ht="14.25" customHeight="1" x14ac:dyDescent="0.3">
      <c r="B2485" s="3"/>
      <c r="Q2485" s="1"/>
      <c r="R2485" s="1"/>
      <c r="S2485" s="2"/>
      <c r="T2485" s="2">
        <v>2371</v>
      </c>
      <c r="U2485" s="48" t="s">
        <v>93</v>
      </c>
      <c r="V2485" s="2"/>
      <c r="W2485" s="2"/>
      <c r="X2485" s="2"/>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row>
    <row r="2486" spans="2:47" ht="14.25" customHeight="1" x14ac:dyDescent="0.3">
      <c r="B2486" s="3"/>
      <c r="Q2486" s="1"/>
      <c r="R2486" s="1"/>
      <c r="S2486" s="2"/>
      <c r="T2486" s="2">
        <v>2372</v>
      </c>
      <c r="U2486" s="48" t="s">
        <v>93</v>
      </c>
      <c r="V2486" s="2"/>
      <c r="W2486" s="2"/>
      <c r="X2486" s="2"/>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row>
    <row r="2487" spans="2:47" ht="14.25" customHeight="1" x14ac:dyDescent="0.3">
      <c r="B2487" s="3"/>
      <c r="Q2487" s="1"/>
      <c r="R2487" s="1"/>
      <c r="S2487" s="2"/>
      <c r="T2487" s="2">
        <v>2373</v>
      </c>
      <c r="U2487" s="48" t="s">
        <v>93</v>
      </c>
      <c r="V2487" s="2"/>
      <c r="W2487" s="2"/>
      <c r="X2487" s="2"/>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row>
    <row r="2488" spans="2:47" ht="14.25" customHeight="1" x14ac:dyDescent="0.3">
      <c r="B2488" s="3"/>
      <c r="Q2488" s="1"/>
      <c r="R2488" s="1"/>
      <c r="S2488" s="2"/>
      <c r="T2488" s="2">
        <v>2374</v>
      </c>
      <c r="U2488" s="48" t="s">
        <v>93</v>
      </c>
      <c r="V2488" s="2"/>
      <c r="W2488" s="2"/>
      <c r="X2488" s="2"/>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row>
    <row r="2489" spans="2:47" ht="14.25" customHeight="1" x14ac:dyDescent="0.3">
      <c r="B2489" s="3"/>
      <c r="Q2489" s="1"/>
      <c r="R2489" s="1"/>
      <c r="S2489" s="2"/>
      <c r="T2489" s="2">
        <v>2375</v>
      </c>
      <c r="U2489" s="48" t="s">
        <v>93</v>
      </c>
      <c r="V2489" s="2"/>
      <c r="W2489" s="2"/>
      <c r="X2489" s="2"/>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row>
    <row r="2490" spans="2:47" ht="14.25" customHeight="1" x14ac:dyDescent="0.3">
      <c r="B2490" s="3"/>
      <c r="Q2490" s="1"/>
      <c r="R2490" s="1"/>
      <c r="S2490" s="2"/>
      <c r="T2490" s="2">
        <v>2376</v>
      </c>
      <c r="U2490" s="48" t="s">
        <v>93</v>
      </c>
      <c r="V2490" s="2"/>
      <c r="W2490" s="2"/>
      <c r="X2490" s="2"/>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row>
    <row r="2491" spans="2:47" ht="14.25" customHeight="1" x14ac:dyDescent="0.3">
      <c r="B2491" s="3"/>
      <c r="Q2491" s="1"/>
      <c r="R2491" s="1"/>
      <c r="S2491" s="2"/>
      <c r="T2491" s="2">
        <v>2377</v>
      </c>
      <c r="U2491" s="48" t="s">
        <v>93</v>
      </c>
      <c r="V2491" s="2"/>
      <c r="W2491" s="2"/>
      <c r="X2491" s="2"/>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row>
    <row r="2492" spans="2:47" ht="14.25" customHeight="1" x14ac:dyDescent="0.3">
      <c r="B2492" s="3"/>
      <c r="Q2492" s="1"/>
      <c r="R2492" s="1"/>
      <c r="S2492" s="2"/>
      <c r="T2492" s="2">
        <v>2378</v>
      </c>
      <c r="U2492" s="48" t="s">
        <v>93</v>
      </c>
      <c r="V2492" s="2"/>
      <c r="W2492" s="2"/>
      <c r="X2492" s="2"/>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row>
    <row r="2493" spans="2:47" ht="14.25" customHeight="1" x14ac:dyDescent="0.3">
      <c r="B2493" s="3"/>
      <c r="Q2493" s="1"/>
      <c r="R2493" s="1"/>
      <c r="S2493" s="2"/>
      <c r="T2493" s="2">
        <v>2379</v>
      </c>
      <c r="U2493" s="48" t="s">
        <v>93</v>
      </c>
      <c r="V2493" s="2"/>
      <c r="W2493" s="2"/>
      <c r="X2493" s="2"/>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row>
    <row r="2494" spans="2:47" ht="14.25" customHeight="1" x14ac:dyDescent="0.3">
      <c r="B2494" s="3"/>
      <c r="Q2494" s="1"/>
      <c r="R2494" s="1"/>
      <c r="S2494" s="2"/>
      <c r="T2494" s="2">
        <v>2380</v>
      </c>
      <c r="U2494" s="48" t="s">
        <v>93</v>
      </c>
      <c r="V2494" s="2"/>
      <c r="W2494" s="2"/>
      <c r="X2494" s="2"/>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row>
    <row r="2495" spans="2:47" ht="14.25" customHeight="1" x14ac:dyDescent="0.3">
      <c r="B2495" s="3"/>
      <c r="Q2495" s="1"/>
      <c r="R2495" s="1"/>
      <c r="S2495" s="2"/>
      <c r="T2495" s="2">
        <v>2381</v>
      </c>
      <c r="U2495" s="48" t="s">
        <v>93</v>
      </c>
      <c r="V2495" s="2"/>
      <c r="W2495" s="2"/>
      <c r="X2495" s="2"/>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row>
    <row r="2496" spans="2:47" ht="14.25" customHeight="1" x14ac:dyDescent="0.3">
      <c r="B2496" s="3"/>
      <c r="Q2496" s="1"/>
      <c r="R2496" s="1"/>
      <c r="S2496" s="2"/>
      <c r="T2496" s="2">
        <v>2382</v>
      </c>
      <c r="U2496" s="48" t="s">
        <v>93</v>
      </c>
      <c r="V2496" s="2"/>
      <c r="W2496" s="2"/>
      <c r="X2496" s="2"/>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row>
    <row r="2497" spans="2:47" ht="14.25" customHeight="1" x14ac:dyDescent="0.3">
      <c r="B2497" s="3"/>
      <c r="Q2497" s="1"/>
      <c r="R2497" s="1"/>
      <c r="S2497" s="2"/>
      <c r="T2497" s="2">
        <v>2383</v>
      </c>
      <c r="U2497" s="48" t="s">
        <v>93</v>
      </c>
      <c r="V2497" s="2"/>
      <c r="W2497" s="2"/>
      <c r="X2497" s="2"/>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row>
    <row r="2498" spans="2:47" ht="14.25" customHeight="1" x14ac:dyDescent="0.3">
      <c r="B2498" s="3"/>
      <c r="Q2498" s="1"/>
      <c r="R2498" s="1"/>
      <c r="S2498" s="2"/>
      <c r="T2498" s="2">
        <v>2384</v>
      </c>
      <c r="U2498" s="48" t="s">
        <v>93</v>
      </c>
      <c r="V2498" s="2"/>
      <c r="W2498" s="2"/>
      <c r="X2498" s="2"/>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row>
    <row r="2499" spans="2:47" ht="14.25" customHeight="1" x14ac:dyDescent="0.3">
      <c r="B2499" s="3"/>
      <c r="Q2499" s="1"/>
      <c r="R2499" s="1"/>
      <c r="S2499" s="2"/>
      <c r="T2499" s="2">
        <v>2385</v>
      </c>
      <c r="U2499" s="48" t="s">
        <v>93</v>
      </c>
      <c r="V2499" s="2"/>
      <c r="W2499" s="2"/>
      <c r="X2499" s="2"/>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row>
    <row r="2500" spans="2:47" ht="14.25" customHeight="1" x14ac:dyDescent="0.3">
      <c r="B2500" s="3"/>
      <c r="Q2500" s="1"/>
      <c r="R2500" s="1"/>
      <c r="S2500" s="2"/>
      <c r="T2500" s="2">
        <v>2386</v>
      </c>
      <c r="U2500" s="48" t="s">
        <v>93</v>
      </c>
      <c r="V2500" s="2"/>
      <c r="W2500" s="2"/>
      <c r="X2500" s="2"/>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row>
    <row r="2501" spans="2:47" ht="14.25" customHeight="1" x14ac:dyDescent="0.3">
      <c r="B2501" s="3"/>
      <c r="Q2501" s="1"/>
      <c r="R2501" s="1"/>
      <c r="S2501" s="2"/>
      <c r="T2501" s="2">
        <v>2387</v>
      </c>
      <c r="U2501" s="48" t="s">
        <v>93</v>
      </c>
      <c r="V2501" s="2"/>
      <c r="W2501" s="2"/>
      <c r="X2501" s="2"/>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row>
    <row r="2502" spans="2:47" ht="14.25" customHeight="1" x14ac:dyDescent="0.3">
      <c r="B2502" s="3"/>
      <c r="Q2502" s="1"/>
      <c r="R2502" s="1"/>
      <c r="S2502" s="2"/>
      <c r="T2502" s="2">
        <v>2388</v>
      </c>
      <c r="U2502" s="48" t="s">
        <v>93</v>
      </c>
      <c r="V2502" s="2"/>
      <c r="W2502" s="2"/>
      <c r="X2502" s="2"/>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row>
    <row r="2503" spans="2:47" ht="14.25" customHeight="1" x14ac:dyDescent="0.3">
      <c r="B2503" s="3"/>
      <c r="Q2503" s="1"/>
      <c r="R2503" s="1"/>
      <c r="S2503" s="2"/>
      <c r="T2503" s="2">
        <v>2389</v>
      </c>
      <c r="U2503" s="48" t="s">
        <v>93</v>
      </c>
      <c r="V2503" s="2"/>
      <c r="W2503" s="2"/>
      <c r="X2503" s="2"/>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row>
    <row r="2504" spans="2:47" ht="14.25" customHeight="1" x14ac:dyDescent="0.3">
      <c r="B2504" s="3"/>
      <c r="Q2504" s="1"/>
      <c r="R2504" s="1"/>
      <c r="S2504" s="2"/>
      <c r="T2504" s="2">
        <v>2390</v>
      </c>
      <c r="U2504" s="48" t="s">
        <v>93</v>
      </c>
      <c r="V2504" s="2"/>
      <c r="W2504" s="2"/>
      <c r="X2504" s="2"/>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row>
    <row r="2505" spans="2:47" ht="14.25" customHeight="1" x14ac:dyDescent="0.3">
      <c r="B2505" s="3"/>
      <c r="Q2505" s="1"/>
      <c r="R2505" s="1"/>
      <c r="S2505" s="2"/>
      <c r="T2505" s="2">
        <v>2391</v>
      </c>
      <c r="U2505" s="48" t="s">
        <v>93</v>
      </c>
      <c r="V2505" s="2"/>
      <c r="W2505" s="2"/>
      <c r="X2505" s="2"/>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row>
    <row r="2506" spans="2:47" ht="14.25" customHeight="1" x14ac:dyDescent="0.3">
      <c r="B2506" s="3"/>
      <c r="Q2506" s="1"/>
      <c r="R2506" s="1"/>
      <c r="S2506" s="2"/>
      <c r="T2506" s="2">
        <v>2392</v>
      </c>
      <c r="U2506" s="48" t="s">
        <v>93</v>
      </c>
      <c r="V2506" s="2"/>
      <c r="W2506" s="2"/>
      <c r="X2506" s="2"/>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row>
    <row r="2507" spans="2:47" ht="14.25" customHeight="1" x14ac:dyDescent="0.3">
      <c r="B2507" s="3"/>
      <c r="Q2507" s="1"/>
      <c r="R2507" s="1"/>
      <c r="S2507" s="2"/>
      <c r="T2507" s="2">
        <v>2393</v>
      </c>
      <c r="U2507" s="48" t="s">
        <v>93</v>
      </c>
      <c r="V2507" s="2"/>
      <c r="W2507" s="2"/>
      <c r="X2507" s="2"/>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row>
    <row r="2508" spans="2:47" ht="14.25" customHeight="1" x14ac:dyDescent="0.3">
      <c r="B2508" s="3"/>
      <c r="Q2508" s="1"/>
      <c r="R2508" s="1"/>
      <c r="S2508" s="2"/>
      <c r="T2508" s="2">
        <v>2394</v>
      </c>
      <c r="U2508" s="48" t="s">
        <v>93</v>
      </c>
      <c r="V2508" s="2"/>
      <c r="W2508" s="2"/>
      <c r="X2508" s="2"/>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row>
    <row r="2509" spans="2:47" ht="14.25" customHeight="1" x14ac:dyDescent="0.3">
      <c r="B2509" s="3"/>
      <c r="Q2509" s="1"/>
      <c r="R2509" s="1"/>
      <c r="S2509" s="2"/>
      <c r="T2509" s="2">
        <v>2395</v>
      </c>
      <c r="U2509" s="48" t="s">
        <v>93</v>
      </c>
      <c r="V2509" s="2"/>
      <c r="W2509" s="2"/>
      <c r="X2509" s="2"/>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row>
    <row r="2510" spans="2:47" ht="14.25" customHeight="1" x14ac:dyDescent="0.3">
      <c r="B2510" s="3"/>
      <c r="Q2510" s="1"/>
      <c r="R2510" s="1"/>
      <c r="S2510" s="2"/>
      <c r="T2510" s="2">
        <v>2396</v>
      </c>
      <c r="U2510" s="48" t="s">
        <v>93</v>
      </c>
      <c r="V2510" s="2"/>
      <c r="W2510" s="2"/>
      <c r="X2510" s="2"/>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row>
    <row r="2511" spans="2:47" ht="14.25" customHeight="1" x14ac:dyDescent="0.3">
      <c r="B2511" s="3"/>
      <c r="Q2511" s="1"/>
      <c r="R2511" s="1"/>
      <c r="S2511" s="2"/>
      <c r="T2511" s="2">
        <v>2397</v>
      </c>
      <c r="U2511" s="48" t="s">
        <v>93</v>
      </c>
      <c r="V2511" s="2"/>
      <c r="W2511" s="2"/>
      <c r="X2511" s="2"/>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row>
    <row r="2512" spans="2:47" ht="14.25" customHeight="1" x14ac:dyDescent="0.3">
      <c r="B2512" s="3"/>
      <c r="Q2512" s="1"/>
      <c r="R2512" s="1"/>
      <c r="S2512" s="2"/>
      <c r="T2512" s="2">
        <v>2398</v>
      </c>
      <c r="U2512" s="48" t="s">
        <v>93</v>
      </c>
      <c r="V2512" s="2"/>
      <c r="W2512" s="2"/>
      <c r="X2512" s="2"/>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row>
    <row r="2513" spans="2:47" ht="14.25" customHeight="1" x14ac:dyDescent="0.3">
      <c r="B2513" s="3"/>
      <c r="Q2513" s="1"/>
      <c r="R2513" s="1"/>
      <c r="S2513" s="2"/>
      <c r="T2513" s="2">
        <v>2399</v>
      </c>
      <c r="U2513" s="48" t="s">
        <v>93</v>
      </c>
      <c r="V2513" s="2"/>
      <c r="W2513" s="2"/>
      <c r="X2513" s="2"/>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row>
    <row r="2514" spans="2:47" ht="14.25" customHeight="1" x14ac:dyDescent="0.3">
      <c r="B2514" s="3"/>
      <c r="Q2514" s="1"/>
      <c r="R2514" s="1"/>
      <c r="S2514" s="2"/>
      <c r="T2514" s="2">
        <v>2400</v>
      </c>
      <c r="U2514" s="48" t="s">
        <v>93</v>
      </c>
      <c r="V2514" s="2"/>
      <c r="W2514" s="2"/>
      <c r="X2514" s="2"/>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row>
    <row r="2515" spans="2:47" ht="14.25" customHeight="1" x14ac:dyDescent="0.3">
      <c r="B2515" s="3"/>
      <c r="Q2515" s="1"/>
      <c r="R2515" s="1"/>
      <c r="S2515" s="2"/>
      <c r="T2515" s="2">
        <v>2401</v>
      </c>
      <c r="U2515" s="48" t="s">
        <v>93</v>
      </c>
      <c r="V2515" s="2"/>
      <c r="W2515" s="2"/>
      <c r="X2515" s="2"/>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row>
    <row r="2516" spans="2:47" ht="14.25" customHeight="1" x14ac:dyDescent="0.3">
      <c r="B2516" s="3"/>
      <c r="Q2516" s="1"/>
      <c r="R2516" s="1"/>
      <c r="S2516" s="2"/>
      <c r="T2516" s="2">
        <v>2402</v>
      </c>
      <c r="U2516" s="48" t="s">
        <v>93</v>
      </c>
      <c r="V2516" s="2"/>
      <c r="W2516" s="2"/>
      <c r="X2516" s="2"/>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row>
    <row r="2517" spans="2:47" ht="14.25" customHeight="1" x14ac:dyDescent="0.3">
      <c r="B2517" s="3"/>
      <c r="Q2517" s="1"/>
      <c r="R2517" s="1"/>
      <c r="S2517" s="2"/>
      <c r="T2517" s="2">
        <v>2403</v>
      </c>
      <c r="U2517" s="48" t="s">
        <v>93</v>
      </c>
      <c r="V2517" s="2"/>
      <c r="W2517" s="2"/>
      <c r="X2517" s="2"/>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row>
    <row r="2518" spans="2:47" ht="14.25" customHeight="1" x14ac:dyDescent="0.3">
      <c r="B2518" s="3"/>
      <c r="Q2518" s="1"/>
      <c r="R2518" s="1"/>
      <c r="S2518" s="2"/>
      <c r="T2518" s="2">
        <v>2404</v>
      </c>
      <c r="U2518" s="48" t="s">
        <v>93</v>
      </c>
      <c r="V2518" s="2"/>
      <c r="W2518" s="2"/>
      <c r="X2518" s="2"/>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row>
    <row r="2519" spans="2:47" ht="14.25" customHeight="1" x14ac:dyDescent="0.3">
      <c r="B2519" s="3"/>
      <c r="Q2519" s="1"/>
      <c r="R2519" s="1"/>
      <c r="S2519" s="2"/>
      <c r="T2519" s="2">
        <v>2405</v>
      </c>
      <c r="U2519" s="48" t="s">
        <v>93</v>
      </c>
      <c r="V2519" s="2"/>
      <c r="W2519" s="2"/>
      <c r="X2519" s="2"/>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row>
    <row r="2520" spans="2:47" ht="14.25" customHeight="1" x14ac:dyDescent="0.3">
      <c r="B2520" s="3"/>
      <c r="Q2520" s="1"/>
      <c r="R2520" s="1"/>
      <c r="S2520" s="2"/>
      <c r="T2520" s="2">
        <v>2406</v>
      </c>
      <c r="U2520" s="48" t="s">
        <v>93</v>
      </c>
      <c r="V2520" s="2"/>
      <c r="W2520" s="2"/>
      <c r="X2520" s="2"/>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row>
    <row r="2521" spans="2:47" ht="14.25" customHeight="1" x14ac:dyDescent="0.3">
      <c r="B2521" s="3"/>
      <c r="Q2521" s="1"/>
      <c r="R2521" s="1"/>
      <c r="S2521" s="2"/>
      <c r="T2521" s="2">
        <v>2407</v>
      </c>
      <c r="U2521" s="48" t="s">
        <v>93</v>
      </c>
      <c r="V2521" s="2"/>
      <c r="W2521" s="2"/>
      <c r="X2521" s="2"/>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row>
    <row r="2522" spans="2:47" ht="14.25" customHeight="1" x14ac:dyDescent="0.3">
      <c r="B2522" s="3"/>
      <c r="Q2522" s="1"/>
      <c r="R2522" s="1"/>
      <c r="S2522" s="2"/>
      <c r="T2522" s="2">
        <v>2408</v>
      </c>
      <c r="U2522" s="48" t="s">
        <v>93</v>
      </c>
      <c r="V2522" s="2"/>
      <c r="W2522" s="2"/>
      <c r="X2522" s="2"/>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row>
    <row r="2523" spans="2:47" ht="14.25" customHeight="1" x14ac:dyDescent="0.3">
      <c r="B2523" s="3"/>
      <c r="Q2523" s="1"/>
      <c r="R2523" s="1"/>
      <c r="S2523" s="2"/>
      <c r="T2523" s="2">
        <v>2409</v>
      </c>
      <c r="U2523" s="48" t="s">
        <v>93</v>
      </c>
      <c r="V2523" s="2"/>
      <c r="W2523" s="2"/>
      <c r="X2523" s="2"/>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row>
    <row r="2524" spans="2:47" ht="14.25" customHeight="1" x14ac:dyDescent="0.3">
      <c r="B2524" s="3"/>
      <c r="Q2524" s="1"/>
      <c r="R2524" s="1"/>
      <c r="S2524" s="2"/>
      <c r="T2524" s="2">
        <v>2410</v>
      </c>
      <c r="U2524" s="48" t="s">
        <v>93</v>
      </c>
      <c r="V2524" s="2"/>
      <c r="W2524" s="2"/>
      <c r="X2524" s="2"/>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row>
    <row r="2525" spans="2:47" ht="14.25" customHeight="1" x14ac:dyDescent="0.3">
      <c r="B2525" s="3"/>
      <c r="Q2525" s="1"/>
      <c r="R2525" s="1"/>
      <c r="S2525" s="2"/>
      <c r="T2525" s="2">
        <v>2411</v>
      </c>
      <c r="U2525" s="48" t="s">
        <v>93</v>
      </c>
      <c r="V2525" s="2"/>
      <c r="W2525" s="2"/>
      <c r="X2525" s="2"/>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row>
    <row r="2526" spans="2:47" ht="14.25" customHeight="1" x14ac:dyDescent="0.3">
      <c r="B2526" s="3"/>
      <c r="Q2526" s="1"/>
      <c r="R2526" s="1"/>
      <c r="S2526" s="2"/>
      <c r="T2526" s="2">
        <v>2412</v>
      </c>
      <c r="U2526" s="48" t="s">
        <v>93</v>
      </c>
      <c r="V2526" s="2"/>
      <c r="W2526" s="2"/>
      <c r="X2526" s="2"/>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row>
    <row r="2527" spans="2:47" ht="14.25" customHeight="1" x14ac:dyDescent="0.3">
      <c r="B2527" s="3"/>
      <c r="Q2527" s="1"/>
      <c r="R2527" s="1"/>
      <c r="S2527" s="2"/>
      <c r="T2527" s="2">
        <v>2413</v>
      </c>
      <c r="U2527" s="48" t="s">
        <v>93</v>
      </c>
      <c r="V2527" s="2"/>
      <c r="W2527" s="2"/>
      <c r="X2527" s="2"/>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row>
    <row r="2528" spans="2:47" ht="14.25" customHeight="1" x14ac:dyDescent="0.3">
      <c r="B2528" s="3"/>
      <c r="Q2528" s="1"/>
      <c r="R2528" s="1"/>
      <c r="S2528" s="2"/>
      <c r="T2528" s="2">
        <v>2414</v>
      </c>
      <c r="U2528" s="48" t="s">
        <v>93</v>
      </c>
      <c r="V2528" s="2"/>
      <c r="W2528" s="2"/>
      <c r="X2528" s="2"/>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row>
    <row r="2529" spans="2:47" ht="14.25" customHeight="1" x14ac:dyDescent="0.3">
      <c r="B2529" s="3"/>
      <c r="Q2529" s="1"/>
      <c r="R2529" s="1"/>
      <c r="S2529" s="2"/>
      <c r="T2529" s="2">
        <v>2415</v>
      </c>
      <c r="U2529" s="48" t="s">
        <v>93</v>
      </c>
      <c r="V2529" s="2"/>
      <c r="W2529" s="2"/>
      <c r="X2529" s="2"/>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row>
    <row r="2530" spans="2:47" ht="14.25" customHeight="1" x14ac:dyDescent="0.3">
      <c r="B2530" s="3"/>
      <c r="Q2530" s="1"/>
      <c r="R2530" s="1"/>
      <c r="S2530" s="2"/>
      <c r="T2530" s="2">
        <v>2416</v>
      </c>
      <c r="U2530" s="48" t="s">
        <v>93</v>
      </c>
      <c r="V2530" s="2"/>
      <c r="W2530" s="2"/>
      <c r="X2530" s="2"/>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row>
    <row r="2531" spans="2:47" ht="14.25" customHeight="1" x14ac:dyDescent="0.3">
      <c r="B2531" s="3"/>
      <c r="Q2531" s="1"/>
      <c r="R2531" s="1"/>
      <c r="S2531" s="2"/>
      <c r="T2531" s="2">
        <v>2417</v>
      </c>
      <c r="U2531" s="48" t="s">
        <v>93</v>
      </c>
      <c r="V2531" s="2"/>
      <c r="W2531" s="2"/>
      <c r="X2531" s="2"/>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row>
    <row r="2532" spans="2:47" ht="14.25" customHeight="1" x14ac:dyDescent="0.3">
      <c r="B2532" s="3"/>
      <c r="Q2532" s="1"/>
      <c r="R2532" s="1"/>
      <c r="S2532" s="2"/>
      <c r="T2532" s="2">
        <v>2418</v>
      </c>
      <c r="U2532" s="48" t="s">
        <v>93</v>
      </c>
      <c r="V2532" s="2"/>
      <c r="W2532" s="2"/>
      <c r="X2532" s="2"/>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row>
    <row r="2533" spans="2:47" ht="14.25" customHeight="1" x14ac:dyDescent="0.3">
      <c r="B2533" s="3"/>
      <c r="Q2533" s="1"/>
      <c r="R2533" s="1"/>
      <c r="S2533" s="2"/>
      <c r="T2533" s="2">
        <v>2419</v>
      </c>
      <c r="U2533" s="48" t="s">
        <v>93</v>
      </c>
      <c r="V2533" s="2"/>
      <c r="W2533" s="2"/>
      <c r="X2533" s="2"/>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row>
    <row r="2534" spans="2:47" ht="14.25" customHeight="1" x14ac:dyDescent="0.3">
      <c r="B2534" s="3"/>
      <c r="Q2534" s="1"/>
      <c r="R2534" s="1"/>
      <c r="S2534" s="2"/>
      <c r="T2534" s="2">
        <v>2420</v>
      </c>
      <c r="U2534" s="48" t="s">
        <v>93</v>
      </c>
      <c r="V2534" s="2"/>
      <c r="W2534" s="2"/>
      <c r="X2534" s="2"/>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row>
    <row r="2535" spans="2:47" ht="14.25" customHeight="1" x14ac:dyDescent="0.3">
      <c r="B2535" s="3"/>
      <c r="Q2535" s="1"/>
      <c r="R2535" s="1"/>
      <c r="S2535" s="2"/>
      <c r="T2535" s="2">
        <v>2421</v>
      </c>
      <c r="U2535" s="48" t="s">
        <v>93</v>
      </c>
      <c r="V2535" s="2"/>
      <c r="W2535" s="2"/>
      <c r="X2535" s="2"/>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row>
    <row r="2536" spans="2:47" ht="14.25" customHeight="1" x14ac:dyDescent="0.3">
      <c r="B2536" s="3"/>
      <c r="Q2536" s="1"/>
      <c r="R2536" s="1"/>
      <c r="S2536" s="2"/>
      <c r="T2536" s="2">
        <v>2422</v>
      </c>
      <c r="U2536" s="48" t="s">
        <v>93</v>
      </c>
      <c r="V2536" s="2"/>
      <c r="W2536" s="2"/>
      <c r="X2536" s="2"/>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row>
    <row r="2537" spans="2:47" ht="14.25" customHeight="1" x14ac:dyDescent="0.3">
      <c r="B2537" s="3"/>
      <c r="Q2537" s="1"/>
      <c r="R2537" s="1"/>
      <c r="S2537" s="2"/>
      <c r="T2537" s="2">
        <v>2423</v>
      </c>
      <c r="U2537" s="48" t="s">
        <v>93</v>
      </c>
      <c r="V2537" s="2"/>
      <c r="W2537" s="2"/>
      <c r="X2537" s="2"/>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row>
    <row r="2538" spans="2:47" ht="14.25" customHeight="1" x14ac:dyDescent="0.3">
      <c r="B2538" s="3"/>
      <c r="Q2538" s="1"/>
      <c r="R2538" s="1"/>
      <c r="S2538" s="2"/>
      <c r="T2538" s="2">
        <v>2424</v>
      </c>
      <c r="U2538" s="48" t="s">
        <v>93</v>
      </c>
      <c r="V2538" s="2"/>
      <c r="W2538" s="2"/>
      <c r="X2538" s="2"/>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row>
    <row r="2539" spans="2:47" ht="14.25" customHeight="1" x14ac:dyDescent="0.3">
      <c r="B2539" s="3"/>
      <c r="Q2539" s="1"/>
      <c r="R2539" s="1"/>
      <c r="S2539" s="2"/>
      <c r="T2539" s="2">
        <v>2425</v>
      </c>
      <c r="U2539" s="48" t="s">
        <v>93</v>
      </c>
      <c r="V2539" s="2"/>
      <c r="W2539" s="2"/>
      <c r="X2539" s="2"/>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row>
    <row r="2540" spans="2:47" ht="14.25" customHeight="1" x14ac:dyDescent="0.3">
      <c r="B2540" s="3"/>
      <c r="Q2540" s="1"/>
      <c r="R2540" s="1"/>
      <c r="S2540" s="2"/>
      <c r="T2540" s="2">
        <v>2426</v>
      </c>
      <c r="U2540" s="48" t="s">
        <v>93</v>
      </c>
      <c r="V2540" s="2"/>
      <c r="W2540" s="2"/>
      <c r="X2540" s="2"/>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row>
    <row r="2541" spans="2:47" ht="14.25" customHeight="1" x14ac:dyDescent="0.3">
      <c r="B2541" s="3"/>
      <c r="Q2541" s="1"/>
      <c r="R2541" s="1"/>
      <c r="S2541" s="2"/>
      <c r="T2541" s="2">
        <v>2427</v>
      </c>
      <c r="U2541" s="48" t="s">
        <v>93</v>
      </c>
      <c r="V2541" s="2"/>
      <c r="W2541" s="2"/>
      <c r="X2541" s="2"/>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row>
    <row r="2542" spans="2:47" ht="14.25" customHeight="1" x14ac:dyDescent="0.3">
      <c r="B2542" s="3"/>
      <c r="Q2542" s="1"/>
      <c r="R2542" s="1"/>
      <c r="S2542" s="2"/>
      <c r="T2542" s="2">
        <v>2428</v>
      </c>
      <c r="U2542" s="48" t="s">
        <v>93</v>
      </c>
      <c r="V2542" s="2"/>
      <c r="W2542" s="2"/>
      <c r="X2542" s="2"/>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row>
    <row r="2543" spans="2:47" ht="14.25" customHeight="1" x14ac:dyDescent="0.3">
      <c r="B2543" s="3"/>
      <c r="Q2543" s="1"/>
      <c r="R2543" s="1"/>
      <c r="S2543" s="2"/>
      <c r="T2543" s="2">
        <v>2429</v>
      </c>
      <c r="U2543" s="48" t="s">
        <v>93</v>
      </c>
      <c r="V2543" s="2"/>
      <c r="W2543" s="2"/>
      <c r="X2543" s="2"/>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row>
    <row r="2544" spans="2:47" ht="14.25" customHeight="1" x14ac:dyDescent="0.3">
      <c r="B2544" s="3"/>
      <c r="Q2544" s="1"/>
      <c r="R2544" s="1"/>
      <c r="S2544" s="2"/>
      <c r="T2544" s="2">
        <v>2430</v>
      </c>
      <c r="U2544" s="48" t="s">
        <v>93</v>
      </c>
      <c r="V2544" s="2"/>
      <c r="W2544" s="2"/>
      <c r="X2544" s="2"/>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row>
    <row r="2545" spans="2:47" ht="14.25" customHeight="1" x14ac:dyDescent="0.3">
      <c r="B2545" s="3"/>
      <c r="Q2545" s="1"/>
      <c r="R2545" s="1"/>
      <c r="S2545" s="2"/>
      <c r="T2545" s="2">
        <v>2431</v>
      </c>
      <c r="U2545" s="48" t="s">
        <v>93</v>
      </c>
      <c r="V2545" s="2"/>
      <c r="W2545" s="2"/>
      <c r="X2545" s="2"/>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row>
    <row r="2546" spans="2:47" ht="14.25" customHeight="1" x14ac:dyDescent="0.3">
      <c r="B2546" s="3"/>
      <c r="Q2546" s="1"/>
      <c r="R2546" s="1"/>
      <c r="S2546" s="2"/>
      <c r="T2546" s="2">
        <v>2432</v>
      </c>
      <c r="U2546" s="48" t="s">
        <v>93</v>
      </c>
      <c r="V2546" s="2"/>
      <c r="W2546" s="2"/>
      <c r="X2546" s="2"/>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row>
    <row r="2547" spans="2:47" ht="14.25" customHeight="1" x14ac:dyDescent="0.3">
      <c r="B2547" s="3"/>
      <c r="Q2547" s="1"/>
      <c r="R2547" s="1"/>
      <c r="S2547" s="2"/>
      <c r="T2547" s="2">
        <v>2433</v>
      </c>
      <c r="U2547" s="48" t="s">
        <v>93</v>
      </c>
      <c r="V2547" s="2"/>
      <c r="W2547" s="2"/>
      <c r="X2547" s="2"/>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row>
    <row r="2548" spans="2:47" ht="14.25" customHeight="1" x14ac:dyDescent="0.3">
      <c r="B2548" s="3"/>
      <c r="Q2548" s="1"/>
      <c r="R2548" s="1"/>
      <c r="S2548" s="2"/>
      <c r="T2548" s="2">
        <v>2434</v>
      </c>
      <c r="U2548" s="48" t="s">
        <v>93</v>
      </c>
      <c r="V2548" s="2"/>
      <c r="W2548" s="2"/>
      <c r="X2548" s="2"/>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row>
    <row r="2549" spans="2:47" ht="14.25" customHeight="1" x14ac:dyDescent="0.3">
      <c r="B2549" s="3"/>
      <c r="Q2549" s="1"/>
      <c r="R2549" s="1"/>
      <c r="S2549" s="2"/>
      <c r="T2549" s="2">
        <v>2435</v>
      </c>
      <c r="U2549" s="48" t="s">
        <v>93</v>
      </c>
      <c r="V2549" s="2"/>
      <c r="W2549" s="2"/>
      <c r="X2549" s="2"/>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row>
    <row r="2550" spans="2:47" ht="14.25" customHeight="1" x14ac:dyDescent="0.3">
      <c r="B2550" s="3"/>
      <c r="Q2550" s="1"/>
      <c r="R2550" s="1"/>
      <c r="S2550" s="2"/>
      <c r="T2550" s="2">
        <v>2436</v>
      </c>
      <c r="U2550" s="48" t="s">
        <v>93</v>
      </c>
      <c r="V2550" s="2"/>
      <c r="W2550" s="2"/>
      <c r="X2550" s="2"/>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row>
    <row r="2551" spans="2:47" ht="14.25" customHeight="1" x14ac:dyDescent="0.3">
      <c r="B2551" s="3"/>
      <c r="Q2551" s="1"/>
      <c r="R2551" s="1"/>
      <c r="S2551" s="2"/>
      <c r="T2551" s="2">
        <v>2437</v>
      </c>
      <c r="U2551" s="48" t="s">
        <v>93</v>
      </c>
      <c r="V2551" s="2"/>
      <c r="W2551" s="2"/>
      <c r="X2551" s="2"/>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row>
    <row r="2552" spans="2:47" ht="14.25" customHeight="1" x14ac:dyDescent="0.3">
      <c r="B2552" s="3"/>
      <c r="Q2552" s="1"/>
      <c r="R2552" s="1"/>
      <c r="S2552" s="2"/>
      <c r="T2552" s="2">
        <v>2438</v>
      </c>
      <c r="U2552" s="48" t="s">
        <v>93</v>
      </c>
      <c r="V2552" s="2"/>
      <c r="W2552" s="2"/>
      <c r="X2552" s="2"/>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row>
    <row r="2553" spans="2:47" ht="14.25" customHeight="1" x14ac:dyDescent="0.3">
      <c r="B2553" s="3"/>
      <c r="Q2553" s="1"/>
      <c r="R2553" s="1"/>
      <c r="S2553" s="2"/>
      <c r="T2553" s="2">
        <v>2439</v>
      </c>
      <c r="U2553" s="48" t="s">
        <v>93</v>
      </c>
      <c r="V2553" s="2"/>
      <c r="W2553" s="2"/>
      <c r="X2553" s="2"/>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row>
    <row r="2554" spans="2:47" ht="14.25" customHeight="1" x14ac:dyDescent="0.3">
      <c r="B2554" s="3"/>
      <c r="Q2554" s="1"/>
      <c r="R2554" s="1"/>
      <c r="S2554" s="2"/>
      <c r="T2554" s="2">
        <v>2440</v>
      </c>
      <c r="U2554" s="48" t="s">
        <v>93</v>
      </c>
      <c r="V2554" s="2"/>
      <c r="W2554" s="2"/>
      <c r="X2554" s="2"/>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row>
    <row r="2555" spans="2:47" ht="14.25" customHeight="1" x14ac:dyDescent="0.3">
      <c r="B2555" s="3"/>
      <c r="Q2555" s="1"/>
      <c r="R2555" s="1"/>
      <c r="S2555" s="2"/>
      <c r="T2555" s="2">
        <v>2441</v>
      </c>
      <c r="U2555" s="48" t="s">
        <v>93</v>
      </c>
      <c r="V2555" s="2"/>
      <c r="W2555" s="2"/>
      <c r="X2555" s="2"/>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row>
    <row r="2556" spans="2:47" ht="14.25" customHeight="1" x14ac:dyDescent="0.3">
      <c r="B2556" s="3"/>
      <c r="Q2556" s="1"/>
      <c r="R2556" s="1"/>
      <c r="S2556" s="2"/>
      <c r="T2556" s="2">
        <v>2442</v>
      </c>
      <c r="U2556" s="48" t="s">
        <v>93</v>
      </c>
      <c r="V2556" s="2"/>
      <c r="W2556" s="2"/>
      <c r="X2556" s="2"/>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row>
    <row r="2557" spans="2:47" ht="14.25" customHeight="1" x14ac:dyDescent="0.3">
      <c r="B2557" s="3"/>
      <c r="Q2557" s="1"/>
      <c r="R2557" s="1"/>
      <c r="S2557" s="2"/>
      <c r="T2557" s="2">
        <v>2443</v>
      </c>
      <c r="U2557" s="48" t="s">
        <v>93</v>
      </c>
      <c r="V2557" s="2"/>
      <c r="W2557" s="2"/>
      <c r="X2557" s="2"/>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row>
    <row r="2558" spans="2:47" ht="14.25" customHeight="1" x14ac:dyDescent="0.3">
      <c r="B2558" s="3"/>
      <c r="Q2558" s="1"/>
      <c r="R2558" s="1"/>
      <c r="S2558" s="2"/>
      <c r="T2558" s="2">
        <v>2444</v>
      </c>
      <c r="U2558" s="48" t="s">
        <v>93</v>
      </c>
      <c r="V2558" s="2"/>
      <c r="W2558" s="2"/>
      <c r="X2558" s="2"/>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row>
    <row r="2559" spans="2:47" ht="14.25" customHeight="1" x14ac:dyDescent="0.3">
      <c r="B2559" s="3"/>
      <c r="Q2559" s="1"/>
      <c r="R2559" s="1"/>
      <c r="S2559" s="2"/>
      <c r="T2559" s="2">
        <v>2445</v>
      </c>
      <c r="U2559" s="48" t="s">
        <v>93</v>
      </c>
      <c r="V2559" s="2"/>
      <c r="W2559" s="2"/>
      <c r="X2559" s="2"/>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row>
    <row r="2560" spans="2:47" ht="14.25" customHeight="1" x14ac:dyDescent="0.3">
      <c r="B2560" s="3"/>
      <c r="Q2560" s="1"/>
      <c r="R2560" s="1"/>
      <c r="S2560" s="2"/>
      <c r="T2560" s="2">
        <v>2446</v>
      </c>
      <c r="U2560" s="48" t="s">
        <v>93</v>
      </c>
      <c r="V2560" s="2"/>
      <c r="W2560" s="2"/>
      <c r="X2560" s="2"/>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row>
    <row r="2561" spans="2:47" ht="14.25" customHeight="1" x14ac:dyDescent="0.3">
      <c r="B2561" s="3"/>
      <c r="Q2561" s="1"/>
      <c r="R2561" s="1"/>
      <c r="S2561" s="2"/>
      <c r="T2561" s="2">
        <v>2447</v>
      </c>
      <c r="U2561" s="48" t="s">
        <v>93</v>
      </c>
      <c r="V2561" s="2"/>
      <c r="W2561" s="2"/>
      <c r="X2561" s="2"/>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row>
    <row r="2562" spans="2:47" ht="14.25" customHeight="1" x14ac:dyDescent="0.3">
      <c r="B2562" s="3"/>
      <c r="Q2562" s="1"/>
      <c r="R2562" s="1"/>
      <c r="S2562" s="2"/>
      <c r="T2562" s="2">
        <v>2448</v>
      </c>
      <c r="U2562" s="48" t="s">
        <v>93</v>
      </c>
      <c r="V2562" s="2"/>
      <c r="W2562" s="2"/>
      <c r="X2562" s="2"/>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row>
    <row r="2563" spans="2:47" ht="14.25" customHeight="1" x14ac:dyDescent="0.3">
      <c r="B2563" s="3"/>
      <c r="Q2563" s="1"/>
      <c r="R2563" s="1"/>
      <c r="S2563" s="2"/>
      <c r="T2563" s="2">
        <v>2449</v>
      </c>
      <c r="U2563" s="48" t="s">
        <v>93</v>
      </c>
      <c r="V2563" s="2"/>
      <c r="W2563" s="2"/>
      <c r="X2563" s="2"/>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row>
    <row r="2564" spans="2:47" ht="14.25" customHeight="1" x14ac:dyDescent="0.3">
      <c r="B2564" s="3"/>
      <c r="Q2564" s="1"/>
      <c r="R2564" s="1"/>
      <c r="S2564" s="2"/>
      <c r="T2564" s="2">
        <v>2450</v>
      </c>
      <c r="U2564" s="48" t="s">
        <v>93</v>
      </c>
      <c r="V2564" s="2"/>
      <c r="W2564" s="2"/>
      <c r="X2564" s="2"/>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row>
    <row r="2565" spans="2:47" ht="14.25" customHeight="1" x14ac:dyDescent="0.3">
      <c r="B2565" s="3"/>
      <c r="Q2565" s="1"/>
      <c r="R2565" s="1"/>
      <c r="S2565" s="2"/>
      <c r="T2565" s="2">
        <v>2451</v>
      </c>
      <c r="U2565" s="48" t="s">
        <v>93</v>
      </c>
      <c r="V2565" s="2"/>
      <c r="W2565" s="2"/>
      <c r="X2565" s="2"/>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row>
    <row r="2566" spans="2:47" ht="14.25" customHeight="1" x14ac:dyDescent="0.3">
      <c r="B2566" s="3"/>
      <c r="Q2566" s="1"/>
      <c r="R2566" s="1"/>
      <c r="S2566" s="2"/>
      <c r="T2566" s="2">
        <v>2452</v>
      </c>
      <c r="U2566" s="48" t="s">
        <v>93</v>
      </c>
      <c r="V2566" s="2"/>
      <c r="W2566" s="2"/>
      <c r="X2566" s="2"/>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row>
    <row r="2567" spans="2:47" ht="14.25" customHeight="1" x14ac:dyDescent="0.3">
      <c r="B2567" s="3"/>
      <c r="Q2567" s="1"/>
      <c r="R2567" s="1"/>
      <c r="S2567" s="2"/>
      <c r="T2567" s="2">
        <v>2453</v>
      </c>
      <c r="U2567" s="48" t="s">
        <v>93</v>
      </c>
      <c r="V2567" s="2"/>
      <c r="W2567" s="2"/>
      <c r="X2567" s="2"/>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row>
    <row r="2568" spans="2:47" ht="14.25" customHeight="1" x14ac:dyDescent="0.3">
      <c r="B2568" s="3"/>
      <c r="Q2568" s="1"/>
      <c r="R2568" s="1"/>
      <c r="S2568" s="2"/>
      <c r="T2568" s="2">
        <v>2454</v>
      </c>
      <c r="U2568" s="48" t="s">
        <v>93</v>
      </c>
      <c r="V2568" s="2"/>
      <c r="W2568" s="2"/>
      <c r="X2568" s="2"/>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row>
    <row r="2569" spans="2:47" ht="14.25" customHeight="1" x14ac:dyDescent="0.3">
      <c r="B2569" s="3"/>
      <c r="Q2569" s="1"/>
      <c r="R2569" s="1"/>
      <c r="S2569" s="2"/>
      <c r="T2569" s="2">
        <v>2455</v>
      </c>
      <c r="U2569" s="48" t="s">
        <v>93</v>
      </c>
      <c r="V2569" s="2"/>
      <c r="W2569" s="2"/>
      <c r="X2569" s="2"/>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row>
    <row r="2570" spans="2:47" ht="14.25" customHeight="1" x14ac:dyDescent="0.3">
      <c r="B2570" s="3"/>
      <c r="Q2570" s="1"/>
      <c r="R2570" s="1"/>
      <c r="S2570" s="2"/>
      <c r="T2570" s="2">
        <v>2456</v>
      </c>
      <c r="U2570" s="48" t="s">
        <v>93</v>
      </c>
      <c r="V2570" s="2"/>
      <c r="W2570" s="2"/>
      <c r="X2570" s="2"/>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row>
    <row r="2571" spans="2:47" ht="14.25" customHeight="1" x14ac:dyDescent="0.3">
      <c r="B2571" s="3"/>
      <c r="Q2571" s="1"/>
      <c r="R2571" s="1"/>
      <c r="S2571" s="2"/>
      <c r="T2571" s="2">
        <v>2457</v>
      </c>
      <c r="U2571" s="48" t="s">
        <v>93</v>
      </c>
      <c r="V2571" s="2"/>
      <c r="W2571" s="2"/>
      <c r="X2571" s="2"/>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row>
    <row r="2572" spans="2:47" ht="14.25" customHeight="1" x14ac:dyDescent="0.3">
      <c r="B2572" s="3"/>
      <c r="Q2572" s="1"/>
      <c r="R2572" s="1"/>
      <c r="S2572" s="2"/>
      <c r="T2572" s="2">
        <v>2458</v>
      </c>
      <c r="U2572" s="48" t="s">
        <v>93</v>
      </c>
      <c r="V2572" s="2"/>
      <c r="W2572" s="2"/>
      <c r="X2572" s="2"/>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row>
    <row r="2573" spans="2:47" ht="14.25" customHeight="1" x14ac:dyDescent="0.3">
      <c r="B2573" s="3"/>
      <c r="Q2573" s="1"/>
      <c r="R2573" s="1"/>
      <c r="S2573" s="2"/>
      <c r="T2573" s="2">
        <v>2459</v>
      </c>
      <c r="U2573" s="48" t="s">
        <v>93</v>
      </c>
      <c r="V2573" s="2"/>
      <c r="W2573" s="2"/>
      <c r="X2573" s="2"/>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row>
    <row r="2574" spans="2:47" ht="14.25" customHeight="1" x14ac:dyDescent="0.3">
      <c r="B2574" s="3"/>
      <c r="Q2574" s="1"/>
      <c r="R2574" s="1"/>
      <c r="S2574" s="2"/>
      <c r="T2574" s="2">
        <v>2460</v>
      </c>
      <c r="U2574" s="48" t="s">
        <v>93</v>
      </c>
      <c r="V2574" s="2"/>
      <c r="W2574" s="2"/>
      <c r="X2574" s="2"/>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row>
    <row r="2575" spans="2:47" ht="14.25" customHeight="1" x14ac:dyDescent="0.3">
      <c r="B2575" s="3"/>
      <c r="Q2575" s="1"/>
      <c r="R2575" s="1"/>
      <c r="S2575" s="2"/>
      <c r="T2575" s="2">
        <v>2461</v>
      </c>
      <c r="U2575" s="48" t="s">
        <v>93</v>
      </c>
      <c r="V2575" s="2"/>
      <c r="W2575" s="2"/>
      <c r="X2575" s="2"/>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row>
    <row r="2576" spans="2:47" ht="14.25" customHeight="1" x14ac:dyDescent="0.3">
      <c r="B2576" s="3"/>
      <c r="Q2576" s="1"/>
      <c r="R2576" s="1"/>
      <c r="S2576" s="2"/>
      <c r="T2576" s="2">
        <v>2462</v>
      </c>
      <c r="U2576" s="48" t="s">
        <v>93</v>
      </c>
      <c r="V2576" s="2"/>
      <c r="W2576" s="2"/>
      <c r="X2576" s="2"/>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row>
    <row r="2577" spans="2:47" ht="14.25" customHeight="1" x14ac:dyDescent="0.3">
      <c r="B2577" s="3"/>
      <c r="Q2577" s="1"/>
      <c r="R2577" s="1"/>
      <c r="S2577" s="2"/>
      <c r="T2577" s="2">
        <v>2463</v>
      </c>
      <c r="U2577" s="48" t="s">
        <v>93</v>
      </c>
      <c r="V2577" s="2"/>
      <c r="W2577" s="2"/>
      <c r="X2577" s="2"/>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row>
    <row r="2578" spans="2:47" ht="14.25" customHeight="1" x14ac:dyDescent="0.3">
      <c r="B2578" s="3"/>
      <c r="Q2578" s="1"/>
      <c r="R2578" s="1"/>
      <c r="S2578" s="2"/>
      <c r="T2578" s="2">
        <v>2464</v>
      </c>
      <c r="U2578" s="48" t="s">
        <v>93</v>
      </c>
      <c r="V2578" s="2"/>
      <c r="W2578" s="2"/>
      <c r="X2578" s="2"/>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row>
    <row r="2579" spans="2:47" ht="14.25" customHeight="1" x14ac:dyDescent="0.3">
      <c r="B2579" s="3"/>
      <c r="Q2579" s="1"/>
      <c r="R2579" s="1"/>
      <c r="S2579" s="2"/>
      <c r="T2579" s="2">
        <v>2465</v>
      </c>
      <c r="U2579" s="48" t="s">
        <v>93</v>
      </c>
      <c r="V2579" s="2"/>
      <c r="W2579" s="2"/>
      <c r="X2579" s="2"/>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row>
    <row r="2580" spans="2:47" ht="14.25" customHeight="1" x14ac:dyDescent="0.3">
      <c r="B2580" s="3"/>
      <c r="Q2580" s="1"/>
      <c r="R2580" s="1"/>
      <c r="S2580" s="2"/>
      <c r="T2580" s="2">
        <v>2466</v>
      </c>
      <c r="U2580" s="48" t="s">
        <v>93</v>
      </c>
      <c r="V2580" s="2"/>
      <c r="W2580" s="2"/>
      <c r="X2580" s="2"/>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row>
    <row r="2581" spans="2:47" ht="14.25" customHeight="1" x14ac:dyDescent="0.3">
      <c r="B2581" s="3"/>
      <c r="Q2581" s="1"/>
      <c r="R2581" s="1"/>
      <c r="S2581" s="2"/>
      <c r="T2581" s="2">
        <v>2467</v>
      </c>
      <c r="U2581" s="48" t="s">
        <v>93</v>
      </c>
      <c r="V2581" s="2"/>
      <c r="W2581" s="2"/>
      <c r="X2581" s="2"/>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row>
    <row r="2582" spans="2:47" ht="14.25" customHeight="1" x14ac:dyDescent="0.3">
      <c r="B2582" s="3"/>
      <c r="Q2582" s="1"/>
      <c r="R2582" s="1"/>
      <c r="S2582" s="2"/>
      <c r="T2582" s="2">
        <v>2468</v>
      </c>
      <c r="U2582" s="48" t="s">
        <v>93</v>
      </c>
      <c r="V2582" s="2"/>
      <c r="W2582" s="2"/>
      <c r="X2582" s="2"/>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row>
    <row r="2583" spans="2:47" ht="14.25" customHeight="1" x14ac:dyDescent="0.3">
      <c r="B2583" s="3"/>
      <c r="Q2583" s="1"/>
      <c r="R2583" s="1"/>
      <c r="S2583" s="2"/>
      <c r="T2583" s="2">
        <v>2469</v>
      </c>
      <c r="U2583" s="48" t="s">
        <v>93</v>
      </c>
      <c r="V2583" s="2"/>
      <c r="W2583" s="2"/>
      <c r="X2583" s="2"/>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row>
    <row r="2584" spans="2:47" ht="14.25" customHeight="1" x14ac:dyDescent="0.3">
      <c r="B2584" s="3"/>
      <c r="Q2584" s="1"/>
      <c r="R2584" s="1"/>
      <c r="S2584" s="2"/>
      <c r="T2584" s="2">
        <v>2470</v>
      </c>
      <c r="U2584" s="48" t="s">
        <v>93</v>
      </c>
      <c r="V2584" s="2"/>
      <c r="W2584" s="2"/>
      <c r="X2584" s="2"/>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row>
    <row r="2585" spans="2:47" ht="14.25" customHeight="1" x14ac:dyDescent="0.3">
      <c r="B2585" s="3"/>
      <c r="Q2585" s="1"/>
      <c r="R2585" s="1"/>
      <c r="S2585" s="2"/>
      <c r="T2585" s="2">
        <v>2471</v>
      </c>
      <c r="U2585" s="48" t="s">
        <v>93</v>
      </c>
      <c r="V2585" s="2"/>
      <c r="W2585" s="2"/>
      <c r="X2585" s="2"/>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row>
    <row r="2586" spans="2:47" ht="14.25" customHeight="1" x14ac:dyDescent="0.3">
      <c r="B2586" s="3"/>
      <c r="Q2586" s="1"/>
      <c r="R2586" s="1"/>
      <c r="S2586" s="2"/>
      <c r="T2586" s="2">
        <v>2472</v>
      </c>
      <c r="U2586" s="48" t="s">
        <v>93</v>
      </c>
      <c r="V2586" s="2"/>
      <c r="W2586" s="2"/>
      <c r="X2586" s="2"/>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row>
    <row r="2587" spans="2:47" ht="14.25" customHeight="1" x14ac:dyDescent="0.3">
      <c r="B2587" s="3"/>
      <c r="Q2587" s="1"/>
      <c r="R2587" s="1"/>
      <c r="S2587" s="2"/>
      <c r="T2587" s="2">
        <v>2473</v>
      </c>
      <c r="U2587" s="48" t="s">
        <v>93</v>
      </c>
      <c r="V2587" s="2"/>
      <c r="W2587" s="2"/>
      <c r="X2587" s="2"/>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row>
    <row r="2588" spans="2:47" ht="14.25" customHeight="1" x14ac:dyDescent="0.3">
      <c r="B2588" s="3"/>
      <c r="Q2588" s="1"/>
      <c r="R2588" s="1"/>
      <c r="S2588" s="2"/>
      <c r="T2588" s="2">
        <v>2474</v>
      </c>
      <c r="U2588" s="48" t="s">
        <v>93</v>
      </c>
      <c r="V2588" s="2"/>
      <c r="W2588" s="2"/>
      <c r="X2588" s="2"/>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row>
    <row r="2589" spans="2:47" ht="14.25" customHeight="1" x14ac:dyDescent="0.3">
      <c r="B2589" s="3"/>
      <c r="Q2589" s="1"/>
      <c r="R2589" s="1"/>
      <c r="S2589" s="2"/>
      <c r="T2589" s="2">
        <v>2475</v>
      </c>
      <c r="U2589" s="48" t="s">
        <v>93</v>
      </c>
      <c r="V2589" s="2"/>
      <c r="W2589" s="2"/>
      <c r="X2589" s="2"/>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row>
    <row r="2590" spans="2:47" ht="14.25" customHeight="1" x14ac:dyDescent="0.3">
      <c r="B2590" s="3"/>
      <c r="Q2590" s="1"/>
      <c r="R2590" s="1"/>
      <c r="S2590" s="2"/>
      <c r="T2590" s="2">
        <v>2476</v>
      </c>
      <c r="U2590" s="48" t="s">
        <v>93</v>
      </c>
      <c r="V2590" s="2"/>
      <c r="W2590" s="2"/>
      <c r="X2590" s="2"/>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row>
    <row r="2591" spans="2:47" ht="14.25" customHeight="1" x14ac:dyDescent="0.3">
      <c r="B2591" s="3"/>
      <c r="Q2591" s="1"/>
      <c r="R2591" s="1"/>
      <c r="S2591" s="2"/>
      <c r="T2591" s="2">
        <v>2477</v>
      </c>
      <c r="U2591" s="48" t="s">
        <v>93</v>
      </c>
      <c r="V2591" s="2"/>
      <c r="W2591" s="2"/>
      <c r="X2591" s="2"/>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row>
    <row r="2592" spans="2:47" ht="14.25" customHeight="1" x14ac:dyDescent="0.3">
      <c r="B2592" s="3"/>
      <c r="Q2592" s="1"/>
      <c r="R2592" s="1"/>
      <c r="S2592" s="2"/>
      <c r="T2592" s="2">
        <v>2478</v>
      </c>
      <c r="U2592" s="48" t="s">
        <v>93</v>
      </c>
      <c r="V2592" s="2"/>
      <c r="W2592" s="2"/>
      <c r="X2592" s="2"/>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row>
    <row r="2593" spans="2:47" ht="14.25" customHeight="1" x14ac:dyDescent="0.3">
      <c r="B2593" s="3"/>
      <c r="Q2593" s="1"/>
      <c r="R2593" s="1"/>
      <c r="S2593" s="2"/>
      <c r="T2593" s="2">
        <v>2479</v>
      </c>
      <c r="U2593" s="48" t="s">
        <v>93</v>
      </c>
      <c r="V2593" s="2"/>
      <c r="W2593" s="2"/>
      <c r="X2593" s="2"/>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row>
    <row r="2594" spans="2:47" ht="14.25" customHeight="1" x14ac:dyDescent="0.3">
      <c r="B2594" s="3"/>
      <c r="Q2594" s="1"/>
      <c r="R2594" s="1"/>
      <c r="S2594" s="2"/>
      <c r="T2594" s="2">
        <v>2480</v>
      </c>
      <c r="U2594" s="48" t="s">
        <v>93</v>
      </c>
      <c r="V2594" s="2"/>
      <c r="W2594" s="2"/>
      <c r="X2594" s="2"/>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row>
    <row r="2595" spans="2:47" ht="14.25" customHeight="1" x14ac:dyDescent="0.3">
      <c r="B2595" s="3"/>
      <c r="Q2595" s="1"/>
      <c r="R2595" s="1"/>
      <c r="S2595" s="2"/>
      <c r="T2595" s="2">
        <v>2481</v>
      </c>
      <c r="U2595" s="48" t="s">
        <v>93</v>
      </c>
      <c r="V2595" s="2"/>
      <c r="W2595" s="2"/>
      <c r="X2595" s="2"/>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row>
    <row r="2596" spans="2:47" ht="14.25" customHeight="1" x14ac:dyDescent="0.3">
      <c r="B2596" s="3"/>
      <c r="Q2596" s="1"/>
      <c r="R2596" s="1"/>
      <c r="S2596" s="2"/>
      <c r="T2596" s="2">
        <v>2482</v>
      </c>
      <c r="U2596" s="48" t="s">
        <v>93</v>
      </c>
      <c r="V2596" s="2"/>
      <c r="W2596" s="2"/>
      <c r="X2596" s="2"/>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row>
    <row r="2597" spans="2:47" ht="14.25" customHeight="1" x14ac:dyDescent="0.3">
      <c r="B2597" s="3"/>
      <c r="Q2597" s="1"/>
      <c r="R2597" s="1"/>
      <c r="S2597" s="2"/>
      <c r="T2597" s="2">
        <v>2483</v>
      </c>
      <c r="U2597" s="48" t="s">
        <v>93</v>
      </c>
      <c r="V2597" s="2"/>
      <c r="W2597" s="2"/>
      <c r="X2597" s="2"/>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row>
    <row r="2598" spans="2:47" ht="14.25" customHeight="1" x14ac:dyDescent="0.3">
      <c r="B2598" s="3"/>
      <c r="Q2598" s="1"/>
      <c r="R2598" s="1"/>
      <c r="S2598" s="2"/>
      <c r="T2598" s="2">
        <v>2484</v>
      </c>
      <c r="U2598" s="48" t="s">
        <v>93</v>
      </c>
      <c r="V2598" s="2"/>
      <c r="W2598" s="2"/>
      <c r="X2598" s="2"/>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row>
    <row r="2599" spans="2:47" ht="14.25" customHeight="1" x14ac:dyDescent="0.3">
      <c r="B2599" s="3"/>
      <c r="Q2599" s="1"/>
      <c r="R2599" s="1"/>
      <c r="S2599" s="2"/>
      <c r="T2599" s="2">
        <v>2485</v>
      </c>
      <c r="U2599" s="48" t="s">
        <v>93</v>
      </c>
      <c r="V2599" s="2"/>
      <c r="W2599" s="2"/>
      <c r="X2599" s="2"/>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row>
    <row r="2600" spans="2:47" ht="14.25" customHeight="1" x14ac:dyDescent="0.3">
      <c r="B2600" s="3"/>
      <c r="Q2600" s="1"/>
      <c r="R2600" s="1"/>
      <c r="S2600" s="2"/>
      <c r="T2600" s="2">
        <v>2486</v>
      </c>
      <c r="U2600" s="48" t="s">
        <v>93</v>
      </c>
      <c r="V2600" s="2"/>
      <c r="W2600" s="2"/>
      <c r="X2600" s="2"/>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row>
    <row r="2601" spans="2:47" ht="14.25" customHeight="1" x14ac:dyDescent="0.3">
      <c r="B2601" s="3"/>
      <c r="Q2601" s="1"/>
      <c r="R2601" s="1"/>
      <c r="S2601" s="2"/>
      <c r="T2601" s="2">
        <v>2487</v>
      </c>
      <c r="U2601" s="48" t="s">
        <v>93</v>
      </c>
      <c r="V2601" s="2"/>
      <c r="W2601" s="2"/>
      <c r="X2601" s="2"/>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row>
    <row r="2602" spans="2:47" ht="14.25" customHeight="1" x14ac:dyDescent="0.3">
      <c r="B2602" s="3"/>
      <c r="Q2602" s="1"/>
      <c r="R2602" s="1"/>
      <c r="S2602" s="2"/>
      <c r="T2602" s="2">
        <v>2488</v>
      </c>
      <c r="U2602" s="48" t="s">
        <v>93</v>
      </c>
      <c r="V2602" s="2"/>
      <c r="W2602" s="2"/>
      <c r="X2602" s="2"/>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row>
    <row r="2603" spans="2:47" ht="14.25" customHeight="1" x14ac:dyDescent="0.3">
      <c r="B2603" s="3"/>
      <c r="Q2603" s="1"/>
      <c r="R2603" s="1"/>
      <c r="S2603" s="2"/>
      <c r="T2603" s="2">
        <v>2489</v>
      </c>
      <c r="U2603" s="48" t="s">
        <v>93</v>
      </c>
      <c r="V2603" s="2"/>
      <c r="W2603" s="2"/>
      <c r="X2603" s="2"/>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row>
    <row r="2604" spans="2:47" ht="14.25" customHeight="1" x14ac:dyDescent="0.3">
      <c r="B2604" s="3"/>
      <c r="Q2604" s="1"/>
      <c r="R2604" s="1"/>
      <c r="S2604" s="2"/>
      <c r="T2604" s="2">
        <v>2490</v>
      </c>
      <c r="U2604" s="48" t="s">
        <v>93</v>
      </c>
      <c r="V2604" s="2"/>
      <c r="W2604" s="2"/>
      <c r="X2604" s="2"/>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row>
    <row r="2605" spans="2:47" ht="14.25" customHeight="1" x14ac:dyDescent="0.3">
      <c r="B2605" s="3"/>
      <c r="Q2605" s="1"/>
      <c r="R2605" s="1"/>
      <c r="S2605" s="2"/>
      <c r="T2605" s="2">
        <v>2491</v>
      </c>
      <c r="U2605" s="48" t="s">
        <v>93</v>
      </c>
      <c r="V2605" s="2"/>
      <c r="W2605" s="2"/>
      <c r="X2605" s="2"/>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row>
    <row r="2606" spans="2:47" ht="14.25" customHeight="1" x14ac:dyDescent="0.3">
      <c r="B2606" s="3"/>
      <c r="Q2606" s="1"/>
      <c r="R2606" s="1"/>
      <c r="S2606" s="2"/>
      <c r="T2606" s="2">
        <v>2492</v>
      </c>
      <c r="U2606" s="48" t="s">
        <v>93</v>
      </c>
      <c r="V2606" s="2"/>
      <c r="W2606" s="2"/>
      <c r="X2606" s="2"/>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row>
    <row r="2607" spans="2:47" ht="14.25" customHeight="1" x14ac:dyDescent="0.3">
      <c r="B2607" s="3"/>
      <c r="Q2607" s="1"/>
      <c r="R2607" s="1"/>
      <c r="S2607" s="2"/>
      <c r="T2607" s="2">
        <v>2493</v>
      </c>
      <c r="U2607" s="48" t="s">
        <v>93</v>
      </c>
      <c r="V2607" s="2"/>
      <c r="W2607" s="2"/>
      <c r="X2607" s="2"/>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row>
    <row r="2608" spans="2:47" ht="14.25" customHeight="1" x14ac:dyDescent="0.3">
      <c r="B2608" s="3"/>
      <c r="Q2608" s="1"/>
      <c r="R2608" s="1"/>
      <c r="S2608" s="2"/>
      <c r="T2608" s="2">
        <v>2494</v>
      </c>
      <c r="U2608" s="48" t="s">
        <v>93</v>
      </c>
      <c r="V2608" s="2"/>
      <c r="W2608" s="2"/>
      <c r="X2608" s="2"/>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row>
    <row r="2609" spans="2:47" ht="14.25" customHeight="1" x14ac:dyDescent="0.3">
      <c r="B2609" s="3"/>
      <c r="Q2609" s="1"/>
      <c r="R2609" s="1"/>
      <c r="S2609" s="2"/>
      <c r="T2609" s="2">
        <v>2495</v>
      </c>
      <c r="U2609" s="48" t="s">
        <v>93</v>
      </c>
      <c r="V2609" s="2"/>
      <c r="W2609" s="2"/>
      <c r="X2609" s="2"/>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row>
    <row r="2610" spans="2:47" ht="14.25" customHeight="1" x14ac:dyDescent="0.3">
      <c r="B2610" s="3"/>
      <c r="Q2610" s="1"/>
      <c r="R2610" s="1"/>
      <c r="S2610" s="2"/>
      <c r="T2610" s="2">
        <v>2496</v>
      </c>
      <c r="U2610" s="48" t="s">
        <v>93</v>
      </c>
      <c r="V2610" s="2"/>
      <c r="W2610" s="2"/>
      <c r="X2610" s="2"/>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row>
    <row r="2611" spans="2:47" ht="14.25" customHeight="1" x14ac:dyDescent="0.3">
      <c r="B2611" s="3"/>
      <c r="Q2611" s="1"/>
      <c r="R2611" s="1"/>
      <c r="S2611" s="2"/>
      <c r="T2611" s="2">
        <v>2497</v>
      </c>
      <c r="U2611" s="48" t="s">
        <v>93</v>
      </c>
      <c r="V2611" s="2"/>
      <c r="W2611" s="2"/>
      <c r="X2611" s="2"/>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row>
    <row r="2612" spans="2:47" ht="14.25" customHeight="1" x14ac:dyDescent="0.3">
      <c r="B2612" s="3"/>
      <c r="Q2612" s="1"/>
      <c r="R2612" s="1"/>
      <c r="S2612" s="2"/>
      <c r="T2612" s="2">
        <v>2498</v>
      </c>
      <c r="U2612" s="48" t="s">
        <v>93</v>
      </c>
      <c r="V2612" s="2"/>
      <c r="W2612" s="2"/>
      <c r="X2612" s="2"/>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row>
    <row r="2613" spans="2:47" ht="14.25" customHeight="1" x14ac:dyDescent="0.3">
      <c r="B2613" s="3"/>
      <c r="Q2613" s="1"/>
      <c r="R2613" s="1"/>
      <c r="S2613" s="2"/>
      <c r="T2613" s="2">
        <v>2499</v>
      </c>
      <c r="U2613" s="48" t="s">
        <v>93</v>
      </c>
      <c r="V2613" s="2"/>
      <c r="W2613" s="2"/>
      <c r="X2613" s="2"/>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row>
    <row r="2614" spans="2:47" ht="14.25" customHeight="1" x14ac:dyDescent="0.3">
      <c r="B2614" s="3"/>
      <c r="Q2614" s="1"/>
      <c r="R2614" s="1"/>
      <c r="S2614" s="2"/>
      <c r="T2614" s="2">
        <v>2500</v>
      </c>
      <c r="U2614" s="48" t="s">
        <v>93</v>
      </c>
      <c r="V2614" s="2"/>
      <c r="W2614" s="2"/>
      <c r="X2614" s="2"/>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row>
    <row r="2615" spans="2:47" ht="14.25" customHeight="1" x14ac:dyDescent="0.3">
      <c r="B2615" s="3"/>
      <c r="Q2615" s="1"/>
      <c r="R2615" s="1"/>
      <c r="S2615" s="2"/>
      <c r="T2615" s="2">
        <v>2501</v>
      </c>
      <c r="U2615" s="48" t="s">
        <v>93</v>
      </c>
      <c r="V2615" s="2"/>
      <c r="W2615" s="2"/>
      <c r="X2615" s="2"/>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row>
    <row r="2616" spans="2:47" ht="14.25" customHeight="1" x14ac:dyDescent="0.3">
      <c r="B2616" s="3"/>
      <c r="Q2616" s="1"/>
      <c r="R2616" s="1"/>
      <c r="S2616" s="2"/>
      <c r="T2616" s="2">
        <v>2502</v>
      </c>
      <c r="U2616" s="48" t="s">
        <v>93</v>
      </c>
      <c r="V2616" s="2"/>
      <c r="W2616" s="2"/>
      <c r="X2616" s="2"/>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row>
    <row r="2617" spans="2:47" ht="14.25" customHeight="1" x14ac:dyDescent="0.3">
      <c r="B2617" s="3"/>
      <c r="Q2617" s="1"/>
      <c r="R2617" s="1"/>
      <c r="S2617" s="2"/>
      <c r="T2617" s="2">
        <v>2503</v>
      </c>
      <c r="U2617" s="48" t="s">
        <v>93</v>
      </c>
      <c r="V2617" s="2"/>
      <c r="W2617" s="2"/>
      <c r="X2617" s="2"/>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row>
    <row r="2618" spans="2:47" ht="14.25" customHeight="1" x14ac:dyDescent="0.3">
      <c r="B2618" s="3"/>
      <c r="Q2618" s="1"/>
      <c r="R2618" s="1"/>
      <c r="S2618" s="2"/>
      <c r="T2618" s="2">
        <v>2504</v>
      </c>
      <c r="U2618" s="48" t="s">
        <v>93</v>
      </c>
      <c r="V2618" s="2"/>
      <c r="W2618" s="2"/>
      <c r="X2618" s="2"/>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row>
    <row r="2619" spans="2:47" ht="14.25" customHeight="1" x14ac:dyDescent="0.3">
      <c r="B2619" s="3"/>
      <c r="Q2619" s="1"/>
      <c r="R2619" s="1"/>
      <c r="S2619" s="2"/>
      <c r="T2619" s="2">
        <v>2505</v>
      </c>
      <c r="U2619" s="48" t="s">
        <v>93</v>
      </c>
      <c r="V2619" s="2"/>
      <c r="W2619" s="2"/>
      <c r="X2619" s="2"/>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row>
    <row r="2620" spans="2:47" ht="14.25" customHeight="1" x14ac:dyDescent="0.3">
      <c r="B2620" s="3"/>
      <c r="Q2620" s="1"/>
      <c r="R2620" s="1"/>
      <c r="S2620" s="2"/>
      <c r="T2620" s="2">
        <v>2506</v>
      </c>
      <c r="U2620" s="48" t="s">
        <v>93</v>
      </c>
      <c r="V2620" s="2"/>
      <c r="W2620" s="2"/>
      <c r="X2620" s="2"/>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row>
    <row r="2621" spans="2:47" ht="14.25" customHeight="1" x14ac:dyDescent="0.3">
      <c r="B2621" s="3"/>
      <c r="Q2621" s="1"/>
      <c r="R2621" s="1"/>
      <c r="S2621" s="2"/>
      <c r="T2621" s="2">
        <v>2507</v>
      </c>
      <c r="U2621" s="48" t="s">
        <v>93</v>
      </c>
      <c r="V2621" s="2"/>
      <c r="W2621" s="2"/>
      <c r="X2621" s="2"/>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row>
    <row r="2622" spans="2:47" ht="14.25" customHeight="1" x14ac:dyDescent="0.3">
      <c r="B2622" s="3"/>
      <c r="Q2622" s="1"/>
      <c r="R2622" s="1"/>
      <c r="S2622" s="2"/>
      <c r="T2622" s="2">
        <v>2508</v>
      </c>
      <c r="U2622" s="48" t="s">
        <v>93</v>
      </c>
      <c r="V2622" s="2"/>
      <c r="W2622" s="2"/>
      <c r="X2622" s="2"/>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row>
    <row r="2623" spans="2:47" ht="14.25" customHeight="1" x14ac:dyDescent="0.3">
      <c r="B2623" s="3"/>
      <c r="Q2623" s="1"/>
      <c r="R2623" s="1"/>
      <c r="S2623" s="2"/>
      <c r="T2623" s="2">
        <v>2509</v>
      </c>
      <c r="U2623" s="48" t="s">
        <v>93</v>
      </c>
      <c r="V2623" s="2"/>
      <c r="W2623" s="2"/>
      <c r="X2623" s="2"/>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row>
    <row r="2624" spans="2:47" ht="14.25" customHeight="1" x14ac:dyDescent="0.3">
      <c r="B2624" s="3"/>
      <c r="Q2624" s="1"/>
      <c r="R2624" s="1"/>
      <c r="S2624" s="2"/>
      <c r="T2624" s="2">
        <v>2510</v>
      </c>
      <c r="U2624" s="48" t="s">
        <v>93</v>
      </c>
      <c r="V2624" s="2"/>
      <c r="W2624" s="2"/>
      <c r="X2624" s="2"/>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row>
    <row r="2625" spans="2:47" ht="14.25" customHeight="1" x14ac:dyDescent="0.3">
      <c r="B2625" s="3"/>
      <c r="Q2625" s="1"/>
      <c r="R2625" s="1"/>
      <c r="S2625" s="2"/>
      <c r="T2625" s="2">
        <v>2511</v>
      </c>
      <c r="U2625" s="48" t="s">
        <v>93</v>
      </c>
      <c r="V2625" s="2"/>
      <c r="W2625" s="2"/>
      <c r="X2625" s="2"/>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row>
    <row r="2626" spans="2:47" ht="14.25" customHeight="1" x14ac:dyDescent="0.3">
      <c r="B2626" s="3"/>
      <c r="Q2626" s="1"/>
      <c r="R2626" s="1"/>
      <c r="S2626" s="2"/>
      <c r="T2626" s="2">
        <v>2512</v>
      </c>
      <c r="U2626" s="48" t="s">
        <v>93</v>
      </c>
      <c r="V2626" s="2"/>
      <c r="W2626" s="2"/>
      <c r="X2626" s="2"/>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row>
    <row r="2627" spans="2:47" ht="14.25" customHeight="1" x14ac:dyDescent="0.3">
      <c r="B2627" s="3"/>
      <c r="Q2627" s="1"/>
      <c r="R2627" s="1"/>
      <c r="S2627" s="2"/>
      <c r="T2627" s="2">
        <v>2513</v>
      </c>
      <c r="U2627" s="48" t="s">
        <v>93</v>
      </c>
      <c r="V2627" s="2"/>
      <c r="W2627" s="2"/>
      <c r="X2627" s="2"/>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row>
    <row r="2628" spans="2:47" ht="14.25" customHeight="1" x14ac:dyDescent="0.3">
      <c r="B2628" s="3"/>
      <c r="Q2628" s="1"/>
      <c r="R2628" s="1"/>
      <c r="S2628" s="2"/>
      <c r="T2628" s="2">
        <v>2514</v>
      </c>
      <c r="U2628" s="48" t="s">
        <v>93</v>
      </c>
      <c r="V2628" s="2"/>
      <c r="W2628" s="2"/>
      <c r="X2628" s="2"/>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row>
    <row r="2629" spans="2:47" ht="14.25" customHeight="1" x14ac:dyDescent="0.3">
      <c r="B2629" s="3"/>
      <c r="Q2629" s="1"/>
      <c r="R2629" s="1"/>
      <c r="S2629" s="2"/>
      <c r="T2629" s="2">
        <v>2515</v>
      </c>
      <c r="U2629" s="48" t="s">
        <v>93</v>
      </c>
      <c r="V2629" s="2"/>
      <c r="W2629" s="2"/>
      <c r="X2629" s="2"/>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row>
    <row r="2630" spans="2:47" ht="14.25" customHeight="1" x14ac:dyDescent="0.3">
      <c r="B2630" s="3"/>
      <c r="Q2630" s="1"/>
      <c r="R2630" s="1"/>
      <c r="S2630" s="2"/>
      <c r="T2630" s="2">
        <v>2516</v>
      </c>
      <c r="U2630" s="48" t="s">
        <v>93</v>
      </c>
      <c r="V2630" s="2"/>
      <c r="W2630" s="2"/>
      <c r="X2630" s="2"/>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row>
    <row r="2631" spans="2:47" ht="14.25" customHeight="1" x14ac:dyDescent="0.3">
      <c r="B2631" s="3"/>
      <c r="Q2631" s="1"/>
      <c r="R2631" s="1"/>
      <c r="S2631" s="2"/>
      <c r="T2631" s="2">
        <v>2517</v>
      </c>
      <c r="U2631" s="48" t="s">
        <v>93</v>
      </c>
      <c r="V2631" s="2"/>
      <c r="W2631" s="2"/>
      <c r="X2631" s="2"/>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row>
    <row r="2632" spans="2:47" ht="14.25" customHeight="1" x14ac:dyDescent="0.3">
      <c r="B2632" s="3"/>
      <c r="Q2632" s="1"/>
      <c r="R2632" s="1"/>
      <c r="S2632" s="2"/>
      <c r="T2632" s="2">
        <v>2518</v>
      </c>
      <c r="U2632" s="48" t="s">
        <v>93</v>
      </c>
      <c r="V2632" s="2"/>
      <c r="W2632" s="2"/>
      <c r="X2632" s="2"/>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row>
    <row r="2633" spans="2:47" ht="14.25" customHeight="1" x14ac:dyDescent="0.3">
      <c r="B2633" s="3"/>
      <c r="Q2633" s="1"/>
      <c r="R2633" s="1"/>
      <c r="S2633" s="2"/>
      <c r="T2633" s="2">
        <v>2519</v>
      </c>
      <c r="U2633" s="48" t="s">
        <v>93</v>
      </c>
      <c r="V2633" s="2"/>
      <c r="W2633" s="2"/>
      <c r="X2633" s="2"/>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row>
    <row r="2634" spans="2:47" ht="14.25" customHeight="1" x14ac:dyDescent="0.3">
      <c r="B2634" s="3"/>
      <c r="Q2634" s="1"/>
      <c r="R2634" s="1"/>
      <c r="S2634" s="2"/>
      <c r="T2634" s="2">
        <v>2520</v>
      </c>
      <c r="U2634" s="48" t="s">
        <v>93</v>
      </c>
      <c r="V2634" s="2"/>
      <c r="W2634" s="2"/>
      <c r="X2634" s="2"/>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row>
    <row r="2635" spans="2:47" ht="14.25" customHeight="1" x14ac:dyDescent="0.3">
      <c r="B2635" s="3"/>
      <c r="Q2635" s="1"/>
      <c r="R2635" s="1"/>
      <c r="S2635" s="2"/>
      <c r="T2635" s="2">
        <v>2521</v>
      </c>
      <c r="U2635" s="48" t="s">
        <v>93</v>
      </c>
      <c r="V2635" s="2"/>
      <c r="W2635" s="2"/>
      <c r="X2635" s="2"/>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row>
    <row r="2636" spans="2:47" ht="14.25" customHeight="1" x14ac:dyDescent="0.3">
      <c r="B2636" s="3"/>
      <c r="Q2636" s="1"/>
      <c r="R2636" s="1"/>
      <c r="S2636" s="2"/>
      <c r="T2636" s="2">
        <v>2522</v>
      </c>
      <c r="U2636" s="48" t="s">
        <v>93</v>
      </c>
      <c r="V2636" s="2"/>
      <c r="W2636" s="2"/>
      <c r="X2636" s="2"/>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row>
    <row r="2637" spans="2:47" ht="14.25" customHeight="1" x14ac:dyDescent="0.3">
      <c r="B2637" s="3"/>
      <c r="Q2637" s="1"/>
      <c r="R2637" s="1"/>
      <c r="S2637" s="2"/>
      <c r="T2637" s="2">
        <v>2523</v>
      </c>
      <c r="U2637" s="48" t="s">
        <v>93</v>
      </c>
      <c r="V2637" s="2"/>
      <c r="W2637" s="2"/>
      <c r="X2637" s="2"/>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row>
    <row r="2638" spans="2:47" ht="14.25" customHeight="1" x14ac:dyDescent="0.3">
      <c r="B2638" s="3"/>
      <c r="Q2638" s="1"/>
      <c r="R2638" s="1"/>
      <c r="S2638" s="2"/>
      <c r="T2638" s="2">
        <v>2524</v>
      </c>
      <c r="U2638" s="48" t="s">
        <v>93</v>
      </c>
      <c r="V2638" s="2"/>
      <c r="W2638" s="2"/>
      <c r="X2638" s="2"/>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row>
    <row r="2639" spans="2:47" ht="14.25" customHeight="1" x14ac:dyDescent="0.3">
      <c r="B2639" s="3"/>
      <c r="Q2639" s="1"/>
      <c r="R2639" s="1"/>
      <c r="S2639" s="2"/>
      <c r="T2639" s="2">
        <v>2525</v>
      </c>
      <c r="U2639" s="48" t="s">
        <v>93</v>
      </c>
      <c r="V2639" s="2"/>
      <c r="W2639" s="2"/>
      <c r="X2639" s="2"/>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row>
    <row r="2640" spans="2:47" ht="14.25" customHeight="1" x14ac:dyDescent="0.3">
      <c r="B2640" s="3"/>
      <c r="Q2640" s="1"/>
      <c r="R2640" s="1"/>
      <c r="S2640" s="2"/>
      <c r="T2640" s="2">
        <v>2526</v>
      </c>
      <c r="U2640" s="48" t="s">
        <v>93</v>
      </c>
      <c r="V2640" s="2"/>
      <c r="W2640" s="2"/>
      <c r="X2640" s="2"/>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row>
    <row r="2641" spans="2:47" ht="14.25" customHeight="1" x14ac:dyDescent="0.3">
      <c r="B2641" s="3"/>
      <c r="Q2641" s="1"/>
      <c r="R2641" s="1"/>
      <c r="S2641" s="2"/>
      <c r="T2641" s="2">
        <v>2527</v>
      </c>
      <c r="U2641" s="48" t="s">
        <v>93</v>
      </c>
      <c r="V2641" s="2"/>
      <c r="W2641" s="2"/>
      <c r="X2641" s="2"/>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row>
    <row r="2642" spans="2:47" ht="14.25" customHeight="1" x14ac:dyDescent="0.3">
      <c r="B2642" s="3"/>
      <c r="Q2642" s="1"/>
      <c r="R2642" s="1"/>
      <c r="S2642" s="2"/>
      <c r="T2642" s="2">
        <v>2528</v>
      </c>
      <c r="U2642" s="48" t="s">
        <v>93</v>
      </c>
      <c r="V2642" s="2"/>
      <c r="W2642" s="2"/>
      <c r="X2642" s="2"/>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row>
    <row r="2643" spans="2:47" ht="14.25" customHeight="1" x14ac:dyDescent="0.3">
      <c r="B2643" s="3"/>
      <c r="Q2643" s="1"/>
      <c r="R2643" s="1"/>
      <c r="S2643" s="2"/>
      <c r="T2643" s="2">
        <v>2529</v>
      </c>
      <c r="U2643" s="48" t="s">
        <v>93</v>
      </c>
      <c r="V2643" s="2"/>
      <c r="W2643" s="2"/>
      <c r="X2643" s="2"/>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row>
    <row r="2644" spans="2:47" ht="14.25" customHeight="1" x14ac:dyDescent="0.3">
      <c r="B2644" s="3"/>
      <c r="Q2644" s="1"/>
      <c r="R2644" s="1"/>
      <c r="S2644" s="2"/>
      <c r="T2644" s="2">
        <v>2530</v>
      </c>
      <c r="U2644" s="48" t="s">
        <v>93</v>
      </c>
      <c r="V2644" s="2"/>
      <c r="W2644" s="2"/>
      <c r="X2644" s="2"/>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row>
    <row r="2645" spans="2:47" ht="14.25" customHeight="1" x14ac:dyDescent="0.3">
      <c r="B2645" s="3"/>
      <c r="Q2645" s="1"/>
      <c r="R2645" s="1"/>
      <c r="S2645" s="2"/>
      <c r="T2645" s="2">
        <v>2531</v>
      </c>
      <c r="U2645" s="48" t="s">
        <v>93</v>
      </c>
      <c r="V2645" s="2"/>
      <c r="W2645" s="2"/>
      <c r="X2645" s="2"/>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row>
    <row r="2646" spans="2:47" ht="14.25" customHeight="1" x14ac:dyDescent="0.3">
      <c r="B2646" s="3"/>
      <c r="Q2646" s="1"/>
      <c r="R2646" s="1"/>
      <c r="S2646" s="2"/>
      <c r="T2646" s="2">
        <v>2532</v>
      </c>
      <c r="U2646" s="48" t="s">
        <v>93</v>
      </c>
      <c r="V2646" s="2"/>
      <c r="W2646" s="2"/>
      <c r="X2646" s="2"/>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row>
    <row r="2647" spans="2:47" ht="14.25" customHeight="1" x14ac:dyDescent="0.3">
      <c r="B2647" s="3"/>
      <c r="Q2647" s="1"/>
      <c r="R2647" s="1"/>
      <c r="S2647" s="2"/>
      <c r="T2647" s="2">
        <v>2533</v>
      </c>
      <c r="U2647" s="48" t="s">
        <v>93</v>
      </c>
      <c r="V2647" s="2"/>
      <c r="W2647" s="2"/>
      <c r="X2647" s="2"/>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row>
    <row r="2648" spans="2:47" ht="14.25" customHeight="1" x14ac:dyDescent="0.3">
      <c r="B2648" s="3"/>
      <c r="Q2648" s="1"/>
      <c r="R2648" s="1"/>
      <c r="S2648" s="2"/>
      <c r="T2648" s="2">
        <v>2534</v>
      </c>
      <c r="U2648" s="48" t="s">
        <v>93</v>
      </c>
      <c r="V2648" s="2"/>
      <c r="W2648" s="2"/>
      <c r="X2648" s="2"/>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row>
    <row r="2649" spans="2:47" ht="14.25" customHeight="1" x14ac:dyDescent="0.3">
      <c r="B2649" s="3"/>
      <c r="Q2649" s="1"/>
      <c r="R2649" s="1"/>
      <c r="S2649" s="2"/>
      <c r="T2649" s="2">
        <v>2535</v>
      </c>
      <c r="U2649" s="48" t="s">
        <v>93</v>
      </c>
      <c r="V2649" s="2"/>
      <c r="W2649" s="2"/>
      <c r="X2649" s="2"/>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row>
    <row r="2650" spans="2:47" ht="14.25" customHeight="1" x14ac:dyDescent="0.3">
      <c r="B2650" s="3"/>
      <c r="Q2650" s="1"/>
      <c r="R2650" s="1"/>
      <c r="S2650" s="2"/>
      <c r="T2650" s="2">
        <v>2536</v>
      </c>
      <c r="U2650" s="48" t="s">
        <v>93</v>
      </c>
      <c r="V2650" s="2"/>
      <c r="W2650" s="2"/>
      <c r="X2650" s="2"/>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row>
    <row r="2651" spans="2:47" ht="14.25" customHeight="1" x14ac:dyDescent="0.3">
      <c r="B2651" s="3"/>
      <c r="Q2651" s="1"/>
      <c r="R2651" s="1"/>
      <c r="S2651" s="2"/>
      <c r="T2651" s="2">
        <v>2537</v>
      </c>
      <c r="U2651" s="48" t="s">
        <v>93</v>
      </c>
      <c r="V2651" s="2"/>
      <c r="W2651" s="2"/>
      <c r="X2651" s="2"/>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row>
    <row r="2652" spans="2:47" ht="14.25" customHeight="1" x14ac:dyDescent="0.3">
      <c r="B2652" s="3"/>
      <c r="Q2652" s="1"/>
      <c r="R2652" s="1"/>
      <c r="S2652" s="2"/>
      <c r="T2652" s="2">
        <v>2538</v>
      </c>
      <c r="U2652" s="48" t="s">
        <v>93</v>
      </c>
      <c r="V2652" s="2"/>
      <c r="W2652" s="2"/>
      <c r="X2652" s="2"/>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row>
    <row r="2653" spans="2:47" ht="14.25" customHeight="1" x14ac:dyDescent="0.3">
      <c r="B2653" s="3"/>
      <c r="Q2653" s="1"/>
      <c r="R2653" s="1"/>
      <c r="S2653" s="2"/>
      <c r="T2653" s="2">
        <v>2539</v>
      </c>
      <c r="U2653" s="48" t="s">
        <v>93</v>
      </c>
      <c r="V2653" s="2"/>
      <c r="W2653" s="2"/>
      <c r="X2653" s="2"/>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row>
    <row r="2654" spans="2:47" ht="14.25" customHeight="1" x14ac:dyDescent="0.3">
      <c r="B2654" s="3"/>
      <c r="Q2654" s="1"/>
      <c r="R2654" s="1"/>
      <c r="S2654" s="2"/>
      <c r="T2654" s="2">
        <v>2540</v>
      </c>
      <c r="U2654" s="48" t="s">
        <v>93</v>
      </c>
      <c r="V2654" s="2"/>
      <c r="W2654" s="2"/>
      <c r="X2654" s="2"/>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row>
    <row r="2655" spans="2:47" ht="14.25" customHeight="1" x14ac:dyDescent="0.3">
      <c r="B2655" s="3"/>
      <c r="Q2655" s="1"/>
      <c r="R2655" s="1"/>
      <c r="S2655" s="2"/>
      <c r="T2655" s="2">
        <v>2541</v>
      </c>
      <c r="U2655" s="48" t="s">
        <v>93</v>
      </c>
      <c r="V2655" s="2"/>
      <c r="W2655" s="2"/>
      <c r="X2655" s="2"/>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row>
    <row r="2656" spans="2:47" ht="14.25" customHeight="1" x14ac:dyDescent="0.3">
      <c r="B2656" s="3"/>
      <c r="Q2656" s="1"/>
      <c r="R2656" s="1"/>
      <c r="S2656" s="2"/>
      <c r="T2656" s="2">
        <v>2542</v>
      </c>
      <c r="U2656" s="48" t="s">
        <v>93</v>
      </c>
      <c r="V2656" s="2"/>
      <c r="W2656" s="2"/>
      <c r="X2656" s="2"/>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row>
    <row r="2657" spans="2:47" ht="14.25" customHeight="1" x14ac:dyDescent="0.3">
      <c r="B2657" s="3"/>
      <c r="Q2657" s="1"/>
      <c r="R2657" s="1"/>
      <c r="S2657" s="2"/>
      <c r="T2657" s="2">
        <v>2543</v>
      </c>
      <c r="U2657" s="48" t="s">
        <v>93</v>
      </c>
      <c r="V2657" s="2"/>
      <c r="W2657" s="2"/>
      <c r="X2657" s="2"/>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row>
    <row r="2658" spans="2:47" ht="14.25" customHeight="1" x14ac:dyDescent="0.3">
      <c r="B2658" s="3"/>
      <c r="Q2658" s="1"/>
      <c r="R2658" s="1"/>
      <c r="S2658" s="2"/>
      <c r="T2658" s="2">
        <v>2544</v>
      </c>
      <c r="U2658" s="48" t="s">
        <v>93</v>
      </c>
      <c r="V2658" s="2"/>
      <c r="W2658" s="2"/>
      <c r="X2658" s="2"/>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row>
    <row r="2659" spans="2:47" ht="14.25" customHeight="1" x14ac:dyDescent="0.3">
      <c r="B2659" s="3"/>
      <c r="Q2659" s="1"/>
      <c r="R2659" s="1"/>
      <c r="S2659" s="2"/>
      <c r="T2659" s="2">
        <v>2545</v>
      </c>
      <c r="U2659" s="48" t="s">
        <v>93</v>
      </c>
      <c r="V2659" s="2"/>
      <c r="W2659" s="2"/>
      <c r="X2659" s="2"/>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row>
    <row r="2660" spans="2:47" ht="14.25" customHeight="1" x14ac:dyDescent="0.3">
      <c r="B2660" s="3"/>
      <c r="Q2660" s="1"/>
      <c r="R2660" s="1"/>
      <c r="S2660" s="2"/>
      <c r="T2660" s="2">
        <v>2546</v>
      </c>
      <c r="U2660" s="48" t="s">
        <v>93</v>
      </c>
      <c r="V2660" s="2"/>
      <c r="W2660" s="2"/>
      <c r="X2660" s="2"/>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row>
    <row r="2661" spans="2:47" ht="14.25" customHeight="1" x14ac:dyDescent="0.3">
      <c r="B2661" s="3"/>
      <c r="Q2661" s="1"/>
      <c r="R2661" s="1"/>
      <c r="S2661" s="2"/>
      <c r="T2661" s="2">
        <v>2547</v>
      </c>
      <c r="U2661" s="48" t="s">
        <v>93</v>
      </c>
      <c r="V2661" s="2"/>
      <c r="W2661" s="2"/>
      <c r="X2661" s="2"/>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row>
    <row r="2662" spans="2:47" ht="14.25" customHeight="1" x14ac:dyDescent="0.3">
      <c r="B2662" s="3"/>
      <c r="Q2662" s="1"/>
      <c r="R2662" s="1"/>
      <c r="S2662" s="2"/>
      <c r="T2662" s="2">
        <v>2548</v>
      </c>
      <c r="U2662" s="48" t="s">
        <v>93</v>
      </c>
      <c r="V2662" s="2"/>
      <c r="W2662" s="2"/>
      <c r="X2662" s="2"/>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row>
    <row r="2663" spans="2:47" ht="14.25" customHeight="1" x14ac:dyDescent="0.3">
      <c r="B2663" s="3"/>
      <c r="Q2663" s="1"/>
      <c r="R2663" s="1"/>
      <c r="S2663" s="2"/>
      <c r="T2663" s="2">
        <v>2549</v>
      </c>
      <c r="U2663" s="48" t="s">
        <v>93</v>
      </c>
      <c r="V2663" s="2"/>
      <c r="W2663" s="2"/>
      <c r="X2663" s="2"/>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row>
    <row r="2664" spans="2:47" ht="14.25" customHeight="1" x14ac:dyDescent="0.3">
      <c r="B2664" s="3"/>
      <c r="Q2664" s="1"/>
      <c r="R2664" s="1"/>
      <c r="S2664" s="2"/>
      <c r="T2664" s="2">
        <v>2550</v>
      </c>
      <c r="U2664" s="48" t="s">
        <v>93</v>
      </c>
      <c r="V2664" s="2"/>
      <c r="W2664" s="2"/>
      <c r="X2664" s="2"/>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row>
    <row r="2665" spans="2:47" ht="14.25" customHeight="1" x14ac:dyDescent="0.3">
      <c r="B2665" s="3"/>
      <c r="Q2665" s="1"/>
      <c r="R2665" s="1"/>
      <c r="S2665" s="2"/>
      <c r="T2665" s="2">
        <v>2551</v>
      </c>
      <c r="U2665" s="48" t="s">
        <v>93</v>
      </c>
      <c r="V2665" s="2"/>
      <c r="W2665" s="2"/>
      <c r="X2665" s="2"/>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row>
    <row r="2666" spans="2:47" ht="14.25" customHeight="1" x14ac:dyDescent="0.3">
      <c r="B2666" s="3"/>
      <c r="Q2666" s="1"/>
      <c r="R2666" s="1"/>
      <c r="S2666" s="2"/>
      <c r="T2666" s="2">
        <v>2552</v>
      </c>
      <c r="U2666" s="48" t="s">
        <v>93</v>
      </c>
      <c r="V2666" s="2"/>
      <c r="W2666" s="2"/>
      <c r="X2666" s="2"/>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row>
    <row r="2667" spans="2:47" ht="14.25" customHeight="1" x14ac:dyDescent="0.3">
      <c r="B2667" s="3"/>
      <c r="Q2667" s="1"/>
      <c r="R2667" s="1"/>
      <c r="S2667" s="2"/>
      <c r="T2667" s="2">
        <v>2553</v>
      </c>
      <c r="U2667" s="48" t="s">
        <v>93</v>
      </c>
      <c r="V2667" s="2"/>
      <c r="W2667" s="2"/>
      <c r="X2667" s="2"/>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row>
    <row r="2668" spans="2:47" ht="14.25" customHeight="1" x14ac:dyDescent="0.3">
      <c r="B2668" s="3"/>
      <c r="Q2668" s="1"/>
      <c r="R2668" s="1"/>
      <c r="S2668" s="2"/>
      <c r="T2668" s="2">
        <v>2554</v>
      </c>
      <c r="U2668" s="48" t="s">
        <v>93</v>
      </c>
      <c r="V2668" s="2"/>
      <c r="W2668" s="2"/>
      <c r="X2668" s="2"/>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row>
    <row r="2669" spans="2:47" ht="14.25" customHeight="1" x14ac:dyDescent="0.3">
      <c r="B2669" s="3"/>
      <c r="Q2669" s="1"/>
      <c r="R2669" s="1"/>
      <c r="S2669" s="2"/>
      <c r="T2669" s="2">
        <v>2555</v>
      </c>
      <c r="U2669" s="48" t="s">
        <v>93</v>
      </c>
      <c r="V2669" s="2"/>
      <c r="W2669" s="2"/>
      <c r="X2669" s="2"/>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row>
    <row r="2670" spans="2:47" ht="14.25" customHeight="1" x14ac:dyDescent="0.3">
      <c r="B2670" s="3"/>
      <c r="Q2670" s="1"/>
      <c r="R2670" s="1"/>
      <c r="S2670" s="2"/>
      <c r="T2670" s="2">
        <v>2556</v>
      </c>
      <c r="U2670" s="48" t="s">
        <v>93</v>
      </c>
      <c r="V2670" s="2"/>
      <c r="W2670" s="2"/>
      <c r="X2670" s="2"/>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row>
    <row r="2671" spans="2:47" ht="14.25" customHeight="1" x14ac:dyDescent="0.3">
      <c r="B2671" s="3"/>
      <c r="Q2671" s="1"/>
      <c r="R2671" s="1"/>
      <c r="S2671" s="2"/>
      <c r="T2671" s="2">
        <v>2557</v>
      </c>
      <c r="U2671" s="48" t="s">
        <v>93</v>
      </c>
      <c r="V2671" s="2"/>
      <c r="W2671" s="2"/>
      <c r="X2671" s="2"/>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row>
    <row r="2672" spans="2:47" ht="14.25" customHeight="1" x14ac:dyDescent="0.3">
      <c r="B2672" s="3"/>
      <c r="Q2672" s="1"/>
      <c r="R2672" s="1"/>
      <c r="S2672" s="2"/>
      <c r="T2672" s="2">
        <v>2558</v>
      </c>
      <c r="U2672" s="48" t="s">
        <v>93</v>
      </c>
      <c r="V2672" s="2"/>
      <c r="W2672" s="2"/>
      <c r="X2672" s="2"/>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row>
    <row r="2673" spans="2:47" ht="14.25" customHeight="1" x14ac:dyDescent="0.3">
      <c r="B2673" s="3"/>
      <c r="Q2673" s="1"/>
      <c r="R2673" s="1"/>
      <c r="S2673" s="2"/>
      <c r="T2673" s="2">
        <v>2559</v>
      </c>
      <c r="U2673" s="48" t="s">
        <v>93</v>
      </c>
      <c r="V2673" s="2"/>
      <c r="W2673" s="2"/>
      <c r="X2673" s="2"/>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row>
    <row r="2674" spans="2:47" ht="14.25" customHeight="1" x14ac:dyDescent="0.3">
      <c r="B2674" s="3"/>
      <c r="Q2674" s="1"/>
      <c r="R2674" s="1"/>
      <c r="S2674" s="2"/>
      <c r="T2674" s="2">
        <v>2560</v>
      </c>
      <c r="U2674" s="48" t="s">
        <v>93</v>
      </c>
      <c r="V2674" s="2"/>
      <c r="W2674" s="2"/>
      <c r="X2674" s="2"/>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row>
    <row r="2675" spans="2:47" ht="14.25" customHeight="1" x14ac:dyDescent="0.3">
      <c r="B2675" s="3"/>
      <c r="Q2675" s="1"/>
      <c r="R2675" s="1"/>
      <c r="S2675" s="2"/>
      <c r="T2675" s="2">
        <v>2561</v>
      </c>
      <c r="U2675" s="48" t="s">
        <v>93</v>
      </c>
      <c r="V2675" s="2"/>
      <c r="W2675" s="2"/>
      <c r="X2675" s="2"/>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row>
    <row r="2676" spans="2:47" ht="14.25" customHeight="1" x14ac:dyDescent="0.3">
      <c r="B2676" s="3"/>
      <c r="Q2676" s="1"/>
      <c r="R2676" s="1"/>
      <c r="S2676" s="2"/>
      <c r="T2676" s="2">
        <v>2562</v>
      </c>
      <c r="U2676" s="48" t="s">
        <v>93</v>
      </c>
      <c r="V2676" s="2"/>
      <c r="W2676" s="2"/>
      <c r="X2676" s="2"/>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row>
    <row r="2677" spans="2:47" ht="14.25" customHeight="1" x14ac:dyDescent="0.3">
      <c r="B2677" s="3"/>
      <c r="Q2677" s="1"/>
      <c r="R2677" s="1"/>
      <c r="S2677" s="2"/>
      <c r="T2677" s="2">
        <v>2563</v>
      </c>
      <c r="U2677" s="48" t="s">
        <v>93</v>
      </c>
      <c r="V2677" s="2"/>
      <c r="W2677" s="2"/>
      <c r="X2677" s="2"/>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row>
    <row r="2678" spans="2:47" ht="14.25" customHeight="1" x14ac:dyDescent="0.3">
      <c r="B2678" s="3"/>
      <c r="Q2678" s="1"/>
      <c r="R2678" s="1"/>
      <c r="S2678" s="2"/>
      <c r="T2678" s="2">
        <v>2564</v>
      </c>
      <c r="U2678" s="48" t="s">
        <v>93</v>
      </c>
      <c r="V2678" s="2"/>
      <c r="W2678" s="2"/>
      <c r="X2678" s="2"/>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row>
    <row r="2679" spans="2:47" ht="14.25" customHeight="1" x14ac:dyDescent="0.3">
      <c r="B2679" s="3"/>
      <c r="Q2679" s="1"/>
      <c r="R2679" s="1"/>
      <c r="S2679" s="2"/>
      <c r="T2679" s="2">
        <v>2565</v>
      </c>
      <c r="U2679" s="48" t="s">
        <v>93</v>
      </c>
      <c r="V2679" s="2"/>
      <c r="W2679" s="2"/>
      <c r="X2679" s="2"/>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row>
    <row r="2680" spans="2:47" ht="14.25" customHeight="1" x14ac:dyDescent="0.3">
      <c r="B2680" s="3"/>
      <c r="Q2680" s="1"/>
      <c r="R2680" s="1"/>
      <c r="S2680" s="2"/>
      <c r="T2680" s="2">
        <v>2566</v>
      </c>
      <c r="U2680" s="48" t="s">
        <v>93</v>
      </c>
      <c r="V2680" s="2"/>
      <c r="W2680" s="2"/>
      <c r="X2680" s="2"/>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row>
    <row r="2681" spans="2:47" ht="14.25" customHeight="1" x14ac:dyDescent="0.3">
      <c r="B2681" s="3"/>
      <c r="Q2681" s="1"/>
      <c r="R2681" s="1"/>
      <c r="S2681" s="2"/>
      <c r="T2681" s="2">
        <v>2567</v>
      </c>
      <c r="U2681" s="48" t="s">
        <v>93</v>
      </c>
      <c r="V2681" s="2"/>
      <c r="W2681" s="2"/>
      <c r="X2681" s="2"/>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row>
    <row r="2682" spans="2:47" ht="14.25" customHeight="1" x14ac:dyDescent="0.3">
      <c r="B2682" s="3"/>
      <c r="Q2682" s="1"/>
      <c r="R2682" s="1"/>
      <c r="S2682" s="2"/>
      <c r="T2682" s="2">
        <v>2568</v>
      </c>
      <c r="U2682" s="48" t="s">
        <v>93</v>
      </c>
      <c r="V2682" s="2"/>
      <c r="W2682" s="2"/>
      <c r="X2682" s="2"/>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row>
    <row r="2683" spans="2:47" ht="14.25" customHeight="1" x14ac:dyDescent="0.3">
      <c r="B2683" s="3"/>
      <c r="Q2683" s="1"/>
      <c r="R2683" s="1"/>
      <c r="S2683" s="2"/>
      <c r="T2683" s="2">
        <v>2569</v>
      </c>
      <c r="U2683" s="48" t="s">
        <v>93</v>
      </c>
      <c r="V2683" s="2"/>
      <c r="W2683" s="2"/>
      <c r="X2683" s="2"/>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row>
    <row r="2684" spans="2:47" ht="14.25" customHeight="1" x14ac:dyDescent="0.3">
      <c r="B2684" s="3"/>
      <c r="Q2684" s="1"/>
      <c r="R2684" s="1"/>
      <c r="S2684" s="2"/>
      <c r="T2684" s="2">
        <v>2570</v>
      </c>
      <c r="U2684" s="48" t="s">
        <v>93</v>
      </c>
      <c r="V2684" s="2"/>
      <c r="W2684" s="2"/>
      <c r="X2684" s="2"/>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row>
    <row r="2685" spans="2:47" ht="14.25" customHeight="1" x14ac:dyDescent="0.3">
      <c r="B2685" s="3"/>
      <c r="Q2685" s="1"/>
      <c r="R2685" s="1"/>
      <c r="S2685" s="2"/>
      <c r="T2685" s="2">
        <v>2571</v>
      </c>
      <c r="U2685" s="48" t="s">
        <v>93</v>
      </c>
      <c r="V2685" s="2"/>
      <c r="W2685" s="2"/>
      <c r="X2685" s="2"/>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row>
    <row r="2686" spans="2:47" ht="14.25" customHeight="1" x14ac:dyDescent="0.3">
      <c r="B2686" s="3"/>
      <c r="Q2686" s="1"/>
      <c r="R2686" s="1"/>
      <c r="S2686" s="2"/>
      <c r="T2686" s="2">
        <v>2572</v>
      </c>
      <c r="U2686" s="48" t="s">
        <v>93</v>
      </c>
      <c r="V2686" s="2"/>
      <c r="W2686" s="2"/>
      <c r="X2686" s="2"/>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row>
    <row r="2687" spans="2:47" ht="14.25" customHeight="1" x14ac:dyDescent="0.3">
      <c r="B2687" s="3"/>
      <c r="Q2687" s="1"/>
      <c r="R2687" s="1"/>
      <c r="S2687" s="2"/>
      <c r="T2687" s="2">
        <v>2573</v>
      </c>
      <c r="U2687" s="48" t="s">
        <v>93</v>
      </c>
      <c r="V2687" s="2"/>
      <c r="W2687" s="2"/>
      <c r="X2687" s="2"/>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row>
    <row r="2688" spans="2:47" ht="14.25" customHeight="1" x14ac:dyDescent="0.3">
      <c r="B2688" s="3"/>
      <c r="Q2688" s="1"/>
      <c r="R2688" s="1"/>
      <c r="S2688" s="2"/>
      <c r="T2688" s="2">
        <v>2574</v>
      </c>
      <c r="U2688" s="48" t="s">
        <v>93</v>
      </c>
      <c r="V2688" s="2"/>
      <c r="W2688" s="2"/>
      <c r="X2688" s="2"/>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row>
    <row r="2689" spans="2:47" ht="14.25" customHeight="1" x14ac:dyDescent="0.3">
      <c r="B2689" s="3"/>
      <c r="Q2689" s="1"/>
      <c r="R2689" s="1"/>
      <c r="S2689" s="2"/>
      <c r="T2689" s="2">
        <v>2575</v>
      </c>
      <c r="U2689" s="48" t="s">
        <v>93</v>
      </c>
      <c r="V2689" s="2"/>
      <c r="W2689" s="2"/>
      <c r="X2689" s="2"/>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row>
    <row r="2690" spans="2:47" ht="14.25" customHeight="1" x14ac:dyDescent="0.3">
      <c r="B2690" s="3"/>
      <c r="Q2690" s="1"/>
      <c r="R2690" s="1"/>
      <c r="S2690" s="2"/>
      <c r="T2690" s="2">
        <v>2576</v>
      </c>
      <c r="U2690" s="48" t="s">
        <v>93</v>
      </c>
      <c r="V2690" s="2"/>
      <c r="W2690" s="2"/>
      <c r="X2690" s="2"/>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row>
    <row r="2691" spans="2:47" ht="14.25" customHeight="1" x14ac:dyDescent="0.3">
      <c r="B2691" s="3"/>
      <c r="Q2691" s="1"/>
      <c r="R2691" s="1"/>
      <c r="S2691" s="2"/>
      <c r="T2691" s="2">
        <v>2577</v>
      </c>
      <c r="U2691" s="48" t="s">
        <v>93</v>
      </c>
      <c r="V2691" s="2"/>
      <c r="W2691" s="2"/>
      <c r="X2691" s="2"/>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row>
    <row r="2692" spans="2:47" ht="14.25" customHeight="1" x14ac:dyDescent="0.3">
      <c r="B2692" s="3"/>
      <c r="Q2692" s="1"/>
      <c r="R2692" s="1"/>
      <c r="S2692" s="2"/>
      <c r="T2692" s="2">
        <v>2578</v>
      </c>
      <c r="U2692" s="48" t="s">
        <v>93</v>
      </c>
      <c r="V2692" s="2"/>
      <c r="W2692" s="2"/>
      <c r="X2692" s="2"/>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row>
    <row r="2693" spans="2:47" ht="14.25" customHeight="1" x14ac:dyDescent="0.3">
      <c r="B2693" s="3"/>
      <c r="Q2693" s="1"/>
      <c r="R2693" s="1"/>
      <c r="S2693" s="2"/>
      <c r="T2693" s="2">
        <v>2579</v>
      </c>
      <c r="U2693" s="48" t="s">
        <v>93</v>
      </c>
      <c r="V2693" s="2"/>
      <c r="W2693" s="2"/>
      <c r="X2693" s="2"/>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row>
    <row r="2694" spans="2:47" ht="14.25" customHeight="1" x14ac:dyDescent="0.3">
      <c r="B2694" s="3"/>
      <c r="Q2694" s="1"/>
      <c r="R2694" s="1"/>
      <c r="S2694" s="2"/>
      <c r="T2694" s="2">
        <v>2580</v>
      </c>
      <c r="U2694" s="48" t="s">
        <v>93</v>
      </c>
      <c r="V2694" s="2"/>
      <c r="W2694" s="2"/>
      <c r="X2694" s="2"/>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row>
    <row r="2695" spans="2:47" ht="14.25" customHeight="1" x14ac:dyDescent="0.3">
      <c r="B2695" s="3"/>
      <c r="Q2695" s="1"/>
      <c r="R2695" s="1"/>
      <c r="S2695" s="2"/>
      <c r="T2695" s="2">
        <v>2581</v>
      </c>
      <c r="U2695" s="48" t="s">
        <v>93</v>
      </c>
      <c r="V2695" s="2"/>
      <c r="W2695" s="2"/>
      <c r="X2695" s="2"/>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row>
    <row r="2696" spans="2:47" ht="14.25" customHeight="1" x14ac:dyDescent="0.3">
      <c r="B2696" s="3"/>
      <c r="Q2696" s="1"/>
      <c r="R2696" s="1"/>
      <c r="S2696" s="2"/>
      <c r="T2696" s="2">
        <v>2582</v>
      </c>
      <c r="U2696" s="48" t="s">
        <v>93</v>
      </c>
      <c r="V2696" s="2"/>
      <c r="W2696" s="2"/>
      <c r="X2696" s="2"/>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row>
    <row r="2697" spans="2:47" ht="14.25" customHeight="1" x14ac:dyDescent="0.3">
      <c r="B2697" s="3"/>
      <c r="Q2697" s="1"/>
      <c r="R2697" s="1"/>
      <c r="S2697" s="2"/>
      <c r="T2697" s="2">
        <v>2583</v>
      </c>
      <c r="U2697" s="48" t="s">
        <v>93</v>
      </c>
      <c r="V2697" s="2"/>
      <c r="W2697" s="2"/>
      <c r="X2697" s="2"/>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row>
    <row r="2698" spans="2:47" ht="14.25" customHeight="1" x14ac:dyDescent="0.3">
      <c r="B2698" s="3"/>
      <c r="Q2698" s="1"/>
      <c r="R2698" s="1"/>
      <c r="S2698" s="2"/>
      <c r="T2698" s="2">
        <v>2584</v>
      </c>
      <c r="U2698" s="48" t="s">
        <v>93</v>
      </c>
      <c r="V2698" s="2"/>
      <c r="W2698" s="2"/>
      <c r="X2698" s="2"/>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row>
    <row r="2699" spans="2:47" ht="14.25" customHeight="1" x14ac:dyDescent="0.3">
      <c r="B2699" s="3"/>
      <c r="Q2699" s="1"/>
      <c r="R2699" s="1"/>
      <c r="S2699" s="2"/>
      <c r="T2699" s="2">
        <v>2585</v>
      </c>
      <c r="U2699" s="48" t="s">
        <v>93</v>
      </c>
      <c r="V2699" s="2"/>
      <c r="W2699" s="2"/>
      <c r="X2699" s="2"/>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row>
    <row r="2700" spans="2:47" ht="14.25" customHeight="1" x14ac:dyDescent="0.3">
      <c r="B2700" s="3"/>
      <c r="Q2700" s="1"/>
      <c r="R2700" s="1"/>
      <c r="S2700" s="2"/>
      <c r="T2700" s="2">
        <v>2586</v>
      </c>
      <c r="U2700" s="48" t="s">
        <v>93</v>
      </c>
      <c r="V2700" s="2"/>
      <c r="W2700" s="2"/>
      <c r="X2700" s="2"/>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row>
    <row r="2701" spans="2:47" ht="14.25" customHeight="1" x14ac:dyDescent="0.3">
      <c r="B2701" s="3"/>
      <c r="Q2701" s="1"/>
      <c r="R2701" s="1"/>
      <c r="S2701" s="2"/>
      <c r="T2701" s="2">
        <v>2587</v>
      </c>
      <c r="U2701" s="48" t="s">
        <v>93</v>
      </c>
      <c r="V2701" s="2"/>
      <c r="W2701" s="2"/>
      <c r="X2701" s="2"/>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row>
    <row r="2702" spans="2:47" ht="14.25" customHeight="1" x14ac:dyDescent="0.3">
      <c r="B2702" s="3"/>
      <c r="Q2702" s="1"/>
      <c r="R2702" s="1"/>
      <c r="S2702" s="2"/>
      <c r="T2702" s="2">
        <v>2588</v>
      </c>
      <c r="U2702" s="48" t="s">
        <v>93</v>
      </c>
      <c r="V2702" s="2"/>
      <c r="W2702" s="2"/>
      <c r="X2702" s="2"/>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row>
    <row r="2703" spans="2:47" ht="14.25" customHeight="1" x14ac:dyDescent="0.3">
      <c r="B2703" s="3"/>
      <c r="Q2703" s="1"/>
      <c r="R2703" s="1"/>
      <c r="S2703" s="2"/>
      <c r="T2703" s="2">
        <v>2589</v>
      </c>
      <c r="U2703" s="48" t="s">
        <v>93</v>
      </c>
      <c r="V2703" s="2"/>
      <c r="W2703" s="2"/>
      <c r="X2703" s="2"/>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row>
    <row r="2704" spans="2:47" ht="14.25" customHeight="1" x14ac:dyDescent="0.3">
      <c r="B2704" s="3"/>
      <c r="Q2704" s="1"/>
      <c r="R2704" s="1"/>
      <c r="S2704" s="2"/>
      <c r="T2704" s="2">
        <v>2590</v>
      </c>
      <c r="U2704" s="48" t="s">
        <v>93</v>
      </c>
      <c r="V2704" s="2"/>
      <c r="W2704" s="2"/>
      <c r="X2704" s="2"/>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row>
    <row r="2705" spans="2:47" ht="14.25" customHeight="1" x14ac:dyDescent="0.3">
      <c r="B2705" s="3"/>
      <c r="Q2705" s="1"/>
      <c r="R2705" s="1"/>
      <c r="S2705" s="2"/>
      <c r="T2705" s="2">
        <v>2591</v>
      </c>
      <c r="U2705" s="48" t="s">
        <v>93</v>
      </c>
      <c r="V2705" s="2"/>
      <c r="W2705" s="2"/>
      <c r="X2705" s="2"/>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row>
    <row r="2706" spans="2:47" ht="14.25" customHeight="1" x14ac:dyDescent="0.3">
      <c r="B2706" s="3"/>
      <c r="Q2706" s="1"/>
      <c r="R2706" s="1"/>
      <c r="S2706" s="2"/>
      <c r="T2706" s="2">
        <v>2592</v>
      </c>
      <c r="U2706" s="48" t="s">
        <v>93</v>
      </c>
      <c r="V2706" s="2"/>
      <c r="W2706" s="2"/>
      <c r="X2706" s="2"/>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row>
    <row r="2707" spans="2:47" ht="14.25" customHeight="1" x14ac:dyDescent="0.3">
      <c r="B2707" s="3"/>
      <c r="Q2707" s="1"/>
      <c r="R2707" s="1"/>
      <c r="S2707" s="2"/>
      <c r="T2707" s="2">
        <v>2593</v>
      </c>
      <c r="U2707" s="48" t="s">
        <v>93</v>
      </c>
      <c r="V2707" s="2"/>
      <c r="W2707" s="2"/>
      <c r="X2707" s="2"/>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row>
    <row r="2708" spans="2:47" ht="14.25" customHeight="1" x14ac:dyDescent="0.3">
      <c r="B2708" s="3"/>
      <c r="Q2708" s="1"/>
      <c r="R2708" s="1"/>
      <c r="S2708" s="2"/>
      <c r="T2708" s="2">
        <v>2594</v>
      </c>
      <c r="U2708" s="48" t="s">
        <v>93</v>
      </c>
      <c r="V2708" s="2"/>
      <c r="W2708" s="2"/>
      <c r="X2708" s="2"/>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row>
    <row r="2709" spans="2:47" ht="14.25" customHeight="1" x14ac:dyDescent="0.3">
      <c r="B2709" s="3"/>
      <c r="Q2709" s="1"/>
      <c r="R2709" s="1"/>
      <c r="S2709" s="2"/>
      <c r="T2709" s="2">
        <v>2595</v>
      </c>
      <c r="U2709" s="48" t="s">
        <v>93</v>
      </c>
      <c r="V2709" s="2"/>
      <c r="W2709" s="2"/>
      <c r="X2709" s="2"/>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row>
    <row r="2710" spans="2:47" ht="14.25" customHeight="1" x14ac:dyDescent="0.3">
      <c r="B2710" s="3"/>
      <c r="Q2710" s="1"/>
      <c r="R2710" s="1"/>
      <c r="S2710" s="2"/>
      <c r="T2710" s="2">
        <v>2596</v>
      </c>
      <c r="U2710" s="48" t="s">
        <v>93</v>
      </c>
      <c r="V2710" s="2"/>
      <c r="W2710" s="2"/>
      <c r="X2710" s="2"/>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row>
    <row r="2711" spans="2:47" ht="14.25" customHeight="1" x14ac:dyDescent="0.3">
      <c r="B2711" s="3"/>
      <c r="Q2711" s="1"/>
      <c r="R2711" s="1"/>
      <c r="S2711" s="2"/>
      <c r="T2711" s="2">
        <v>2597</v>
      </c>
      <c r="U2711" s="48" t="s">
        <v>93</v>
      </c>
      <c r="V2711" s="2"/>
      <c r="W2711" s="2"/>
      <c r="X2711" s="2"/>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row>
    <row r="2712" spans="2:47" ht="14.25" customHeight="1" x14ac:dyDescent="0.3">
      <c r="B2712" s="3"/>
      <c r="Q2712" s="1"/>
      <c r="R2712" s="1"/>
      <c r="S2712" s="2"/>
      <c r="T2712" s="2">
        <v>2598</v>
      </c>
      <c r="U2712" s="48" t="s">
        <v>93</v>
      </c>
      <c r="V2712" s="2"/>
      <c r="W2712" s="2"/>
      <c r="X2712" s="2"/>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row>
    <row r="2713" spans="2:47" ht="14.25" customHeight="1" x14ac:dyDescent="0.3">
      <c r="B2713" s="3"/>
      <c r="Q2713" s="1"/>
      <c r="R2713" s="1"/>
      <c r="S2713" s="2"/>
      <c r="T2713" s="2">
        <v>2599</v>
      </c>
      <c r="U2713" s="48" t="s">
        <v>93</v>
      </c>
      <c r="V2713" s="2"/>
      <c r="W2713" s="2"/>
      <c r="X2713" s="2"/>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row>
    <row r="2714" spans="2:47" ht="14.25" customHeight="1" x14ac:dyDescent="0.3">
      <c r="B2714" s="3"/>
      <c r="Q2714" s="1"/>
      <c r="R2714" s="1"/>
      <c r="S2714" s="2"/>
      <c r="T2714" s="2">
        <v>2600</v>
      </c>
      <c r="U2714" s="48" t="s">
        <v>93</v>
      </c>
      <c r="V2714" s="2"/>
      <c r="W2714" s="2"/>
      <c r="X2714" s="2"/>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row>
    <row r="2715" spans="2:47" ht="14.25" customHeight="1" x14ac:dyDescent="0.3">
      <c r="B2715" s="3"/>
      <c r="Q2715" s="1"/>
      <c r="R2715" s="1"/>
      <c r="S2715" s="2"/>
      <c r="T2715" s="2">
        <v>2601</v>
      </c>
      <c r="U2715" s="48" t="s">
        <v>93</v>
      </c>
      <c r="V2715" s="2"/>
      <c r="W2715" s="2"/>
      <c r="X2715" s="2"/>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row>
    <row r="2716" spans="2:47" ht="14.25" customHeight="1" x14ac:dyDescent="0.3">
      <c r="B2716" s="3"/>
      <c r="Q2716" s="1"/>
      <c r="R2716" s="1"/>
      <c r="S2716" s="2"/>
      <c r="T2716" s="2">
        <v>2602</v>
      </c>
      <c r="U2716" s="48" t="s">
        <v>93</v>
      </c>
      <c r="V2716" s="2"/>
      <c r="W2716" s="2"/>
      <c r="X2716" s="2"/>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row>
    <row r="2717" spans="2:47" ht="14.25" customHeight="1" x14ac:dyDescent="0.3">
      <c r="B2717" s="3"/>
      <c r="Q2717" s="1"/>
      <c r="R2717" s="1"/>
      <c r="S2717" s="2"/>
      <c r="T2717" s="2">
        <v>2603</v>
      </c>
      <c r="U2717" s="48" t="s">
        <v>93</v>
      </c>
      <c r="V2717" s="2"/>
      <c r="W2717" s="2"/>
      <c r="X2717" s="2"/>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row>
    <row r="2718" spans="2:47" ht="14.25" customHeight="1" x14ac:dyDescent="0.3">
      <c r="B2718" s="3"/>
      <c r="Q2718" s="1"/>
      <c r="R2718" s="1"/>
      <c r="S2718" s="2"/>
      <c r="T2718" s="2">
        <v>2604</v>
      </c>
      <c r="U2718" s="48" t="s">
        <v>93</v>
      </c>
      <c r="V2718" s="2"/>
      <c r="W2718" s="2"/>
      <c r="X2718" s="2"/>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row>
    <row r="2719" spans="2:47" ht="14.25" customHeight="1" x14ac:dyDescent="0.3">
      <c r="B2719" s="3"/>
      <c r="Q2719" s="1"/>
      <c r="R2719" s="1"/>
      <c r="S2719" s="2"/>
      <c r="T2719" s="2">
        <v>2605</v>
      </c>
      <c r="U2719" s="48" t="s">
        <v>93</v>
      </c>
      <c r="V2719" s="2"/>
      <c r="W2719" s="2"/>
      <c r="X2719" s="2"/>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row>
    <row r="2720" spans="2:47" ht="14.25" customHeight="1" x14ac:dyDescent="0.3">
      <c r="B2720" s="3"/>
      <c r="Q2720" s="1"/>
      <c r="R2720" s="1"/>
      <c r="S2720" s="2"/>
      <c r="T2720" s="2">
        <v>2606</v>
      </c>
      <c r="U2720" s="48" t="s">
        <v>93</v>
      </c>
      <c r="V2720" s="2"/>
      <c r="W2720" s="2"/>
      <c r="X2720" s="2"/>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row>
    <row r="2721" spans="2:47" ht="14.25" customHeight="1" x14ac:dyDescent="0.3">
      <c r="B2721" s="3"/>
      <c r="Q2721" s="1"/>
      <c r="R2721" s="1"/>
      <c r="S2721" s="2"/>
      <c r="T2721" s="2">
        <v>2607</v>
      </c>
      <c r="U2721" s="48" t="s">
        <v>93</v>
      </c>
      <c r="V2721" s="2"/>
      <c r="W2721" s="2"/>
      <c r="X2721" s="2"/>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row>
    <row r="2722" spans="2:47" ht="14.25" customHeight="1" x14ac:dyDescent="0.3">
      <c r="B2722" s="3"/>
      <c r="Q2722" s="1"/>
      <c r="R2722" s="1"/>
      <c r="S2722" s="2"/>
      <c r="T2722" s="2">
        <v>2608</v>
      </c>
      <c r="U2722" s="48" t="s">
        <v>93</v>
      </c>
      <c r="V2722" s="2"/>
      <c r="W2722" s="2"/>
      <c r="X2722" s="2"/>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row>
    <row r="2723" spans="2:47" ht="14.25" customHeight="1" x14ac:dyDescent="0.3">
      <c r="B2723" s="3"/>
      <c r="Q2723" s="1"/>
      <c r="R2723" s="1"/>
      <c r="S2723" s="2"/>
      <c r="T2723" s="2">
        <v>2609</v>
      </c>
      <c r="U2723" s="48" t="s">
        <v>93</v>
      </c>
      <c r="V2723" s="2"/>
      <c r="W2723" s="2"/>
      <c r="X2723" s="2"/>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row>
    <row r="2724" spans="2:47" ht="14.25" customHeight="1" x14ac:dyDescent="0.3">
      <c r="B2724" s="3"/>
      <c r="Q2724" s="1"/>
      <c r="R2724" s="1"/>
      <c r="S2724" s="2"/>
      <c r="T2724" s="2">
        <v>2610</v>
      </c>
      <c r="U2724" s="48" t="s">
        <v>93</v>
      </c>
      <c r="V2724" s="2"/>
      <c r="W2724" s="2"/>
      <c r="X2724" s="2"/>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row>
    <row r="2725" spans="2:47" ht="14.25" customHeight="1" x14ac:dyDescent="0.3">
      <c r="B2725" s="3"/>
      <c r="Q2725" s="1"/>
      <c r="R2725" s="1"/>
      <c r="S2725" s="2"/>
      <c r="T2725" s="2">
        <v>2611</v>
      </c>
      <c r="U2725" s="48" t="s">
        <v>93</v>
      </c>
      <c r="V2725" s="2"/>
      <c r="W2725" s="2"/>
      <c r="X2725" s="2"/>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row>
    <row r="2726" spans="2:47" ht="14.25" customHeight="1" x14ac:dyDescent="0.3">
      <c r="B2726" s="3"/>
      <c r="Q2726" s="1"/>
      <c r="R2726" s="1"/>
      <c r="S2726" s="2"/>
      <c r="T2726" s="2">
        <v>2612</v>
      </c>
      <c r="U2726" s="48" t="s">
        <v>93</v>
      </c>
      <c r="V2726" s="2"/>
      <c r="W2726" s="2"/>
      <c r="X2726" s="2"/>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row>
    <row r="2727" spans="2:47" ht="14.25" customHeight="1" x14ac:dyDescent="0.3">
      <c r="B2727" s="3"/>
      <c r="Q2727" s="1"/>
      <c r="R2727" s="1"/>
      <c r="S2727" s="2"/>
      <c r="T2727" s="2">
        <v>2613</v>
      </c>
      <c r="U2727" s="48" t="s">
        <v>93</v>
      </c>
      <c r="V2727" s="2"/>
      <c r="W2727" s="2"/>
      <c r="X2727" s="2"/>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row>
    <row r="2728" spans="2:47" ht="14.25" customHeight="1" x14ac:dyDescent="0.3">
      <c r="B2728" s="3"/>
      <c r="Q2728" s="1"/>
      <c r="R2728" s="1"/>
      <c r="S2728" s="2"/>
      <c r="T2728" s="2">
        <v>2614</v>
      </c>
      <c r="U2728" s="48" t="s">
        <v>93</v>
      </c>
      <c r="V2728" s="2"/>
      <c r="W2728" s="2"/>
      <c r="X2728" s="2"/>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row>
    <row r="2729" spans="2:47" ht="14.25" customHeight="1" x14ac:dyDescent="0.3">
      <c r="B2729" s="3"/>
      <c r="Q2729" s="1"/>
      <c r="R2729" s="1"/>
      <c r="S2729" s="2"/>
      <c r="T2729" s="2">
        <v>2615</v>
      </c>
      <c r="U2729" s="48" t="s">
        <v>93</v>
      </c>
      <c r="V2729" s="2"/>
      <c r="W2729" s="2"/>
      <c r="X2729" s="2"/>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row>
    <row r="2730" spans="2:47" ht="14.25" customHeight="1" x14ac:dyDescent="0.3">
      <c r="B2730" s="3"/>
      <c r="Q2730" s="1"/>
      <c r="R2730" s="1"/>
      <c r="S2730" s="2"/>
      <c r="T2730" s="2">
        <v>2616</v>
      </c>
      <c r="U2730" s="48" t="s">
        <v>93</v>
      </c>
      <c r="V2730" s="2"/>
      <c r="W2730" s="2"/>
      <c r="X2730" s="2"/>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row>
    <row r="2731" spans="2:47" ht="14.25" customHeight="1" x14ac:dyDescent="0.3">
      <c r="B2731" s="3"/>
      <c r="Q2731" s="1"/>
      <c r="R2731" s="1"/>
      <c r="S2731" s="2"/>
      <c r="T2731" s="2">
        <v>2617</v>
      </c>
      <c r="U2731" s="48" t="s">
        <v>93</v>
      </c>
      <c r="V2731" s="2"/>
      <c r="W2731" s="2"/>
      <c r="X2731" s="2"/>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row>
    <row r="2732" spans="2:47" ht="14.25" customHeight="1" x14ac:dyDescent="0.3">
      <c r="B2732" s="3"/>
      <c r="Q2732" s="1"/>
      <c r="R2732" s="1"/>
      <c r="S2732" s="2"/>
      <c r="T2732" s="2">
        <v>2618</v>
      </c>
      <c r="U2732" s="48" t="s">
        <v>93</v>
      </c>
      <c r="V2732" s="2"/>
      <c r="W2732" s="2"/>
      <c r="X2732" s="2"/>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row>
    <row r="2733" spans="2:47" ht="14.25" customHeight="1" x14ac:dyDescent="0.3">
      <c r="B2733" s="3"/>
      <c r="Q2733" s="1"/>
      <c r="R2733" s="1"/>
      <c r="S2733" s="2"/>
      <c r="T2733" s="2">
        <v>2619</v>
      </c>
      <c r="U2733" s="48" t="s">
        <v>93</v>
      </c>
      <c r="V2733" s="2"/>
      <c r="W2733" s="2"/>
      <c r="X2733" s="2"/>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row>
    <row r="2734" spans="2:47" ht="14.25" customHeight="1" x14ac:dyDescent="0.3">
      <c r="B2734" s="3"/>
      <c r="Q2734" s="1"/>
      <c r="R2734" s="1"/>
      <c r="S2734" s="2"/>
      <c r="T2734" s="2">
        <v>2620</v>
      </c>
      <c r="U2734" s="48" t="s">
        <v>93</v>
      </c>
      <c r="V2734" s="2"/>
      <c r="W2734" s="2"/>
      <c r="X2734" s="2"/>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row>
    <row r="2735" spans="2:47" ht="14.25" customHeight="1" x14ac:dyDescent="0.3">
      <c r="B2735" s="3"/>
      <c r="Q2735" s="1"/>
      <c r="R2735" s="1"/>
      <c r="S2735" s="2"/>
      <c r="T2735" s="2">
        <v>2621</v>
      </c>
      <c r="U2735" s="48" t="s">
        <v>93</v>
      </c>
      <c r="V2735" s="2"/>
      <c r="W2735" s="2"/>
      <c r="X2735" s="2"/>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row>
    <row r="2736" spans="2:47" ht="14.25" customHeight="1" x14ac:dyDescent="0.3">
      <c r="B2736" s="3"/>
      <c r="Q2736" s="1"/>
      <c r="R2736" s="1"/>
      <c r="S2736" s="2"/>
      <c r="T2736" s="2">
        <v>2622</v>
      </c>
      <c r="U2736" s="48" t="s">
        <v>93</v>
      </c>
      <c r="V2736" s="2"/>
      <c r="W2736" s="2"/>
      <c r="X2736" s="2"/>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row>
    <row r="2737" spans="2:47" ht="14.25" customHeight="1" x14ac:dyDescent="0.3">
      <c r="B2737" s="3"/>
      <c r="Q2737" s="1"/>
      <c r="R2737" s="1"/>
      <c r="S2737" s="2"/>
      <c r="T2737" s="2">
        <v>2623</v>
      </c>
      <c r="U2737" s="48" t="s">
        <v>93</v>
      </c>
      <c r="V2737" s="2"/>
      <c r="W2737" s="2"/>
      <c r="X2737" s="2"/>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row>
    <row r="2738" spans="2:47" ht="14.25" customHeight="1" x14ac:dyDescent="0.3">
      <c r="B2738" s="3"/>
      <c r="Q2738" s="1"/>
      <c r="R2738" s="1"/>
      <c r="S2738" s="2"/>
      <c r="T2738" s="2">
        <v>2624</v>
      </c>
      <c r="U2738" s="48" t="s">
        <v>93</v>
      </c>
      <c r="V2738" s="2"/>
      <c r="W2738" s="2"/>
      <c r="X2738" s="2"/>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row>
    <row r="2739" spans="2:47" ht="14.25" customHeight="1" x14ac:dyDescent="0.3">
      <c r="B2739" s="3"/>
      <c r="Q2739" s="1"/>
      <c r="R2739" s="1"/>
      <c r="S2739" s="2"/>
      <c r="T2739" s="2">
        <v>2625</v>
      </c>
      <c r="U2739" s="48" t="s">
        <v>93</v>
      </c>
      <c r="V2739" s="2"/>
      <c r="W2739" s="2"/>
      <c r="X2739" s="2"/>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row>
    <row r="2740" spans="2:47" ht="14.25" customHeight="1" x14ac:dyDescent="0.3">
      <c r="B2740" s="3"/>
      <c r="Q2740" s="1"/>
      <c r="R2740" s="1"/>
      <c r="S2740" s="2"/>
      <c r="T2740" s="2">
        <v>2626</v>
      </c>
      <c r="U2740" s="48" t="s">
        <v>93</v>
      </c>
      <c r="V2740" s="2"/>
      <c r="W2740" s="2"/>
      <c r="X2740" s="2"/>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row>
    <row r="2741" spans="2:47" ht="14.25" customHeight="1" x14ac:dyDescent="0.3">
      <c r="B2741" s="3"/>
      <c r="Q2741" s="1"/>
      <c r="R2741" s="1"/>
      <c r="S2741" s="2"/>
      <c r="T2741" s="2">
        <v>2627</v>
      </c>
      <c r="U2741" s="48" t="s">
        <v>93</v>
      </c>
      <c r="V2741" s="2"/>
      <c r="W2741" s="2"/>
      <c r="X2741" s="2"/>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row>
    <row r="2742" spans="2:47" ht="14.25" customHeight="1" x14ac:dyDescent="0.3">
      <c r="B2742" s="3"/>
      <c r="Q2742" s="1"/>
      <c r="R2742" s="1"/>
      <c r="S2742" s="2"/>
      <c r="T2742" s="2">
        <v>2628</v>
      </c>
      <c r="U2742" s="48" t="s">
        <v>93</v>
      </c>
      <c r="V2742" s="2"/>
      <c r="W2742" s="2"/>
      <c r="X2742" s="2"/>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row>
    <row r="2743" spans="2:47" ht="14.25" customHeight="1" x14ac:dyDescent="0.3">
      <c r="B2743" s="3"/>
      <c r="Q2743" s="1"/>
      <c r="R2743" s="1"/>
      <c r="S2743" s="2"/>
      <c r="T2743" s="2">
        <v>2629</v>
      </c>
      <c r="U2743" s="48" t="s">
        <v>93</v>
      </c>
      <c r="V2743" s="2"/>
      <c r="W2743" s="2"/>
      <c r="X2743" s="2"/>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row>
    <row r="2744" spans="2:47" ht="14.25" customHeight="1" x14ac:dyDescent="0.3">
      <c r="B2744" s="3"/>
      <c r="Q2744" s="1"/>
      <c r="R2744" s="1"/>
      <c r="S2744" s="2"/>
      <c r="T2744" s="2">
        <v>2630</v>
      </c>
      <c r="U2744" s="48" t="s">
        <v>93</v>
      </c>
      <c r="V2744" s="2"/>
      <c r="W2744" s="2"/>
      <c r="X2744" s="2"/>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row>
    <row r="2745" spans="2:47" ht="14.25" customHeight="1" x14ac:dyDescent="0.3">
      <c r="B2745" s="3"/>
      <c r="Q2745" s="1"/>
      <c r="R2745" s="1"/>
      <c r="S2745" s="2"/>
      <c r="T2745" s="2">
        <v>2631</v>
      </c>
      <c r="U2745" s="48" t="s">
        <v>93</v>
      </c>
      <c r="V2745" s="2"/>
      <c r="W2745" s="2"/>
      <c r="X2745" s="2"/>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row>
    <row r="2746" spans="2:47" ht="14.25" customHeight="1" x14ac:dyDescent="0.3">
      <c r="B2746" s="3"/>
      <c r="Q2746" s="1"/>
      <c r="R2746" s="1"/>
      <c r="S2746" s="2"/>
      <c r="T2746" s="2">
        <v>2632</v>
      </c>
      <c r="U2746" s="48" t="s">
        <v>93</v>
      </c>
      <c r="V2746" s="2"/>
      <c r="W2746" s="2"/>
      <c r="X2746" s="2"/>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row>
    <row r="2747" spans="2:47" ht="14.25" customHeight="1" x14ac:dyDescent="0.3">
      <c r="B2747" s="3"/>
      <c r="Q2747" s="1"/>
      <c r="R2747" s="1"/>
      <c r="S2747" s="2"/>
      <c r="T2747" s="2">
        <v>2633</v>
      </c>
      <c r="U2747" s="48" t="s">
        <v>93</v>
      </c>
      <c r="V2747" s="2"/>
      <c r="W2747" s="2"/>
      <c r="X2747" s="2"/>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row>
    <row r="2748" spans="2:47" ht="14.25" customHeight="1" x14ac:dyDescent="0.3">
      <c r="B2748" s="3"/>
      <c r="Q2748" s="1"/>
      <c r="R2748" s="1"/>
      <c r="S2748" s="2"/>
      <c r="T2748" s="2">
        <v>2634</v>
      </c>
      <c r="U2748" s="48" t="s">
        <v>93</v>
      </c>
      <c r="V2748" s="2"/>
      <c r="W2748" s="2"/>
      <c r="X2748" s="2"/>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row>
    <row r="2749" spans="2:47" ht="14.25" customHeight="1" x14ac:dyDescent="0.3">
      <c r="B2749" s="3"/>
      <c r="Q2749" s="1"/>
      <c r="R2749" s="1"/>
      <c r="S2749" s="2"/>
      <c r="T2749" s="2">
        <v>2635</v>
      </c>
      <c r="U2749" s="48" t="s">
        <v>93</v>
      </c>
      <c r="V2749" s="2"/>
      <c r="W2749" s="2"/>
      <c r="X2749" s="2"/>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row>
    <row r="2750" spans="2:47" ht="14.25" customHeight="1" x14ac:dyDescent="0.3">
      <c r="B2750" s="3"/>
      <c r="Q2750" s="1"/>
      <c r="R2750" s="1"/>
      <c r="S2750" s="2"/>
      <c r="T2750" s="2">
        <v>2636</v>
      </c>
      <c r="U2750" s="48" t="s">
        <v>93</v>
      </c>
      <c r="V2750" s="2"/>
      <c r="W2750" s="2"/>
      <c r="X2750" s="2"/>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row>
    <row r="2751" spans="2:47" ht="14.25" customHeight="1" x14ac:dyDescent="0.3">
      <c r="B2751" s="3"/>
      <c r="Q2751" s="1"/>
      <c r="R2751" s="1"/>
      <c r="S2751" s="2"/>
      <c r="T2751" s="2">
        <v>2637</v>
      </c>
      <c r="U2751" s="48" t="s">
        <v>93</v>
      </c>
      <c r="V2751" s="2"/>
      <c r="W2751" s="2"/>
      <c r="X2751" s="2"/>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row>
    <row r="2752" spans="2:47" ht="14.25" customHeight="1" x14ac:dyDescent="0.3">
      <c r="B2752" s="3"/>
      <c r="Q2752" s="1"/>
      <c r="R2752" s="1"/>
      <c r="S2752" s="2"/>
      <c r="T2752" s="2">
        <v>2638</v>
      </c>
      <c r="U2752" s="48" t="s">
        <v>93</v>
      </c>
      <c r="V2752" s="2"/>
      <c r="W2752" s="2"/>
      <c r="X2752" s="2"/>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row>
    <row r="2753" spans="2:47" ht="14.25" customHeight="1" x14ac:dyDescent="0.3">
      <c r="B2753" s="3"/>
      <c r="Q2753" s="1"/>
      <c r="R2753" s="1"/>
      <c r="S2753" s="2"/>
      <c r="T2753" s="2">
        <v>2639</v>
      </c>
      <c r="U2753" s="48" t="s">
        <v>93</v>
      </c>
      <c r="V2753" s="2"/>
      <c r="W2753" s="2"/>
      <c r="X2753" s="2"/>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row>
    <row r="2754" spans="2:47" ht="14.25" customHeight="1" x14ac:dyDescent="0.3">
      <c r="B2754" s="3"/>
      <c r="Q2754" s="1"/>
      <c r="R2754" s="1"/>
      <c r="S2754" s="2"/>
      <c r="T2754" s="2">
        <v>2640</v>
      </c>
      <c r="U2754" s="48" t="s">
        <v>93</v>
      </c>
      <c r="V2754" s="2"/>
      <c r="W2754" s="2"/>
      <c r="X2754" s="2"/>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row>
    <row r="2755" spans="2:47" ht="14.25" customHeight="1" x14ac:dyDescent="0.3">
      <c r="B2755" s="3"/>
      <c r="Q2755" s="1"/>
      <c r="R2755" s="1"/>
      <c r="S2755" s="2"/>
      <c r="T2755" s="2">
        <v>2641</v>
      </c>
      <c r="U2755" s="48" t="s">
        <v>93</v>
      </c>
      <c r="V2755" s="2"/>
      <c r="W2755" s="2"/>
      <c r="X2755" s="2"/>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row>
    <row r="2756" spans="2:47" ht="14.25" customHeight="1" x14ac:dyDescent="0.3">
      <c r="B2756" s="3"/>
      <c r="Q2756" s="1"/>
      <c r="R2756" s="1"/>
      <c r="S2756" s="2"/>
      <c r="T2756" s="2">
        <v>2642</v>
      </c>
      <c r="U2756" s="48" t="s">
        <v>93</v>
      </c>
      <c r="V2756" s="2"/>
      <c r="W2756" s="2"/>
      <c r="X2756" s="2"/>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row>
    <row r="2757" spans="2:47" ht="14.25" customHeight="1" x14ac:dyDescent="0.3">
      <c r="B2757" s="3"/>
      <c r="Q2757" s="1"/>
      <c r="R2757" s="1"/>
      <c r="S2757" s="2"/>
      <c r="T2757" s="2">
        <v>2643</v>
      </c>
      <c r="U2757" s="48" t="s">
        <v>93</v>
      </c>
      <c r="V2757" s="2"/>
      <c r="W2757" s="2"/>
      <c r="X2757" s="2"/>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row>
    <row r="2758" spans="2:47" ht="14.25" customHeight="1" x14ac:dyDescent="0.3">
      <c r="B2758" s="3"/>
      <c r="Q2758" s="1"/>
      <c r="R2758" s="1"/>
      <c r="S2758" s="2"/>
      <c r="T2758" s="2">
        <v>2644</v>
      </c>
      <c r="U2758" s="48" t="s">
        <v>93</v>
      </c>
      <c r="V2758" s="2"/>
      <c r="W2758" s="2"/>
      <c r="X2758" s="2"/>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row>
    <row r="2759" spans="2:47" ht="14.25" customHeight="1" x14ac:dyDescent="0.3">
      <c r="B2759" s="3"/>
      <c r="Q2759" s="1"/>
      <c r="R2759" s="1"/>
      <c r="S2759" s="2"/>
      <c r="T2759" s="2">
        <v>2645</v>
      </c>
      <c r="U2759" s="48" t="s">
        <v>93</v>
      </c>
      <c r="V2759" s="2"/>
      <c r="W2759" s="2"/>
      <c r="X2759" s="2"/>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row>
    <row r="2760" spans="2:47" ht="14.25" customHeight="1" x14ac:dyDescent="0.3">
      <c r="B2760" s="3"/>
      <c r="Q2760" s="1"/>
      <c r="R2760" s="1"/>
      <c r="S2760" s="2"/>
      <c r="T2760" s="2">
        <v>2646</v>
      </c>
      <c r="U2760" s="48" t="s">
        <v>93</v>
      </c>
      <c r="V2760" s="2"/>
      <c r="W2760" s="2"/>
      <c r="X2760" s="2"/>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row>
    <row r="2761" spans="2:47" ht="14.25" customHeight="1" x14ac:dyDescent="0.3">
      <c r="B2761" s="3"/>
      <c r="Q2761" s="1"/>
      <c r="R2761" s="1"/>
      <c r="S2761" s="2"/>
      <c r="T2761" s="2">
        <v>2647</v>
      </c>
      <c r="U2761" s="48" t="s">
        <v>93</v>
      </c>
      <c r="V2761" s="2"/>
      <c r="W2761" s="2"/>
      <c r="X2761" s="2"/>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row>
    <row r="2762" spans="2:47" ht="14.25" customHeight="1" x14ac:dyDescent="0.3">
      <c r="B2762" s="3"/>
      <c r="Q2762" s="1"/>
      <c r="R2762" s="1"/>
      <c r="S2762" s="2"/>
      <c r="T2762" s="2">
        <v>2648</v>
      </c>
      <c r="U2762" s="48" t="s">
        <v>93</v>
      </c>
      <c r="V2762" s="2"/>
      <c r="W2762" s="2"/>
      <c r="X2762" s="2"/>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row>
    <row r="2763" spans="2:47" ht="14.25" customHeight="1" x14ac:dyDescent="0.3">
      <c r="B2763" s="3"/>
      <c r="Q2763" s="1"/>
      <c r="R2763" s="1"/>
      <c r="S2763" s="2"/>
      <c r="T2763" s="2">
        <v>2649</v>
      </c>
      <c r="U2763" s="48" t="s">
        <v>93</v>
      </c>
      <c r="V2763" s="2"/>
      <c r="W2763" s="2"/>
      <c r="X2763" s="2"/>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row>
    <row r="2764" spans="2:47" ht="14.25" customHeight="1" x14ac:dyDescent="0.3">
      <c r="B2764" s="3"/>
      <c r="Q2764" s="1"/>
      <c r="R2764" s="1"/>
      <c r="S2764" s="2"/>
      <c r="T2764" s="2">
        <v>2650</v>
      </c>
      <c r="U2764" s="48" t="s">
        <v>93</v>
      </c>
      <c r="V2764" s="2"/>
      <c r="W2764" s="2"/>
      <c r="X2764" s="2"/>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row>
    <row r="2765" spans="2:47" ht="14.25" customHeight="1" x14ac:dyDescent="0.3">
      <c r="B2765" s="3"/>
      <c r="Q2765" s="1"/>
      <c r="R2765" s="1"/>
      <c r="S2765" s="2"/>
      <c r="T2765" s="2">
        <v>2651</v>
      </c>
      <c r="U2765" s="48" t="s">
        <v>93</v>
      </c>
      <c r="V2765" s="2"/>
      <c r="W2765" s="2"/>
      <c r="X2765" s="2"/>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row>
    <row r="2766" spans="2:47" ht="14.25" customHeight="1" x14ac:dyDescent="0.3">
      <c r="B2766" s="3"/>
      <c r="Q2766" s="1"/>
      <c r="R2766" s="1"/>
      <c r="S2766" s="2"/>
      <c r="T2766" s="2">
        <v>2652</v>
      </c>
      <c r="U2766" s="48" t="s">
        <v>93</v>
      </c>
      <c r="V2766" s="2"/>
      <c r="W2766" s="2"/>
      <c r="X2766" s="2"/>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row>
    <row r="2767" spans="2:47" ht="14.25" customHeight="1" x14ac:dyDescent="0.3">
      <c r="B2767" s="3"/>
      <c r="Q2767" s="1"/>
      <c r="R2767" s="1"/>
      <c r="S2767" s="2"/>
      <c r="T2767" s="2">
        <v>2653</v>
      </c>
      <c r="U2767" s="48" t="s">
        <v>93</v>
      </c>
      <c r="V2767" s="2"/>
      <c r="W2767" s="2"/>
      <c r="X2767" s="2"/>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row>
    <row r="2768" spans="2:47" ht="14.25" customHeight="1" x14ac:dyDescent="0.3">
      <c r="B2768" s="3"/>
      <c r="Q2768" s="1"/>
      <c r="R2768" s="1"/>
      <c r="S2768" s="2"/>
      <c r="T2768" s="2">
        <v>2654</v>
      </c>
      <c r="U2768" s="48" t="s">
        <v>93</v>
      </c>
      <c r="V2768" s="2"/>
      <c r="W2768" s="2"/>
      <c r="X2768" s="2"/>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row>
    <row r="2769" spans="2:47" ht="14.25" customHeight="1" x14ac:dyDescent="0.3">
      <c r="B2769" s="3"/>
      <c r="Q2769" s="1"/>
      <c r="R2769" s="1"/>
      <c r="S2769" s="2"/>
      <c r="T2769" s="2">
        <v>2655</v>
      </c>
      <c r="U2769" s="48" t="s">
        <v>93</v>
      </c>
      <c r="V2769" s="2"/>
      <c r="W2769" s="2"/>
      <c r="X2769" s="2"/>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row>
    <row r="2770" spans="2:47" ht="14.25" customHeight="1" x14ac:dyDescent="0.3">
      <c r="B2770" s="3"/>
      <c r="Q2770" s="1"/>
      <c r="R2770" s="1"/>
      <c r="S2770" s="2"/>
      <c r="T2770" s="2">
        <v>2656</v>
      </c>
      <c r="U2770" s="48" t="s">
        <v>93</v>
      </c>
      <c r="V2770" s="2"/>
      <c r="W2770" s="2"/>
      <c r="X2770" s="2"/>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row>
    <row r="2771" spans="2:47" ht="14.25" customHeight="1" x14ac:dyDescent="0.3">
      <c r="B2771" s="3"/>
      <c r="Q2771" s="1"/>
      <c r="R2771" s="1"/>
      <c r="S2771" s="2"/>
      <c r="T2771" s="2">
        <v>2657</v>
      </c>
      <c r="U2771" s="48" t="s">
        <v>93</v>
      </c>
      <c r="V2771" s="2"/>
      <c r="W2771" s="2"/>
      <c r="X2771" s="2"/>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row>
    <row r="2772" spans="2:47" ht="14.25" customHeight="1" x14ac:dyDescent="0.3">
      <c r="B2772" s="3"/>
      <c r="Q2772" s="1"/>
      <c r="R2772" s="1"/>
      <c r="S2772" s="2"/>
      <c r="T2772" s="2">
        <v>2658</v>
      </c>
      <c r="U2772" s="48" t="s">
        <v>93</v>
      </c>
      <c r="V2772" s="2"/>
      <c r="W2772" s="2"/>
      <c r="X2772" s="2"/>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row>
    <row r="2773" spans="2:47" ht="14.25" customHeight="1" x14ac:dyDescent="0.3">
      <c r="B2773" s="3"/>
      <c r="Q2773" s="1"/>
      <c r="R2773" s="1"/>
      <c r="S2773" s="2"/>
      <c r="T2773" s="2">
        <v>2659</v>
      </c>
      <c r="U2773" s="48" t="s">
        <v>93</v>
      </c>
      <c r="V2773" s="2"/>
      <c r="W2773" s="2"/>
      <c r="X2773" s="2"/>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row>
    <row r="2774" spans="2:47" ht="14.25" customHeight="1" x14ac:dyDescent="0.3">
      <c r="B2774" s="3"/>
      <c r="Q2774" s="1"/>
      <c r="R2774" s="1"/>
      <c r="S2774" s="2"/>
      <c r="T2774" s="2">
        <v>2660</v>
      </c>
      <c r="U2774" s="48" t="s">
        <v>93</v>
      </c>
      <c r="V2774" s="2"/>
      <c r="W2774" s="2"/>
      <c r="X2774" s="2"/>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row>
    <row r="2775" spans="2:47" ht="14.25" customHeight="1" x14ac:dyDescent="0.3">
      <c r="B2775" s="3"/>
      <c r="Q2775" s="1"/>
      <c r="R2775" s="1"/>
      <c r="S2775" s="2"/>
      <c r="T2775" s="2">
        <v>2661</v>
      </c>
      <c r="U2775" s="48" t="s">
        <v>93</v>
      </c>
      <c r="V2775" s="2"/>
      <c r="W2775" s="2"/>
      <c r="X2775" s="2"/>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row>
    <row r="2776" spans="2:47" ht="14.25" customHeight="1" x14ac:dyDescent="0.3">
      <c r="B2776" s="3"/>
      <c r="Q2776" s="1"/>
      <c r="R2776" s="1"/>
      <c r="S2776" s="2"/>
      <c r="T2776" s="2">
        <v>2662</v>
      </c>
      <c r="U2776" s="48" t="s">
        <v>93</v>
      </c>
      <c r="V2776" s="2"/>
      <c r="W2776" s="2"/>
      <c r="X2776" s="2"/>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row>
    <row r="2777" spans="2:47" ht="14.25" customHeight="1" x14ac:dyDescent="0.3">
      <c r="B2777" s="3"/>
      <c r="Q2777" s="1"/>
      <c r="R2777" s="1"/>
      <c r="S2777" s="2"/>
      <c r="T2777" s="2">
        <v>2663</v>
      </c>
      <c r="U2777" s="48" t="s">
        <v>93</v>
      </c>
      <c r="V2777" s="2"/>
      <c r="W2777" s="2"/>
      <c r="X2777" s="2"/>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row>
    <row r="2778" spans="2:47" ht="14.25" customHeight="1" x14ac:dyDescent="0.3">
      <c r="B2778" s="3"/>
      <c r="Q2778" s="1"/>
      <c r="R2778" s="1"/>
      <c r="S2778" s="2"/>
      <c r="T2778" s="2">
        <v>2664</v>
      </c>
      <c r="U2778" s="48" t="s">
        <v>93</v>
      </c>
      <c r="V2778" s="2"/>
      <c r="W2778" s="2"/>
      <c r="X2778" s="2"/>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row>
    <row r="2779" spans="2:47" ht="14.25" customHeight="1" x14ac:dyDescent="0.3">
      <c r="B2779" s="3"/>
      <c r="Q2779" s="1"/>
      <c r="R2779" s="1"/>
      <c r="S2779" s="2"/>
      <c r="T2779" s="2">
        <v>2665</v>
      </c>
      <c r="U2779" s="48" t="s">
        <v>93</v>
      </c>
      <c r="V2779" s="2"/>
      <c r="W2779" s="2"/>
      <c r="X2779" s="2"/>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row>
    <row r="2780" spans="2:47" ht="14.25" customHeight="1" x14ac:dyDescent="0.3">
      <c r="B2780" s="3"/>
      <c r="Q2780" s="1"/>
      <c r="R2780" s="1"/>
      <c r="S2780" s="2"/>
      <c r="T2780" s="2">
        <v>2666</v>
      </c>
      <c r="U2780" s="48" t="s">
        <v>93</v>
      </c>
      <c r="V2780" s="2"/>
      <c r="W2780" s="2"/>
      <c r="X2780" s="2"/>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row>
    <row r="2781" spans="2:47" ht="14.25" customHeight="1" x14ac:dyDescent="0.3">
      <c r="B2781" s="3"/>
      <c r="Q2781" s="1"/>
      <c r="R2781" s="1"/>
      <c r="S2781" s="2"/>
      <c r="T2781" s="2">
        <v>2667</v>
      </c>
      <c r="U2781" s="48" t="s">
        <v>93</v>
      </c>
      <c r="V2781" s="2"/>
      <c r="W2781" s="2"/>
      <c r="X2781" s="2"/>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row>
    <row r="2782" spans="2:47" ht="14.25" customHeight="1" x14ac:dyDescent="0.3">
      <c r="B2782" s="3"/>
      <c r="Q2782" s="1"/>
      <c r="R2782" s="1"/>
      <c r="S2782" s="2"/>
      <c r="T2782" s="2">
        <v>2668</v>
      </c>
      <c r="U2782" s="48" t="s">
        <v>93</v>
      </c>
      <c r="V2782" s="2"/>
      <c r="W2782" s="2"/>
      <c r="X2782" s="2"/>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row>
    <row r="2783" spans="2:47" ht="14.25" customHeight="1" x14ac:dyDescent="0.3">
      <c r="B2783" s="3"/>
      <c r="Q2783" s="1"/>
      <c r="R2783" s="1"/>
      <c r="S2783" s="2"/>
      <c r="T2783" s="2">
        <v>2669</v>
      </c>
      <c r="U2783" s="48" t="s">
        <v>93</v>
      </c>
      <c r="V2783" s="2"/>
      <c r="W2783" s="2"/>
      <c r="X2783" s="2"/>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row>
    <row r="2784" spans="2:47" ht="14.25" customHeight="1" x14ac:dyDescent="0.3">
      <c r="B2784" s="3"/>
      <c r="Q2784" s="1"/>
      <c r="R2784" s="1"/>
      <c r="S2784" s="2"/>
      <c r="T2784" s="2">
        <v>2670</v>
      </c>
      <c r="U2784" s="48" t="s">
        <v>93</v>
      </c>
      <c r="V2784" s="2"/>
      <c r="W2784" s="2"/>
      <c r="X2784" s="2"/>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row>
    <row r="2785" spans="2:47" ht="14.25" customHeight="1" x14ac:dyDescent="0.3">
      <c r="B2785" s="3"/>
      <c r="Q2785" s="1"/>
      <c r="R2785" s="1"/>
      <c r="S2785" s="2"/>
      <c r="T2785" s="2">
        <v>2671</v>
      </c>
      <c r="U2785" s="48" t="s">
        <v>93</v>
      </c>
      <c r="V2785" s="2"/>
      <c r="W2785" s="2"/>
      <c r="X2785" s="2"/>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row>
    <row r="2786" spans="2:47" ht="14.25" customHeight="1" x14ac:dyDescent="0.3">
      <c r="B2786" s="3"/>
      <c r="Q2786" s="1"/>
      <c r="R2786" s="1"/>
      <c r="S2786" s="2"/>
      <c r="T2786" s="2">
        <v>2672</v>
      </c>
      <c r="U2786" s="48" t="s">
        <v>93</v>
      </c>
      <c r="V2786" s="2"/>
      <c r="W2786" s="2"/>
      <c r="X2786" s="2"/>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row>
    <row r="2787" spans="2:47" ht="14.25" customHeight="1" x14ac:dyDescent="0.3">
      <c r="B2787" s="3"/>
      <c r="Q2787" s="1"/>
      <c r="R2787" s="1"/>
      <c r="S2787" s="2"/>
      <c r="T2787" s="2">
        <v>2673</v>
      </c>
      <c r="U2787" s="48" t="s">
        <v>93</v>
      </c>
      <c r="V2787" s="2"/>
      <c r="W2787" s="2"/>
      <c r="X2787" s="2"/>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row>
    <row r="2788" spans="2:47" ht="14.25" customHeight="1" x14ac:dyDescent="0.3">
      <c r="B2788" s="3"/>
      <c r="Q2788" s="1"/>
      <c r="R2788" s="1"/>
      <c r="S2788" s="2"/>
      <c r="T2788" s="2">
        <v>2674</v>
      </c>
      <c r="U2788" s="48" t="s">
        <v>93</v>
      </c>
      <c r="V2788" s="2"/>
      <c r="W2788" s="2"/>
      <c r="X2788" s="2"/>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row>
    <row r="2789" spans="2:47" ht="14.25" customHeight="1" x14ac:dyDescent="0.3">
      <c r="B2789" s="3"/>
      <c r="Q2789" s="1"/>
      <c r="R2789" s="1"/>
      <c r="S2789" s="2"/>
      <c r="T2789" s="2">
        <v>2675</v>
      </c>
      <c r="U2789" s="48" t="s">
        <v>93</v>
      </c>
      <c r="V2789" s="2"/>
      <c r="W2789" s="2"/>
      <c r="X2789" s="2"/>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row>
    <row r="2790" spans="2:47" ht="14.25" customHeight="1" x14ac:dyDescent="0.3">
      <c r="B2790" s="3"/>
      <c r="Q2790" s="1"/>
      <c r="R2790" s="1"/>
      <c r="S2790" s="2"/>
      <c r="T2790" s="2">
        <v>2676</v>
      </c>
      <c r="U2790" s="48" t="s">
        <v>93</v>
      </c>
      <c r="V2790" s="2"/>
      <c r="W2790" s="2"/>
      <c r="X2790" s="2"/>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row>
    <row r="2791" spans="2:47" ht="14.25" customHeight="1" x14ac:dyDescent="0.3">
      <c r="B2791" s="3"/>
      <c r="Q2791" s="1"/>
      <c r="R2791" s="1"/>
      <c r="S2791" s="2"/>
      <c r="T2791" s="2">
        <v>2677</v>
      </c>
      <c r="U2791" s="48" t="s">
        <v>93</v>
      </c>
      <c r="V2791" s="2"/>
      <c r="W2791" s="2"/>
      <c r="X2791" s="2"/>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row>
    <row r="2792" spans="2:47" ht="14.25" customHeight="1" x14ac:dyDescent="0.3">
      <c r="B2792" s="3"/>
      <c r="Q2792" s="1"/>
      <c r="R2792" s="1"/>
      <c r="S2792" s="2"/>
      <c r="T2792" s="2">
        <v>2678</v>
      </c>
      <c r="U2792" s="48" t="s">
        <v>93</v>
      </c>
      <c r="V2792" s="2"/>
      <c r="W2792" s="2"/>
      <c r="X2792" s="2"/>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row>
    <row r="2793" spans="2:47" ht="14.25" customHeight="1" x14ac:dyDescent="0.3">
      <c r="B2793" s="3"/>
      <c r="Q2793" s="1"/>
      <c r="R2793" s="1"/>
      <c r="S2793" s="2"/>
      <c r="T2793" s="2">
        <v>2679</v>
      </c>
      <c r="U2793" s="48" t="s">
        <v>93</v>
      </c>
      <c r="V2793" s="2"/>
      <c r="W2793" s="2"/>
      <c r="X2793" s="2"/>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row>
    <row r="2794" spans="2:47" ht="14.25" customHeight="1" x14ac:dyDescent="0.3">
      <c r="B2794" s="3"/>
      <c r="Q2794" s="1"/>
      <c r="R2794" s="1"/>
      <c r="S2794" s="2"/>
      <c r="T2794" s="2">
        <v>2680</v>
      </c>
      <c r="U2794" s="48" t="s">
        <v>93</v>
      </c>
      <c r="V2794" s="2"/>
      <c r="W2794" s="2"/>
      <c r="X2794" s="2"/>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row>
    <row r="2795" spans="2:47" ht="14.25" customHeight="1" x14ac:dyDescent="0.3">
      <c r="B2795" s="3"/>
      <c r="Q2795" s="1"/>
      <c r="R2795" s="1"/>
      <c r="S2795" s="2"/>
      <c r="T2795" s="2">
        <v>2681</v>
      </c>
      <c r="U2795" s="48" t="s">
        <v>93</v>
      </c>
      <c r="V2795" s="2"/>
      <c r="W2795" s="2"/>
      <c r="X2795" s="2"/>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row>
    <row r="2796" spans="2:47" ht="14.25" customHeight="1" x14ac:dyDescent="0.3">
      <c r="B2796" s="3"/>
      <c r="Q2796" s="1"/>
      <c r="R2796" s="1"/>
      <c r="S2796" s="2"/>
      <c r="T2796" s="2">
        <v>2682</v>
      </c>
      <c r="U2796" s="48" t="s">
        <v>93</v>
      </c>
      <c r="V2796" s="2"/>
      <c r="W2796" s="2"/>
      <c r="X2796" s="2"/>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row>
    <row r="2797" spans="2:47" ht="14.25" customHeight="1" x14ac:dyDescent="0.3">
      <c r="B2797" s="3"/>
      <c r="Q2797" s="1"/>
      <c r="R2797" s="1"/>
      <c r="S2797" s="2"/>
      <c r="T2797" s="2">
        <v>2683</v>
      </c>
      <c r="U2797" s="48" t="s">
        <v>93</v>
      </c>
      <c r="V2797" s="2"/>
      <c r="W2797" s="2"/>
      <c r="X2797" s="2"/>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row>
    <row r="2798" spans="2:47" ht="14.25" customHeight="1" x14ac:dyDescent="0.3">
      <c r="B2798" s="3"/>
      <c r="Q2798" s="1"/>
      <c r="R2798" s="1"/>
      <c r="S2798" s="2"/>
      <c r="T2798" s="2">
        <v>2684</v>
      </c>
      <c r="U2798" s="48" t="s">
        <v>93</v>
      </c>
      <c r="V2798" s="2"/>
      <c r="W2798" s="2"/>
      <c r="X2798" s="2"/>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row>
    <row r="2799" spans="2:47" ht="14.25" customHeight="1" x14ac:dyDescent="0.3">
      <c r="B2799" s="3"/>
      <c r="Q2799" s="1"/>
      <c r="R2799" s="1"/>
      <c r="S2799" s="2"/>
      <c r="T2799" s="2">
        <v>2685</v>
      </c>
      <c r="U2799" s="48" t="s">
        <v>93</v>
      </c>
      <c r="V2799" s="2"/>
      <c r="W2799" s="2"/>
      <c r="X2799" s="2"/>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row>
    <row r="2800" spans="2:47" ht="14.25" customHeight="1" x14ac:dyDescent="0.3">
      <c r="B2800" s="3"/>
      <c r="Q2800" s="1"/>
      <c r="R2800" s="1"/>
      <c r="S2800" s="2"/>
      <c r="T2800" s="2">
        <v>2686</v>
      </c>
      <c r="U2800" s="48" t="s">
        <v>93</v>
      </c>
      <c r="V2800" s="2"/>
      <c r="W2800" s="2"/>
      <c r="X2800" s="2"/>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row>
    <row r="2801" spans="2:47" ht="14.25" customHeight="1" x14ac:dyDescent="0.3">
      <c r="B2801" s="3"/>
      <c r="Q2801" s="1"/>
      <c r="R2801" s="1"/>
      <c r="S2801" s="2"/>
      <c r="T2801" s="2">
        <v>2687</v>
      </c>
      <c r="U2801" s="48" t="s">
        <v>93</v>
      </c>
      <c r="V2801" s="2"/>
      <c r="W2801" s="2"/>
      <c r="X2801" s="2"/>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row>
    <row r="2802" spans="2:47" ht="14.25" customHeight="1" x14ac:dyDescent="0.3">
      <c r="B2802" s="3"/>
      <c r="Q2802" s="1"/>
      <c r="R2802" s="1"/>
      <c r="S2802" s="2"/>
      <c r="T2802" s="2">
        <v>2688</v>
      </c>
      <c r="U2802" s="48" t="s">
        <v>93</v>
      </c>
      <c r="V2802" s="2"/>
      <c r="W2802" s="2"/>
      <c r="X2802" s="2"/>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row>
    <row r="2803" spans="2:47" ht="14.25" customHeight="1" x14ac:dyDescent="0.3">
      <c r="B2803" s="3"/>
      <c r="Q2803" s="1"/>
      <c r="R2803" s="1"/>
      <c r="S2803" s="2"/>
      <c r="T2803" s="2">
        <v>2689</v>
      </c>
      <c r="U2803" s="48" t="s">
        <v>93</v>
      </c>
      <c r="V2803" s="2"/>
      <c r="W2803" s="2"/>
      <c r="X2803" s="2"/>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row>
    <row r="2804" spans="2:47" ht="14.25" customHeight="1" x14ac:dyDescent="0.3">
      <c r="B2804" s="3"/>
      <c r="Q2804" s="1"/>
      <c r="R2804" s="1"/>
      <c r="S2804" s="2"/>
      <c r="T2804" s="2">
        <v>2690</v>
      </c>
      <c r="U2804" s="48" t="s">
        <v>93</v>
      </c>
      <c r="V2804" s="2"/>
      <c r="W2804" s="2"/>
      <c r="X2804" s="2"/>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row>
    <row r="2805" spans="2:47" ht="14.25" customHeight="1" x14ac:dyDescent="0.3">
      <c r="B2805" s="3"/>
      <c r="Q2805" s="1"/>
      <c r="R2805" s="1"/>
      <c r="S2805" s="2"/>
      <c r="T2805" s="2">
        <v>2691</v>
      </c>
      <c r="U2805" s="48" t="s">
        <v>93</v>
      </c>
      <c r="V2805" s="2"/>
      <c r="W2805" s="2"/>
      <c r="X2805" s="2"/>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row>
    <row r="2806" spans="2:47" ht="14.25" customHeight="1" x14ac:dyDescent="0.3">
      <c r="B2806" s="3"/>
      <c r="Q2806" s="1"/>
      <c r="R2806" s="1"/>
      <c r="S2806" s="2"/>
      <c r="T2806" s="2">
        <v>2692</v>
      </c>
      <c r="U2806" s="48" t="s">
        <v>93</v>
      </c>
      <c r="V2806" s="2"/>
      <c r="W2806" s="2"/>
      <c r="X2806" s="2"/>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row>
    <row r="2807" spans="2:47" ht="14.25" customHeight="1" x14ac:dyDescent="0.3">
      <c r="B2807" s="3"/>
      <c r="Q2807" s="1"/>
      <c r="R2807" s="1"/>
      <c r="S2807" s="2"/>
      <c r="T2807" s="2">
        <v>2693</v>
      </c>
      <c r="U2807" s="48" t="s">
        <v>93</v>
      </c>
      <c r="V2807" s="2"/>
      <c r="W2807" s="2"/>
      <c r="X2807" s="2"/>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row>
    <row r="2808" spans="2:47" ht="14.25" customHeight="1" x14ac:dyDescent="0.3">
      <c r="B2808" s="3"/>
      <c r="Q2808" s="1"/>
      <c r="R2808" s="1"/>
      <c r="S2808" s="2"/>
      <c r="T2808" s="2">
        <v>2694</v>
      </c>
      <c r="U2808" s="48" t="s">
        <v>93</v>
      </c>
      <c r="V2808" s="2"/>
      <c r="W2808" s="2"/>
      <c r="X2808" s="2"/>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row>
    <row r="2809" spans="2:47" ht="14.25" customHeight="1" x14ac:dyDescent="0.3">
      <c r="B2809" s="3"/>
      <c r="Q2809" s="1"/>
      <c r="R2809" s="1"/>
      <c r="S2809" s="2"/>
      <c r="T2809" s="2">
        <v>2695</v>
      </c>
      <c r="U2809" s="48" t="s">
        <v>93</v>
      </c>
      <c r="V2809" s="2"/>
      <c r="W2809" s="2"/>
      <c r="X2809" s="2"/>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row>
    <row r="2810" spans="2:47" ht="14.25" customHeight="1" x14ac:dyDescent="0.3">
      <c r="B2810" s="3"/>
      <c r="Q2810" s="1"/>
      <c r="R2810" s="1"/>
      <c r="S2810" s="2"/>
      <c r="T2810" s="2">
        <v>2696</v>
      </c>
      <c r="U2810" s="48" t="s">
        <v>93</v>
      </c>
      <c r="V2810" s="2"/>
      <c r="W2810" s="2"/>
      <c r="X2810" s="2"/>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row>
    <row r="2811" spans="2:47" ht="14.25" customHeight="1" x14ac:dyDescent="0.3">
      <c r="B2811" s="3"/>
      <c r="Q2811" s="1"/>
      <c r="R2811" s="1"/>
      <c r="S2811" s="2"/>
      <c r="T2811" s="2">
        <v>2697</v>
      </c>
      <c r="U2811" s="48" t="s">
        <v>93</v>
      </c>
      <c r="V2811" s="2"/>
      <c r="W2811" s="2"/>
      <c r="X2811" s="2"/>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row>
    <row r="2812" spans="2:47" ht="14.25" customHeight="1" x14ac:dyDescent="0.3">
      <c r="B2812" s="3"/>
      <c r="Q2812" s="1"/>
      <c r="R2812" s="1"/>
      <c r="S2812" s="2"/>
      <c r="T2812" s="2">
        <v>2698</v>
      </c>
      <c r="U2812" s="48" t="s">
        <v>93</v>
      </c>
      <c r="V2812" s="2"/>
      <c r="W2812" s="2"/>
      <c r="X2812" s="2"/>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row>
    <row r="2813" spans="2:47" ht="14.25" customHeight="1" x14ac:dyDescent="0.3">
      <c r="B2813" s="3"/>
      <c r="Q2813" s="1"/>
      <c r="R2813" s="1"/>
      <c r="S2813" s="2"/>
      <c r="T2813" s="2">
        <v>2699</v>
      </c>
      <c r="U2813" s="48" t="s">
        <v>93</v>
      </c>
      <c r="V2813" s="2"/>
      <c r="W2813" s="2"/>
      <c r="X2813" s="2"/>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row>
    <row r="2814" spans="2:47" ht="14.25" customHeight="1" x14ac:dyDescent="0.3">
      <c r="B2814" s="3"/>
      <c r="Q2814" s="1"/>
      <c r="R2814" s="1"/>
      <c r="S2814" s="2"/>
      <c r="T2814" s="2">
        <v>2700</v>
      </c>
      <c r="U2814" s="48" t="s">
        <v>93</v>
      </c>
      <c r="V2814" s="2"/>
      <c r="W2814" s="2"/>
      <c r="X2814" s="2"/>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row>
    <row r="2815" spans="2:47" ht="14.25" customHeight="1" x14ac:dyDescent="0.3">
      <c r="B2815" s="3"/>
      <c r="Q2815" s="1"/>
      <c r="R2815" s="1"/>
      <c r="S2815" s="2"/>
      <c r="T2815" s="2">
        <v>2701</v>
      </c>
      <c r="U2815" s="48" t="s">
        <v>93</v>
      </c>
      <c r="V2815" s="2"/>
      <c r="W2815" s="2"/>
      <c r="X2815" s="2"/>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row>
    <row r="2816" spans="2:47" ht="14.25" customHeight="1" x14ac:dyDescent="0.3">
      <c r="B2816" s="3"/>
      <c r="Q2816" s="1"/>
      <c r="R2816" s="1"/>
      <c r="S2816" s="2"/>
      <c r="T2816" s="2">
        <v>2702</v>
      </c>
      <c r="U2816" s="48" t="s">
        <v>93</v>
      </c>
      <c r="V2816" s="2"/>
      <c r="W2816" s="2"/>
      <c r="X2816" s="2"/>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row>
    <row r="2817" spans="2:47" ht="14.25" customHeight="1" x14ac:dyDescent="0.3">
      <c r="B2817" s="3"/>
      <c r="Q2817" s="1"/>
      <c r="R2817" s="1"/>
      <c r="S2817" s="2"/>
      <c r="T2817" s="2">
        <v>2703</v>
      </c>
      <c r="U2817" s="48" t="s">
        <v>93</v>
      </c>
      <c r="V2817" s="2"/>
      <c r="W2817" s="2"/>
      <c r="X2817" s="2"/>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row>
    <row r="2818" spans="2:47" ht="14.25" customHeight="1" x14ac:dyDescent="0.3">
      <c r="B2818" s="3"/>
      <c r="Q2818" s="1"/>
      <c r="R2818" s="1"/>
      <c r="S2818" s="2"/>
      <c r="T2818" s="2">
        <v>2704</v>
      </c>
      <c r="U2818" s="48" t="s">
        <v>93</v>
      </c>
      <c r="V2818" s="2"/>
      <c r="W2818" s="2"/>
      <c r="X2818" s="2"/>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row>
    <row r="2819" spans="2:47" ht="14.25" customHeight="1" x14ac:dyDescent="0.3">
      <c r="B2819" s="3"/>
      <c r="Q2819" s="1"/>
      <c r="R2819" s="1"/>
      <c r="S2819" s="2"/>
      <c r="T2819" s="2">
        <v>2705</v>
      </c>
      <c r="U2819" s="48" t="s">
        <v>93</v>
      </c>
      <c r="V2819" s="2"/>
      <c r="W2819" s="2"/>
      <c r="X2819" s="2"/>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row>
    <row r="2820" spans="2:47" ht="14.25" customHeight="1" x14ac:dyDescent="0.3">
      <c r="B2820" s="3"/>
      <c r="Q2820" s="1"/>
      <c r="R2820" s="1"/>
      <c r="S2820" s="2"/>
      <c r="T2820" s="2">
        <v>2706</v>
      </c>
      <c r="U2820" s="48" t="s">
        <v>93</v>
      </c>
      <c r="V2820" s="2"/>
      <c r="W2820" s="2"/>
      <c r="X2820" s="2"/>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row>
    <row r="2821" spans="2:47" ht="14.25" customHeight="1" x14ac:dyDescent="0.3">
      <c r="B2821" s="3"/>
      <c r="Q2821" s="1"/>
      <c r="R2821" s="1"/>
      <c r="S2821" s="2"/>
      <c r="T2821" s="2">
        <v>2707</v>
      </c>
      <c r="U2821" s="48" t="s">
        <v>93</v>
      </c>
      <c r="V2821" s="2"/>
      <c r="W2821" s="2"/>
      <c r="X2821" s="2"/>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row>
    <row r="2822" spans="2:47" ht="14.25" customHeight="1" x14ac:dyDescent="0.3">
      <c r="B2822" s="3"/>
      <c r="Q2822" s="1"/>
      <c r="R2822" s="1"/>
      <c r="S2822" s="2"/>
      <c r="T2822" s="2">
        <v>2708</v>
      </c>
      <c r="U2822" s="48" t="s">
        <v>93</v>
      </c>
      <c r="V2822" s="2"/>
      <c r="W2822" s="2"/>
      <c r="X2822" s="2"/>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row>
    <row r="2823" spans="2:47" ht="14.25" customHeight="1" x14ac:dyDescent="0.3">
      <c r="B2823" s="3"/>
      <c r="Q2823" s="1"/>
      <c r="R2823" s="1"/>
      <c r="S2823" s="2"/>
      <c r="T2823" s="2">
        <v>2709</v>
      </c>
      <c r="U2823" s="48" t="s">
        <v>93</v>
      </c>
      <c r="V2823" s="2"/>
      <c r="W2823" s="2"/>
      <c r="X2823" s="2"/>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row>
    <row r="2824" spans="2:47" ht="14.25" customHeight="1" x14ac:dyDescent="0.3">
      <c r="B2824" s="3"/>
      <c r="Q2824" s="1"/>
      <c r="R2824" s="1"/>
      <c r="S2824" s="2"/>
      <c r="T2824" s="2">
        <v>2710</v>
      </c>
      <c r="U2824" s="48" t="s">
        <v>93</v>
      </c>
      <c r="V2824" s="2"/>
      <c r="W2824" s="2"/>
      <c r="X2824" s="2"/>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row>
    <row r="2825" spans="2:47" ht="14.25" customHeight="1" x14ac:dyDescent="0.3">
      <c r="B2825" s="3"/>
      <c r="Q2825" s="1"/>
      <c r="R2825" s="1"/>
      <c r="S2825" s="2"/>
      <c r="T2825" s="2">
        <v>2711</v>
      </c>
      <c r="U2825" s="48" t="s">
        <v>93</v>
      </c>
      <c r="V2825" s="2"/>
      <c r="W2825" s="2"/>
      <c r="X2825" s="2"/>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row>
    <row r="2826" spans="2:47" ht="14.25" customHeight="1" x14ac:dyDescent="0.3">
      <c r="B2826" s="3"/>
      <c r="Q2826" s="1"/>
      <c r="R2826" s="1"/>
      <c r="S2826" s="2"/>
      <c r="T2826" s="2">
        <v>2712</v>
      </c>
      <c r="U2826" s="48" t="s">
        <v>93</v>
      </c>
      <c r="V2826" s="2"/>
      <c r="W2826" s="2"/>
      <c r="X2826" s="2"/>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row>
    <row r="2827" spans="2:47" ht="14.25" customHeight="1" x14ac:dyDescent="0.3">
      <c r="B2827" s="3"/>
      <c r="Q2827" s="1"/>
      <c r="R2827" s="1"/>
      <c r="S2827" s="2"/>
      <c r="T2827" s="2">
        <v>2713</v>
      </c>
      <c r="U2827" s="48" t="s">
        <v>93</v>
      </c>
      <c r="V2827" s="2"/>
      <c r="W2827" s="2"/>
      <c r="X2827" s="2"/>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row>
    <row r="2828" spans="2:47" ht="14.25" customHeight="1" x14ac:dyDescent="0.3">
      <c r="B2828" s="3"/>
      <c r="Q2828" s="1"/>
      <c r="R2828" s="1"/>
      <c r="S2828" s="2"/>
      <c r="T2828" s="2">
        <v>2714</v>
      </c>
      <c r="U2828" s="48" t="s">
        <v>93</v>
      </c>
      <c r="V2828" s="2"/>
      <c r="W2828" s="2"/>
      <c r="X2828" s="2"/>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row>
    <row r="2829" spans="2:47" ht="14.25" customHeight="1" x14ac:dyDescent="0.3">
      <c r="B2829" s="3"/>
      <c r="Q2829" s="1"/>
      <c r="R2829" s="1"/>
      <c r="S2829" s="2"/>
      <c r="T2829" s="2">
        <v>2715</v>
      </c>
      <c r="U2829" s="48" t="s">
        <v>93</v>
      </c>
      <c r="V2829" s="2"/>
      <c r="W2829" s="2"/>
      <c r="X2829" s="2"/>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row>
    <row r="2830" spans="2:47" ht="14.25" customHeight="1" x14ac:dyDescent="0.3">
      <c r="B2830" s="3"/>
      <c r="Q2830" s="1"/>
      <c r="R2830" s="1"/>
      <c r="S2830" s="2"/>
      <c r="T2830" s="2">
        <v>2716</v>
      </c>
      <c r="U2830" s="48" t="s">
        <v>93</v>
      </c>
      <c r="V2830" s="2"/>
      <c r="W2830" s="2"/>
      <c r="X2830" s="2"/>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row>
    <row r="2831" spans="2:47" ht="14.25" customHeight="1" x14ac:dyDescent="0.3">
      <c r="B2831" s="3"/>
      <c r="Q2831" s="1"/>
      <c r="R2831" s="1"/>
      <c r="S2831" s="2"/>
      <c r="T2831" s="2">
        <v>2717</v>
      </c>
      <c r="U2831" s="48" t="s">
        <v>93</v>
      </c>
      <c r="V2831" s="2"/>
      <c r="W2831" s="2"/>
      <c r="X2831" s="2"/>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row>
    <row r="2832" spans="2:47" ht="14.25" customHeight="1" x14ac:dyDescent="0.3">
      <c r="B2832" s="3"/>
      <c r="Q2832" s="1"/>
      <c r="R2832" s="1"/>
      <c r="S2832" s="2"/>
      <c r="T2832" s="2">
        <v>2718</v>
      </c>
      <c r="U2832" s="48" t="s">
        <v>93</v>
      </c>
      <c r="V2832" s="2"/>
      <c r="W2832" s="2"/>
      <c r="X2832" s="2"/>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row>
    <row r="2833" spans="2:47" ht="14.25" customHeight="1" x14ac:dyDescent="0.3">
      <c r="B2833" s="3"/>
      <c r="Q2833" s="1"/>
      <c r="R2833" s="1"/>
      <c r="S2833" s="2"/>
      <c r="T2833" s="2">
        <v>2719</v>
      </c>
      <c r="U2833" s="48" t="s">
        <v>93</v>
      </c>
      <c r="V2833" s="2"/>
      <c r="W2833" s="2"/>
      <c r="X2833" s="2"/>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row>
    <row r="2834" spans="2:47" ht="14.25" customHeight="1" x14ac:dyDescent="0.3">
      <c r="B2834" s="3"/>
      <c r="Q2834" s="1"/>
      <c r="R2834" s="1"/>
      <c r="S2834" s="2"/>
      <c r="T2834" s="2">
        <v>2720</v>
      </c>
      <c r="U2834" s="48" t="s">
        <v>93</v>
      </c>
      <c r="V2834" s="2"/>
      <c r="W2834" s="2"/>
      <c r="X2834" s="2"/>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row>
    <row r="2835" spans="2:47" ht="14.25" customHeight="1" x14ac:dyDescent="0.3">
      <c r="B2835" s="3"/>
      <c r="Q2835" s="1"/>
      <c r="R2835" s="1"/>
      <c r="S2835" s="2"/>
      <c r="T2835" s="2">
        <v>2721</v>
      </c>
      <c r="U2835" s="48" t="s">
        <v>93</v>
      </c>
      <c r="V2835" s="2"/>
      <c r="W2835" s="2"/>
      <c r="X2835" s="2"/>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row>
    <row r="2836" spans="2:47" ht="14.25" customHeight="1" x14ac:dyDescent="0.3">
      <c r="B2836" s="3"/>
      <c r="Q2836" s="1"/>
      <c r="R2836" s="1"/>
      <c r="S2836" s="2"/>
      <c r="T2836" s="2">
        <v>2722</v>
      </c>
      <c r="U2836" s="48" t="s">
        <v>93</v>
      </c>
      <c r="V2836" s="2"/>
      <c r="W2836" s="2"/>
      <c r="X2836" s="2"/>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row>
    <row r="2837" spans="2:47" ht="14.25" customHeight="1" x14ac:dyDescent="0.3">
      <c r="B2837" s="3"/>
      <c r="Q2837" s="1"/>
      <c r="R2837" s="1"/>
      <c r="S2837" s="2"/>
      <c r="T2837" s="2">
        <v>2723</v>
      </c>
      <c r="U2837" s="48" t="s">
        <v>93</v>
      </c>
      <c r="V2837" s="2"/>
      <c r="W2837" s="2"/>
      <c r="X2837" s="2"/>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row>
    <row r="2838" spans="2:47" ht="14.25" customHeight="1" x14ac:dyDescent="0.3">
      <c r="B2838" s="3"/>
      <c r="Q2838" s="1"/>
      <c r="R2838" s="1"/>
      <c r="S2838" s="2"/>
      <c r="T2838" s="2">
        <v>2724</v>
      </c>
      <c r="U2838" s="48" t="s">
        <v>93</v>
      </c>
      <c r="V2838" s="2"/>
      <c r="W2838" s="2"/>
      <c r="X2838" s="2"/>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row>
    <row r="2839" spans="2:47" ht="14.25" customHeight="1" x14ac:dyDescent="0.3">
      <c r="B2839" s="3"/>
      <c r="Q2839" s="1"/>
      <c r="R2839" s="1"/>
      <c r="S2839" s="2"/>
      <c r="T2839" s="2">
        <v>2725</v>
      </c>
      <c r="U2839" s="48" t="s">
        <v>93</v>
      </c>
      <c r="V2839" s="2"/>
      <c r="W2839" s="2"/>
      <c r="X2839" s="2"/>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row>
    <row r="2840" spans="2:47" ht="14.25" customHeight="1" x14ac:dyDescent="0.3">
      <c r="B2840" s="3"/>
      <c r="Q2840" s="1"/>
      <c r="R2840" s="1"/>
      <c r="S2840" s="2"/>
      <c r="T2840" s="2">
        <v>2726</v>
      </c>
      <c r="U2840" s="48" t="s">
        <v>93</v>
      </c>
      <c r="V2840" s="2"/>
      <c r="W2840" s="2"/>
      <c r="X2840" s="2"/>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row>
    <row r="2841" spans="2:47" ht="14.25" customHeight="1" x14ac:dyDescent="0.3">
      <c r="B2841" s="3"/>
      <c r="Q2841" s="1"/>
      <c r="R2841" s="1"/>
      <c r="S2841" s="2"/>
      <c r="T2841" s="2">
        <v>2727</v>
      </c>
      <c r="U2841" s="48" t="s">
        <v>93</v>
      </c>
      <c r="V2841" s="2"/>
      <c r="W2841" s="2"/>
      <c r="X2841" s="2"/>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row>
    <row r="2842" spans="2:47" ht="14.25" customHeight="1" x14ac:dyDescent="0.3">
      <c r="B2842" s="3"/>
      <c r="Q2842" s="1"/>
      <c r="R2842" s="1"/>
      <c r="S2842" s="2"/>
      <c r="T2842" s="2">
        <v>2728</v>
      </c>
      <c r="U2842" s="48" t="s">
        <v>93</v>
      </c>
      <c r="V2842" s="2"/>
      <c r="W2842" s="2"/>
      <c r="X2842" s="2"/>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row>
    <row r="2843" spans="2:47" ht="14.25" customHeight="1" x14ac:dyDescent="0.3">
      <c r="B2843" s="3"/>
      <c r="Q2843" s="1"/>
      <c r="R2843" s="1"/>
      <c r="S2843" s="2"/>
      <c r="T2843" s="2">
        <v>2729</v>
      </c>
      <c r="U2843" s="48" t="s">
        <v>93</v>
      </c>
      <c r="V2843" s="2"/>
      <c r="W2843" s="2"/>
      <c r="X2843" s="2"/>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row>
    <row r="2844" spans="2:47" ht="14.25" customHeight="1" x14ac:dyDescent="0.3">
      <c r="B2844" s="3"/>
      <c r="Q2844" s="1"/>
      <c r="R2844" s="1"/>
      <c r="S2844" s="2"/>
      <c r="T2844" s="2">
        <v>2730</v>
      </c>
      <c r="U2844" s="48" t="s">
        <v>93</v>
      </c>
      <c r="V2844" s="2"/>
      <c r="W2844" s="2"/>
      <c r="X2844" s="2"/>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row>
    <row r="2845" spans="2:47" ht="14.25" customHeight="1" x14ac:dyDescent="0.3">
      <c r="B2845" s="3"/>
      <c r="Q2845" s="1"/>
      <c r="R2845" s="1"/>
      <c r="S2845" s="2"/>
      <c r="T2845" s="2">
        <v>2731</v>
      </c>
      <c r="U2845" s="48" t="s">
        <v>93</v>
      </c>
      <c r="V2845" s="2"/>
      <c r="W2845" s="2"/>
      <c r="X2845" s="2"/>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row>
    <row r="2846" spans="2:47" ht="14.25" customHeight="1" x14ac:dyDescent="0.3">
      <c r="B2846" s="3"/>
      <c r="Q2846" s="1"/>
      <c r="R2846" s="1"/>
      <c r="S2846" s="2"/>
      <c r="T2846" s="2">
        <v>2732</v>
      </c>
      <c r="U2846" s="48" t="s">
        <v>93</v>
      </c>
      <c r="V2846" s="2"/>
      <c r="W2846" s="2"/>
      <c r="X2846" s="2"/>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row>
    <row r="2847" spans="2:47" ht="14.25" customHeight="1" x14ac:dyDescent="0.3">
      <c r="B2847" s="3"/>
      <c r="Q2847" s="1"/>
      <c r="R2847" s="1"/>
      <c r="S2847" s="2"/>
      <c r="T2847" s="2">
        <v>2733</v>
      </c>
      <c r="U2847" s="48" t="s">
        <v>93</v>
      </c>
      <c r="V2847" s="2"/>
      <c r="W2847" s="2"/>
      <c r="X2847" s="2"/>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row>
    <row r="2848" spans="2:47" ht="14.25" customHeight="1" x14ac:dyDescent="0.3">
      <c r="B2848" s="3"/>
      <c r="Q2848" s="1"/>
      <c r="R2848" s="1"/>
      <c r="S2848" s="2"/>
      <c r="T2848" s="2">
        <v>2734</v>
      </c>
      <c r="U2848" s="48" t="s">
        <v>93</v>
      </c>
      <c r="V2848" s="2"/>
      <c r="W2848" s="2"/>
      <c r="X2848" s="2"/>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row>
    <row r="2849" spans="2:47" ht="14.25" customHeight="1" x14ac:dyDescent="0.3">
      <c r="B2849" s="3"/>
      <c r="Q2849" s="1"/>
      <c r="R2849" s="1"/>
      <c r="S2849" s="2"/>
      <c r="T2849" s="2">
        <v>2735</v>
      </c>
      <c r="U2849" s="48" t="s">
        <v>93</v>
      </c>
      <c r="V2849" s="2"/>
      <c r="W2849" s="2"/>
      <c r="X2849" s="2"/>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row>
    <row r="2850" spans="2:47" ht="14.25" customHeight="1" x14ac:dyDescent="0.3">
      <c r="B2850" s="3"/>
      <c r="Q2850" s="1"/>
      <c r="R2850" s="1"/>
      <c r="S2850" s="2"/>
      <c r="T2850" s="2">
        <v>2736</v>
      </c>
      <c r="U2850" s="48" t="s">
        <v>93</v>
      </c>
      <c r="V2850" s="2"/>
      <c r="W2850" s="2"/>
      <c r="X2850" s="2"/>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row>
    <row r="2851" spans="2:47" ht="14.25" customHeight="1" x14ac:dyDescent="0.3">
      <c r="B2851" s="3"/>
      <c r="Q2851" s="1"/>
      <c r="R2851" s="1"/>
      <c r="S2851" s="2"/>
      <c r="T2851" s="2">
        <v>2737</v>
      </c>
      <c r="U2851" s="48" t="s">
        <v>93</v>
      </c>
      <c r="V2851" s="2"/>
      <c r="W2851" s="2"/>
      <c r="X2851" s="2"/>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row>
    <row r="2852" spans="2:47" ht="14.25" customHeight="1" x14ac:dyDescent="0.3">
      <c r="B2852" s="3"/>
      <c r="Q2852" s="1"/>
      <c r="R2852" s="1"/>
      <c r="S2852" s="2"/>
      <c r="T2852" s="2">
        <v>2738</v>
      </c>
      <c r="U2852" s="48" t="s">
        <v>93</v>
      </c>
      <c r="V2852" s="2"/>
      <c r="W2852" s="2"/>
      <c r="X2852" s="2"/>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row>
    <row r="2853" spans="2:47" ht="14.25" customHeight="1" x14ac:dyDescent="0.3">
      <c r="B2853" s="3"/>
      <c r="Q2853" s="1"/>
      <c r="R2853" s="1"/>
      <c r="S2853" s="2"/>
      <c r="T2853" s="2">
        <v>2739</v>
      </c>
      <c r="U2853" s="48" t="s">
        <v>93</v>
      </c>
      <c r="V2853" s="2"/>
      <c r="W2853" s="2"/>
      <c r="X2853" s="2"/>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row>
    <row r="2854" spans="2:47" ht="14.25" customHeight="1" x14ac:dyDescent="0.3">
      <c r="B2854" s="3"/>
      <c r="Q2854" s="1"/>
      <c r="R2854" s="1"/>
      <c r="S2854" s="2"/>
      <c r="T2854" s="2">
        <v>2740</v>
      </c>
      <c r="U2854" s="48" t="s">
        <v>93</v>
      </c>
      <c r="V2854" s="2"/>
      <c r="W2854" s="2"/>
      <c r="X2854" s="2"/>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row>
    <row r="2855" spans="2:47" ht="14.25" customHeight="1" x14ac:dyDescent="0.3">
      <c r="B2855" s="3"/>
      <c r="Q2855" s="1"/>
      <c r="R2855" s="1"/>
      <c r="S2855" s="2"/>
      <c r="T2855" s="2">
        <v>2741</v>
      </c>
      <c r="U2855" s="48" t="s">
        <v>93</v>
      </c>
      <c r="V2855" s="2"/>
      <c r="W2855" s="2"/>
      <c r="X2855" s="2"/>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row>
    <row r="2856" spans="2:47" ht="14.25" customHeight="1" x14ac:dyDescent="0.3">
      <c r="B2856" s="3"/>
      <c r="Q2856" s="1"/>
      <c r="R2856" s="1"/>
      <c r="S2856" s="2"/>
      <c r="T2856" s="2">
        <v>2742</v>
      </c>
      <c r="U2856" s="48" t="s">
        <v>93</v>
      </c>
      <c r="V2856" s="2"/>
      <c r="W2856" s="2"/>
      <c r="X2856" s="2"/>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row>
    <row r="2857" spans="2:47" ht="14.25" customHeight="1" x14ac:dyDescent="0.3">
      <c r="B2857" s="3"/>
      <c r="Q2857" s="1"/>
      <c r="R2857" s="1"/>
      <c r="S2857" s="2"/>
      <c r="T2857" s="2">
        <v>2743</v>
      </c>
      <c r="U2857" s="48" t="s">
        <v>93</v>
      </c>
      <c r="V2857" s="2"/>
      <c r="W2857" s="2"/>
      <c r="X2857" s="2"/>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row>
    <row r="2858" spans="2:47" ht="14.25" customHeight="1" x14ac:dyDescent="0.3">
      <c r="B2858" s="3"/>
      <c r="Q2858" s="1"/>
      <c r="R2858" s="1"/>
      <c r="S2858" s="2"/>
      <c r="T2858" s="2">
        <v>2744</v>
      </c>
      <c r="U2858" s="48" t="s">
        <v>93</v>
      </c>
      <c r="V2858" s="2"/>
      <c r="W2858" s="2"/>
      <c r="X2858" s="2"/>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row>
    <row r="2859" spans="2:47" ht="14.25" customHeight="1" x14ac:dyDescent="0.3">
      <c r="B2859" s="3"/>
      <c r="Q2859" s="1"/>
      <c r="R2859" s="1"/>
      <c r="S2859" s="2"/>
      <c r="T2859" s="2">
        <v>2745</v>
      </c>
      <c r="U2859" s="48" t="s">
        <v>93</v>
      </c>
      <c r="V2859" s="2"/>
      <c r="W2859" s="2"/>
      <c r="X2859" s="2"/>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row>
    <row r="2860" spans="2:47" ht="14.25" customHeight="1" x14ac:dyDescent="0.3">
      <c r="B2860" s="3"/>
      <c r="Q2860" s="1"/>
      <c r="R2860" s="1"/>
      <c r="S2860" s="2"/>
      <c r="T2860" s="2">
        <v>2746</v>
      </c>
      <c r="U2860" s="48" t="s">
        <v>93</v>
      </c>
      <c r="V2860" s="2"/>
      <c r="W2860" s="2"/>
      <c r="X2860" s="2"/>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row>
    <row r="2861" spans="2:47" ht="14.25" customHeight="1" x14ac:dyDescent="0.3">
      <c r="B2861" s="3"/>
      <c r="Q2861" s="1"/>
      <c r="R2861" s="1"/>
      <c r="S2861" s="2"/>
      <c r="T2861" s="2">
        <v>2747</v>
      </c>
      <c r="U2861" s="48" t="s">
        <v>93</v>
      </c>
      <c r="V2861" s="2"/>
      <c r="W2861" s="2"/>
      <c r="X2861" s="2"/>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row>
    <row r="2862" spans="2:47" ht="14.25" customHeight="1" x14ac:dyDescent="0.3">
      <c r="B2862" s="3"/>
      <c r="Q2862" s="1"/>
      <c r="R2862" s="1"/>
      <c r="S2862" s="2"/>
      <c r="T2862" s="2">
        <v>2748</v>
      </c>
      <c r="U2862" s="48" t="s">
        <v>93</v>
      </c>
      <c r="V2862" s="2"/>
      <c r="W2862" s="2"/>
      <c r="X2862" s="2"/>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row>
    <row r="2863" spans="2:47" ht="14.25" customHeight="1" x14ac:dyDescent="0.3">
      <c r="B2863" s="3"/>
      <c r="Q2863" s="1"/>
      <c r="R2863" s="1"/>
      <c r="S2863" s="2"/>
      <c r="T2863" s="2">
        <v>2749</v>
      </c>
      <c r="U2863" s="48" t="s">
        <v>93</v>
      </c>
      <c r="V2863" s="2"/>
      <c r="W2863" s="2"/>
      <c r="X2863" s="2"/>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row>
    <row r="2864" spans="2:47" ht="14.25" customHeight="1" x14ac:dyDescent="0.3">
      <c r="B2864" s="3"/>
      <c r="Q2864" s="1"/>
      <c r="R2864" s="1"/>
      <c r="S2864" s="2"/>
      <c r="T2864" s="2">
        <v>2750</v>
      </c>
      <c r="U2864" s="48" t="s">
        <v>93</v>
      </c>
      <c r="V2864" s="2"/>
      <c r="W2864" s="2"/>
      <c r="X2864" s="2"/>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row>
    <row r="2865" spans="2:47" ht="14.25" customHeight="1" x14ac:dyDescent="0.3">
      <c r="B2865" s="3"/>
      <c r="Q2865" s="1"/>
      <c r="R2865" s="1"/>
      <c r="S2865" s="2"/>
      <c r="T2865" s="2">
        <v>2751</v>
      </c>
      <c r="U2865" s="48" t="s">
        <v>93</v>
      </c>
      <c r="V2865" s="2"/>
      <c r="W2865" s="2"/>
      <c r="X2865" s="2"/>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row>
    <row r="2866" spans="2:47" ht="14.25" customHeight="1" x14ac:dyDescent="0.3">
      <c r="B2866" s="3"/>
      <c r="Q2866" s="1"/>
      <c r="R2866" s="1"/>
      <c r="S2866" s="2"/>
      <c r="T2866" s="2">
        <v>2752</v>
      </c>
      <c r="U2866" s="48" t="s">
        <v>93</v>
      </c>
      <c r="V2866" s="2"/>
      <c r="W2866" s="2"/>
      <c r="X2866" s="2"/>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row>
    <row r="2867" spans="2:47" ht="14.25" customHeight="1" x14ac:dyDescent="0.3">
      <c r="B2867" s="3"/>
      <c r="Q2867" s="1"/>
      <c r="R2867" s="1"/>
      <c r="S2867" s="2"/>
      <c r="T2867" s="2">
        <v>2753</v>
      </c>
      <c r="U2867" s="48" t="s">
        <v>93</v>
      </c>
      <c r="V2867" s="2"/>
      <c r="W2867" s="2"/>
      <c r="X2867" s="2"/>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row>
    <row r="2868" spans="2:47" ht="14.25" customHeight="1" x14ac:dyDescent="0.3">
      <c r="B2868" s="3"/>
      <c r="Q2868" s="1"/>
      <c r="R2868" s="1"/>
      <c r="S2868" s="2"/>
      <c r="T2868" s="2">
        <v>2754</v>
      </c>
      <c r="U2868" s="48" t="s">
        <v>93</v>
      </c>
      <c r="V2868" s="2"/>
      <c r="W2868" s="2"/>
      <c r="X2868" s="2"/>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row>
    <row r="2869" spans="2:47" ht="14.25" customHeight="1" x14ac:dyDescent="0.3">
      <c r="B2869" s="3"/>
      <c r="Q2869" s="1"/>
      <c r="R2869" s="1"/>
      <c r="S2869" s="2"/>
      <c r="T2869" s="2">
        <v>2755</v>
      </c>
      <c r="U2869" s="48" t="s">
        <v>93</v>
      </c>
      <c r="V2869" s="2"/>
      <c r="W2869" s="2"/>
      <c r="X2869" s="2"/>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row>
    <row r="2870" spans="2:47" ht="14.25" customHeight="1" x14ac:dyDescent="0.3">
      <c r="B2870" s="3"/>
      <c r="Q2870" s="1"/>
      <c r="R2870" s="1"/>
      <c r="S2870" s="2"/>
      <c r="T2870" s="2">
        <v>2756</v>
      </c>
      <c r="U2870" s="48" t="s">
        <v>93</v>
      </c>
      <c r="V2870" s="2"/>
      <c r="W2870" s="2"/>
      <c r="X2870" s="2"/>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row>
    <row r="2871" spans="2:47" ht="14.25" customHeight="1" x14ac:dyDescent="0.3">
      <c r="B2871" s="3"/>
      <c r="Q2871" s="1"/>
      <c r="R2871" s="1"/>
      <c r="S2871" s="2"/>
      <c r="T2871" s="2">
        <v>2757</v>
      </c>
      <c r="U2871" s="48" t="s">
        <v>93</v>
      </c>
      <c r="V2871" s="2"/>
      <c r="W2871" s="2"/>
      <c r="X2871" s="2"/>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row>
    <row r="2872" spans="2:47" ht="14.25" customHeight="1" x14ac:dyDescent="0.3">
      <c r="B2872" s="3"/>
      <c r="Q2872" s="1"/>
      <c r="R2872" s="1"/>
      <c r="S2872" s="2"/>
      <c r="T2872" s="2">
        <v>2758</v>
      </c>
      <c r="U2872" s="48" t="s">
        <v>93</v>
      </c>
      <c r="V2872" s="2"/>
      <c r="W2872" s="2"/>
      <c r="X2872" s="2"/>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row>
    <row r="2873" spans="2:47" ht="14.25" customHeight="1" x14ac:dyDescent="0.3">
      <c r="B2873" s="3"/>
      <c r="Q2873" s="1"/>
      <c r="R2873" s="1"/>
      <c r="S2873" s="2"/>
      <c r="T2873" s="2">
        <v>2759</v>
      </c>
      <c r="U2873" s="48" t="s">
        <v>93</v>
      </c>
      <c r="V2873" s="2"/>
      <c r="W2873" s="2"/>
      <c r="X2873" s="2"/>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row>
    <row r="2874" spans="2:47" ht="14.25" customHeight="1" x14ac:dyDescent="0.3">
      <c r="B2874" s="3"/>
      <c r="Q2874" s="1"/>
      <c r="R2874" s="1"/>
      <c r="S2874" s="2"/>
      <c r="T2874" s="2">
        <v>2760</v>
      </c>
      <c r="U2874" s="48" t="s">
        <v>93</v>
      </c>
      <c r="V2874" s="2"/>
      <c r="W2874" s="2"/>
      <c r="X2874" s="2"/>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row>
    <row r="2875" spans="2:47" ht="14.25" customHeight="1" x14ac:dyDescent="0.3">
      <c r="B2875" s="3"/>
      <c r="Q2875" s="1"/>
      <c r="R2875" s="1"/>
      <c r="S2875" s="2"/>
      <c r="T2875" s="2">
        <v>2761</v>
      </c>
      <c r="U2875" s="48" t="s">
        <v>93</v>
      </c>
      <c r="V2875" s="2"/>
      <c r="W2875" s="2"/>
      <c r="X2875" s="2"/>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row>
    <row r="2876" spans="2:47" ht="14.25" customHeight="1" x14ac:dyDescent="0.3">
      <c r="B2876" s="3"/>
      <c r="Q2876" s="1"/>
      <c r="R2876" s="1"/>
      <c r="S2876" s="2"/>
      <c r="T2876" s="2">
        <v>2762</v>
      </c>
      <c r="U2876" s="48" t="s">
        <v>93</v>
      </c>
      <c r="V2876" s="2"/>
      <c r="W2876" s="2"/>
      <c r="X2876" s="2"/>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row>
    <row r="2877" spans="2:47" ht="14.25" customHeight="1" x14ac:dyDescent="0.3">
      <c r="B2877" s="3"/>
      <c r="Q2877" s="1"/>
      <c r="R2877" s="1"/>
      <c r="S2877" s="2"/>
      <c r="T2877" s="2">
        <v>2763</v>
      </c>
      <c r="U2877" s="48" t="s">
        <v>93</v>
      </c>
      <c r="V2877" s="2"/>
      <c r="W2877" s="2"/>
      <c r="X2877" s="2"/>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row>
    <row r="2878" spans="2:47" ht="14.25" customHeight="1" x14ac:dyDescent="0.3">
      <c r="B2878" s="3"/>
      <c r="Q2878" s="1"/>
      <c r="R2878" s="1"/>
      <c r="S2878" s="2"/>
      <c r="T2878" s="2">
        <v>2764</v>
      </c>
      <c r="U2878" s="48" t="s">
        <v>93</v>
      </c>
      <c r="V2878" s="2"/>
      <c r="W2878" s="2"/>
      <c r="X2878" s="2"/>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row>
    <row r="2879" spans="2:47" ht="14.25" customHeight="1" x14ac:dyDescent="0.3">
      <c r="B2879" s="3"/>
      <c r="Q2879" s="1"/>
      <c r="R2879" s="1"/>
      <c r="S2879" s="2"/>
      <c r="T2879" s="2">
        <v>2765</v>
      </c>
      <c r="U2879" s="48" t="s">
        <v>93</v>
      </c>
      <c r="V2879" s="2"/>
      <c r="W2879" s="2"/>
      <c r="X2879" s="2"/>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row>
    <row r="2880" spans="2:47" ht="14.25" customHeight="1" x14ac:dyDescent="0.3">
      <c r="B2880" s="3"/>
      <c r="Q2880" s="1"/>
      <c r="R2880" s="1"/>
      <c r="S2880" s="2"/>
      <c r="T2880" s="2">
        <v>2766</v>
      </c>
      <c r="U2880" s="48" t="s">
        <v>93</v>
      </c>
      <c r="V2880" s="2"/>
      <c r="W2880" s="2"/>
      <c r="X2880" s="2"/>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row>
    <row r="2881" spans="2:47" ht="14.25" customHeight="1" x14ac:dyDescent="0.3">
      <c r="B2881" s="3"/>
      <c r="Q2881" s="1"/>
      <c r="R2881" s="1"/>
      <c r="S2881" s="2"/>
      <c r="T2881" s="2">
        <v>2767</v>
      </c>
      <c r="U2881" s="48" t="s">
        <v>93</v>
      </c>
      <c r="V2881" s="2"/>
      <c r="W2881" s="2"/>
      <c r="X2881" s="2"/>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row>
    <row r="2882" spans="2:47" ht="14.25" customHeight="1" x14ac:dyDescent="0.3">
      <c r="B2882" s="3"/>
      <c r="Q2882" s="1"/>
      <c r="R2882" s="1"/>
      <c r="S2882" s="2"/>
      <c r="T2882" s="2">
        <v>2768</v>
      </c>
      <c r="U2882" s="48" t="s">
        <v>93</v>
      </c>
      <c r="V2882" s="2"/>
      <c r="W2882" s="2"/>
      <c r="X2882" s="2"/>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row>
    <row r="2883" spans="2:47" ht="14.25" customHeight="1" x14ac:dyDescent="0.3">
      <c r="B2883" s="3"/>
      <c r="Q2883" s="1"/>
      <c r="R2883" s="1"/>
      <c r="S2883" s="2"/>
      <c r="T2883" s="2">
        <v>2769</v>
      </c>
      <c r="U2883" s="48" t="s">
        <v>93</v>
      </c>
      <c r="V2883" s="2"/>
      <c r="W2883" s="2"/>
      <c r="X2883" s="2"/>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row>
    <row r="2884" spans="2:47" ht="14.25" customHeight="1" x14ac:dyDescent="0.3">
      <c r="B2884" s="3"/>
      <c r="Q2884" s="1"/>
      <c r="R2884" s="1"/>
      <c r="S2884" s="2"/>
      <c r="T2884" s="2">
        <v>2770</v>
      </c>
      <c r="U2884" s="48" t="s">
        <v>93</v>
      </c>
      <c r="V2884" s="2"/>
      <c r="W2884" s="2"/>
      <c r="X2884" s="2"/>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row>
    <row r="2885" spans="2:47" ht="14.25" customHeight="1" x14ac:dyDescent="0.3">
      <c r="B2885" s="3"/>
      <c r="Q2885" s="1"/>
      <c r="R2885" s="1"/>
      <c r="S2885" s="2"/>
      <c r="T2885" s="2">
        <v>2771</v>
      </c>
      <c r="U2885" s="48" t="s">
        <v>93</v>
      </c>
      <c r="V2885" s="2"/>
      <c r="W2885" s="2"/>
      <c r="X2885" s="2"/>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row>
    <row r="2886" spans="2:47" ht="14.25" customHeight="1" x14ac:dyDescent="0.3">
      <c r="B2886" s="3"/>
      <c r="Q2886" s="1"/>
      <c r="R2886" s="1"/>
      <c r="S2886" s="2"/>
      <c r="T2886" s="2">
        <v>2772</v>
      </c>
      <c r="U2886" s="48" t="s">
        <v>93</v>
      </c>
      <c r="V2886" s="2"/>
      <c r="W2886" s="2"/>
      <c r="X2886" s="2"/>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row>
    <row r="2887" spans="2:47" ht="14.25" customHeight="1" x14ac:dyDescent="0.3">
      <c r="B2887" s="3"/>
      <c r="Q2887" s="1"/>
      <c r="R2887" s="1"/>
      <c r="S2887" s="2"/>
      <c r="T2887" s="2">
        <v>2773</v>
      </c>
      <c r="U2887" s="48" t="s">
        <v>93</v>
      </c>
      <c r="V2887" s="2"/>
      <c r="W2887" s="2"/>
      <c r="X2887" s="2"/>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row>
    <row r="2888" spans="2:47" ht="14.25" customHeight="1" x14ac:dyDescent="0.3">
      <c r="B2888" s="3"/>
      <c r="Q2888" s="1"/>
      <c r="R2888" s="1"/>
      <c r="S2888" s="2"/>
      <c r="T2888" s="2">
        <v>2774</v>
      </c>
      <c r="U2888" s="48" t="s">
        <v>93</v>
      </c>
      <c r="V2888" s="2"/>
      <c r="W2888" s="2"/>
      <c r="X2888" s="2"/>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row>
    <row r="2889" spans="2:47" ht="14.25" customHeight="1" x14ac:dyDescent="0.3">
      <c r="B2889" s="3"/>
      <c r="Q2889" s="1"/>
      <c r="R2889" s="1"/>
      <c r="S2889" s="2"/>
      <c r="T2889" s="2">
        <v>2775</v>
      </c>
      <c r="U2889" s="48" t="s">
        <v>93</v>
      </c>
      <c r="V2889" s="2"/>
      <c r="W2889" s="2"/>
      <c r="X2889" s="2"/>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row>
    <row r="2890" spans="2:47" ht="14.25" customHeight="1" x14ac:dyDescent="0.3">
      <c r="B2890" s="3"/>
      <c r="Q2890" s="1"/>
      <c r="R2890" s="1"/>
      <c r="S2890" s="2"/>
      <c r="T2890" s="2">
        <v>2776</v>
      </c>
      <c r="U2890" s="48" t="s">
        <v>93</v>
      </c>
      <c r="V2890" s="2"/>
      <c r="W2890" s="2"/>
      <c r="X2890" s="2"/>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row>
    <row r="2891" spans="2:47" ht="14.25" customHeight="1" x14ac:dyDescent="0.3">
      <c r="B2891" s="3"/>
      <c r="Q2891" s="1"/>
      <c r="R2891" s="1"/>
      <c r="S2891" s="2"/>
      <c r="T2891" s="2">
        <v>2777</v>
      </c>
      <c r="U2891" s="48" t="s">
        <v>93</v>
      </c>
      <c r="V2891" s="2"/>
      <c r="W2891" s="2"/>
      <c r="X2891" s="2"/>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row>
    <row r="2892" spans="2:47" ht="14.25" customHeight="1" x14ac:dyDescent="0.3">
      <c r="B2892" s="3"/>
      <c r="Q2892" s="1"/>
      <c r="R2892" s="1"/>
      <c r="S2892" s="2"/>
      <c r="T2892" s="2">
        <v>2778</v>
      </c>
      <c r="U2892" s="48" t="s">
        <v>93</v>
      </c>
      <c r="V2892" s="2"/>
      <c r="W2892" s="2"/>
      <c r="X2892" s="2"/>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row>
    <row r="2893" spans="2:47" ht="14.25" customHeight="1" x14ac:dyDescent="0.3">
      <c r="B2893" s="3"/>
      <c r="Q2893" s="1"/>
      <c r="R2893" s="1"/>
      <c r="S2893" s="2"/>
      <c r="T2893" s="2">
        <v>2779</v>
      </c>
      <c r="U2893" s="48" t="s">
        <v>93</v>
      </c>
      <c r="V2893" s="2"/>
      <c r="W2893" s="2"/>
      <c r="X2893" s="2"/>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row>
    <row r="2894" spans="2:47" ht="14.25" customHeight="1" x14ac:dyDescent="0.3">
      <c r="B2894" s="3"/>
      <c r="Q2894" s="1"/>
      <c r="R2894" s="1"/>
      <c r="S2894" s="2"/>
      <c r="T2894" s="2">
        <v>2780</v>
      </c>
      <c r="U2894" s="48" t="s">
        <v>93</v>
      </c>
      <c r="V2894" s="2"/>
      <c r="W2894" s="2"/>
      <c r="X2894" s="2"/>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row>
    <row r="2895" spans="2:47" ht="14.25" customHeight="1" x14ac:dyDescent="0.3">
      <c r="B2895" s="3"/>
      <c r="Q2895" s="1"/>
      <c r="R2895" s="1"/>
      <c r="S2895" s="2"/>
      <c r="T2895" s="2">
        <v>2781</v>
      </c>
      <c r="U2895" s="48" t="s">
        <v>93</v>
      </c>
      <c r="V2895" s="2"/>
      <c r="W2895" s="2"/>
      <c r="X2895" s="2"/>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row>
    <row r="2896" spans="2:47" ht="14.25" customHeight="1" x14ac:dyDescent="0.3">
      <c r="B2896" s="3"/>
      <c r="Q2896" s="1"/>
      <c r="R2896" s="1"/>
      <c r="S2896" s="2"/>
      <c r="T2896" s="2">
        <v>2782</v>
      </c>
      <c r="U2896" s="48" t="s">
        <v>93</v>
      </c>
      <c r="V2896" s="2"/>
      <c r="W2896" s="2"/>
      <c r="X2896" s="2"/>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row>
    <row r="2897" spans="2:47" ht="14.25" customHeight="1" x14ac:dyDescent="0.3">
      <c r="B2897" s="3"/>
      <c r="Q2897" s="1"/>
      <c r="R2897" s="1"/>
      <c r="S2897" s="2"/>
      <c r="T2897" s="2">
        <v>2783</v>
      </c>
      <c r="U2897" s="48" t="s">
        <v>93</v>
      </c>
      <c r="V2897" s="2"/>
      <c r="W2897" s="2"/>
      <c r="X2897" s="2"/>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row>
    <row r="2898" spans="2:47" ht="14.25" customHeight="1" x14ac:dyDescent="0.3">
      <c r="B2898" s="3"/>
      <c r="Q2898" s="1"/>
      <c r="R2898" s="1"/>
      <c r="S2898" s="2"/>
      <c r="T2898" s="2">
        <v>2784</v>
      </c>
      <c r="U2898" s="48" t="s">
        <v>93</v>
      </c>
      <c r="V2898" s="2"/>
      <c r="W2898" s="2"/>
      <c r="X2898" s="2"/>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row>
    <row r="2899" spans="2:47" ht="14.25" customHeight="1" x14ac:dyDescent="0.3">
      <c r="B2899" s="3"/>
      <c r="Q2899" s="1"/>
      <c r="R2899" s="1"/>
      <c r="S2899" s="2"/>
      <c r="T2899" s="2">
        <v>2785</v>
      </c>
      <c r="U2899" s="48" t="s">
        <v>93</v>
      </c>
      <c r="V2899" s="2"/>
      <c r="W2899" s="2"/>
      <c r="X2899" s="2"/>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row>
    <row r="2900" spans="2:47" ht="14.25" customHeight="1" x14ac:dyDescent="0.3">
      <c r="B2900" s="3"/>
      <c r="Q2900" s="1"/>
      <c r="R2900" s="1"/>
      <c r="S2900" s="2"/>
      <c r="T2900" s="2">
        <v>2786</v>
      </c>
      <c r="U2900" s="48" t="s">
        <v>93</v>
      </c>
      <c r="V2900" s="2"/>
      <c r="W2900" s="2"/>
      <c r="X2900" s="2"/>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row>
    <row r="2901" spans="2:47" ht="14.25" customHeight="1" x14ac:dyDescent="0.3">
      <c r="B2901" s="3"/>
      <c r="Q2901" s="1"/>
      <c r="R2901" s="1"/>
      <c r="S2901" s="2"/>
      <c r="T2901" s="2">
        <v>2787</v>
      </c>
      <c r="U2901" s="48" t="s">
        <v>93</v>
      </c>
      <c r="V2901" s="2"/>
      <c r="W2901" s="2"/>
      <c r="X2901" s="2"/>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row>
    <row r="2902" spans="2:47" ht="14.25" customHeight="1" x14ac:dyDescent="0.3">
      <c r="B2902" s="3"/>
      <c r="Q2902" s="1"/>
      <c r="R2902" s="1"/>
      <c r="S2902" s="2"/>
      <c r="T2902" s="2">
        <v>2788</v>
      </c>
      <c r="U2902" s="48" t="s">
        <v>93</v>
      </c>
      <c r="V2902" s="2"/>
      <c r="W2902" s="2"/>
      <c r="X2902" s="2"/>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row>
    <row r="2903" spans="2:47" ht="14.25" customHeight="1" x14ac:dyDescent="0.3">
      <c r="B2903" s="3"/>
      <c r="Q2903" s="1"/>
      <c r="R2903" s="1"/>
      <c r="S2903" s="2"/>
      <c r="T2903" s="2">
        <v>2789</v>
      </c>
      <c r="U2903" s="48" t="s">
        <v>93</v>
      </c>
      <c r="V2903" s="2"/>
      <c r="W2903" s="2"/>
      <c r="X2903" s="2"/>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row>
    <row r="2904" spans="2:47" ht="14.25" customHeight="1" x14ac:dyDescent="0.3">
      <c r="B2904" s="3"/>
      <c r="Q2904" s="1"/>
      <c r="R2904" s="1"/>
      <c r="S2904" s="2"/>
      <c r="T2904" s="2">
        <v>2790</v>
      </c>
      <c r="U2904" s="48" t="s">
        <v>93</v>
      </c>
      <c r="V2904" s="2"/>
      <c r="W2904" s="2"/>
      <c r="X2904" s="2"/>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row>
    <row r="2905" spans="2:47" ht="14.25" customHeight="1" x14ac:dyDescent="0.3">
      <c r="B2905" s="3"/>
      <c r="Q2905" s="1"/>
      <c r="R2905" s="1"/>
      <c r="S2905" s="2"/>
      <c r="T2905" s="2">
        <v>2791</v>
      </c>
      <c r="U2905" s="48" t="s">
        <v>93</v>
      </c>
      <c r="V2905" s="2"/>
      <c r="W2905" s="2"/>
      <c r="X2905" s="2"/>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row>
    <row r="2906" spans="2:47" ht="14.25" customHeight="1" x14ac:dyDescent="0.3">
      <c r="B2906" s="3"/>
      <c r="Q2906" s="1"/>
      <c r="R2906" s="1"/>
      <c r="S2906" s="2"/>
      <c r="T2906" s="2">
        <v>2792</v>
      </c>
      <c r="U2906" s="48" t="s">
        <v>93</v>
      </c>
      <c r="V2906" s="2"/>
      <c r="W2906" s="2"/>
      <c r="X2906" s="2"/>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row>
    <row r="2907" spans="2:47" ht="14.25" customHeight="1" x14ac:dyDescent="0.3">
      <c r="B2907" s="3"/>
      <c r="Q2907" s="1"/>
      <c r="R2907" s="1"/>
      <c r="S2907" s="2"/>
      <c r="T2907" s="2">
        <v>2793</v>
      </c>
      <c r="U2907" s="48" t="s">
        <v>93</v>
      </c>
      <c r="V2907" s="2"/>
      <c r="W2907" s="2"/>
      <c r="X2907" s="2"/>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row>
    <row r="2908" spans="2:47" ht="14.25" customHeight="1" x14ac:dyDescent="0.3">
      <c r="B2908" s="3"/>
      <c r="Q2908" s="1"/>
      <c r="R2908" s="1"/>
      <c r="S2908" s="2"/>
      <c r="T2908" s="2">
        <v>2794</v>
      </c>
      <c r="U2908" s="48" t="s">
        <v>93</v>
      </c>
      <c r="V2908" s="2"/>
      <c r="W2908" s="2"/>
      <c r="X2908" s="2"/>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row>
    <row r="2909" spans="2:47" ht="14.25" customHeight="1" x14ac:dyDescent="0.3">
      <c r="B2909" s="3"/>
      <c r="Q2909" s="1"/>
      <c r="R2909" s="1"/>
      <c r="S2909" s="2"/>
      <c r="T2909" s="2">
        <v>2795</v>
      </c>
      <c r="U2909" s="48" t="s">
        <v>93</v>
      </c>
      <c r="V2909" s="2"/>
      <c r="W2909" s="2"/>
      <c r="X2909" s="2"/>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row>
    <row r="2910" spans="2:47" ht="14.25" customHeight="1" x14ac:dyDescent="0.3">
      <c r="B2910" s="3"/>
      <c r="Q2910" s="1"/>
      <c r="R2910" s="1"/>
      <c r="S2910" s="2"/>
      <c r="T2910" s="2">
        <v>2796</v>
      </c>
      <c r="U2910" s="48" t="s">
        <v>93</v>
      </c>
      <c r="V2910" s="2"/>
      <c r="W2910" s="2"/>
      <c r="X2910" s="2"/>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row>
    <row r="2911" spans="2:47" ht="14.25" customHeight="1" x14ac:dyDescent="0.3">
      <c r="B2911" s="3"/>
      <c r="Q2911" s="1"/>
      <c r="R2911" s="1"/>
      <c r="S2911" s="2"/>
      <c r="T2911" s="2">
        <v>2797</v>
      </c>
      <c r="U2911" s="48" t="s">
        <v>93</v>
      </c>
      <c r="V2911" s="2"/>
      <c r="W2911" s="2"/>
      <c r="X2911" s="2"/>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row>
    <row r="2912" spans="2:47" ht="14.25" customHeight="1" x14ac:dyDescent="0.3">
      <c r="B2912" s="3"/>
      <c r="Q2912" s="1"/>
      <c r="R2912" s="1"/>
      <c r="S2912" s="2"/>
      <c r="T2912" s="2">
        <v>2798</v>
      </c>
      <c r="U2912" s="48" t="s">
        <v>93</v>
      </c>
      <c r="V2912" s="2"/>
      <c r="W2912" s="2"/>
      <c r="X2912" s="2"/>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row>
    <row r="2913" spans="2:47" ht="14.25" customHeight="1" x14ac:dyDescent="0.3">
      <c r="B2913" s="3"/>
      <c r="Q2913" s="1"/>
      <c r="R2913" s="1"/>
      <c r="S2913" s="2"/>
      <c r="T2913" s="2">
        <v>2799</v>
      </c>
      <c r="U2913" s="48" t="s">
        <v>93</v>
      </c>
      <c r="V2913" s="2"/>
      <c r="W2913" s="2"/>
      <c r="X2913" s="2"/>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row>
    <row r="2914" spans="2:47" ht="14.25" customHeight="1" x14ac:dyDescent="0.3">
      <c r="B2914" s="3"/>
      <c r="Q2914" s="1"/>
      <c r="R2914" s="1"/>
      <c r="S2914" s="2"/>
      <c r="T2914" s="2">
        <v>2800</v>
      </c>
      <c r="U2914" s="48" t="s">
        <v>93</v>
      </c>
      <c r="V2914" s="2"/>
      <c r="W2914" s="2"/>
      <c r="X2914" s="2"/>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row>
    <row r="2915" spans="2:47" ht="14.25" customHeight="1" x14ac:dyDescent="0.3">
      <c r="B2915" s="3"/>
      <c r="Q2915" s="1"/>
      <c r="R2915" s="1"/>
      <c r="S2915" s="2"/>
      <c r="T2915" s="2">
        <v>2801</v>
      </c>
      <c r="U2915" s="48" t="s">
        <v>93</v>
      </c>
      <c r="V2915" s="2"/>
      <c r="W2915" s="2"/>
      <c r="X2915" s="2"/>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row>
    <row r="2916" spans="2:47" ht="14.25" customHeight="1" x14ac:dyDescent="0.3">
      <c r="B2916" s="3"/>
      <c r="Q2916" s="1"/>
      <c r="R2916" s="1"/>
      <c r="S2916" s="2"/>
      <c r="T2916" s="2">
        <v>2802</v>
      </c>
      <c r="U2916" s="48" t="s">
        <v>93</v>
      </c>
      <c r="V2916" s="2"/>
      <c r="W2916" s="2"/>
      <c r="X2916" s="2"/>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row>
    <row r="2917" spans="2:47" ht="14.25" customHeight="1" x14ac:dyDescent="0.3">
      <c r="B2917" s="3"/>
      <c r="Q2917" s="1"/>
      <c r="R2917" s="1"/>
      <c r="S2917" s="2"/>
      <c r="T2917" s="2">
        <v>2803</v>
      </c>
      <c r="U2917" s="48" t="s">
        <v>93</v>
      </c>
      <c r="V2917" s="2"/>
      <c r="W2917" s="2"/>
      <c r="X2917" s="2"/>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row>
    <row r="2918" spans="2:47" ht="14.25" customHeight="1" x14ac:dyDescent="0.3">
      <c r="B2918" s="3"/>
      <c r="Q2918" s="1"/>
      <c r="R2918" s="1"/>
      <c r="S2918" s="2"/>
      <c r="T2918" s="2">
        <v>2804</v>
      </c>
      <c r="U2918" s="48" t="s">
        <v>93</v>
      </c>
      <c r="V2918" s="2"/>
      <c r="W2918" s="2"/>
      <c r="X2918" s="2"/>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row>
    <row r="2919" spans="2:47" ht="14.25" customHeight="1" x14ac:dyDescent="0.3">
      <c r="B2919" s="3"/>
      <c r="Q2919" s="1"/>
      <c r="R2919" s="1"/>
      <c r="S2919" s="2"/>
      <c r="T2919" s="2">
        <v>2805</v>
      </c>
      <c r="U2919" s="48" t="s">
        <v>93</v>
      </c>
      <c r="V2919" s="2"/>
      <c r="W2919" s="2"/>
      <c r="X2919" s="2"/>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row>
    <row r="2920" spans="2:47" ht="14.25" customHeight="1" x14ac:dyDescent="0.3">
      <c r="B2920" s="3"/>
      <c r="Q2920" s="1"/>
      <c r="R2920" s="1"/>
      <c r="S2920" s="2"/>
      <c r="T2920" s="2">
        <v>2806</v>
      </c>
      <c r="U2920" s="48" t="s">
        <v>93</v>
      </c>
      <c r="V2920" s="2"/>
      <c r="W2920" s="2"/>
      <c r="X2920" s="2"/>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row>
    <row r="2921" spans="2:47" ht="14.25" customHeight="1" x14ac:dyDescent="0.3">
      <c r="B2921" s="3"/>
      <c r="Q2921" s="1"/>
      <c r="R2921" s="1"/>
      <c r="S2921" s="2"/>
      <c r="T2921" s="2">
        <v>2807</v>
      </c>
      <c r="U2921" s="48" t="s">
        <v>93</v>
      </c>
      <c r="V2921" s="2"/>
      <c r="W2921" s="2"/>
      <c r="X2921" s="2"/>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row>
    <row r="2922" spans="2:47" ht="14.25" customHeight="1" x14ac:dyDescent="0.3">
      <c r="B2922" s="3"/>
      <c r="Q2922" s="1"/>
      <c r="R2922" s="1"/>
      <c r="S2922" s="2"/>
      <c r="T2922" s="2">
        <v>2808</v>
      </c>
      <c r="U2922" s="48" t="s">
        <v>93</v>
      </c>
      <c r="V2922" s="2"/>
      <c r="W2922" s="2"/>
      <c r="X2922" s="2"/>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row>
    <row r="2923" spans="2:47" ht="14.25" customHeight="1" x14ac:dyDescent="0.3">
      <c r="B2923" s="3"/>
      <c r="Q2923" s="1"/>
      <c r="R2923" s="1"/>
      <c r="S2923" s="2"/>
      <c r="T2923" s="2">
        <v>2809</v>
      </c>
      <c r="U2923" s="48" t="s">
        <v>93</v>
      </c>
      <c r="V2923" s="2"/>
      <c r="W2923" s="2"/>
      <c r="X2923" s="2"/>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row>
    <row r="2924" spans="2:47" ht="14.25" customHeight="1" x14ac:dyDescent="0.3">
      <c r="B2924" s="3"/>
      <c r="Q2924" s="1"/>
      <c r="R2924" s="1"/>
      <c r="S2924" s="2"/>
      <c r="T2924" s="2">
        <v>2810</v>
      </c>
      <c r="U2924" s="48" t="s">
        <v>93</v>
      </c>
      <c r="V2924" s="2"/>
      <c r="W2924" s="2"/>
      <c r="X2924" s="2"/>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row>
    <row r="2925" spans="2:47" ht="14.25" customHeight="1" x14ac:dyDescent="0.3">
      <c r="B2925" s="3"/>
      <c r="Q2925" s="1"/>
      <c r="R2925" s="1"/>
      <c r="S2925" s="2"/>
      <c r="T2925" s="2">
        <v>2811</v>
      </c>
      <c r="U2925" s="48" t="s">
        <v>93</v>
      </c>
      <c r="V2925" s="2"/>
      <c r="W2925" s="2"/>
      <c r="X2925" s="2"/>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row>
    <row r="2926" spans="2:47" ht="14.25" customHeight="1" x14ac:dyDescent="0.3">
      <c r="B2926" s="3"/>
      <c r="Q2926" s="1"/>
      <c r="R2926" s="1"/>
      <c r="S2926" s="2"/>
      <c r="T2926" s="2">
        <v>2812</v>
      </c>
      <c r="U2926" s="48" t="s">
        <v>93</v>
      </c>
      <c r="V2926" s="2"/>
      <c r="W2926" s="2"/>
      <c r="X2926" s="2"/>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row>
    <row r="2927" spans="2:47" ht="14.25" customHeight="1" x14ac:dyDescent="0.3">
      <c r="B2927" s="3"/>
      <c r="Q2927" s="1"/>
      <c r="R2927" s="1"/>
      <c r="S2927" s="2"/>
      <c r="T2927" s="2">
        <v>2813</v>
      </c>
      <c r="U2927" s="48" t="s">
        <v>93</v>
      </c>
      <c r="V2927" s="2"/>
      <c r="W2927" s="2"/>
      <c r="X2927" s="2"/>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row>
    <row r="2928" spans="2:47" ht="14.25" customHeight="1" x14ac:dyDescent="0.3">
      <c r="B2928" s="3"/>
      <c r="Q2928" s="1"/>
      <c r="R2928" s="1"/>
      <c r="S2928" s="2"/>
      <c r="T2928" s="2">
        <v>2814</v>
      </c>
      <c r="U2928" s="48" t="s">
        <v>93</v>
      </c>
      <c r="V2928" s="2"/>
      <c r="W2928" s="2"/>
      <c r="X2928" s="2"/>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row>
    <row r="2929" spans="2:47" ht="14.25" customHeight="1" x14ac:dyDescent="0.3">
      <c r="B2929" s="3"/>
      <c r="Q2929" s="1"/>
      <c r="R2929" s="1"/>
      <c r="S2929" s="2"/>
      <c r="T2929" s="2">
        <v>2815</v>
      </c>
      <c r="U2929" s="48" t="s">
        <v>93</v>
      </c>
      <c r="V2929" s="2"/>
      <c r="W2929" s="2"/>
      <c r="X2929" s="2"/>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row>
    <row r="2930" spans="2:47" ht="14.25" customHeight="1" x14ac:dyDescent="0.3">
      <c r="B2930" s="3"/>
      <c r="Q2930" s="1"/>
      <c r="R2930" s="1"/>
      <c r="S2930" s="2"/>
      <c r="T2930" s="2">
        <v>2816</v>
      </c>
      <c r="U2930" s="48" t="s">
        <v>93</v>
      </c>
      <c r="V2930" s="2"/>
      <c r="W2930" s="2"/>
      <c r="X2930" s="2"/>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row>
    <row r="2931" spans="2:47" ht="14.25" customHeight="1" x14ac:dyDescent="0.3">
      <c r="B2931" s="3"/>
      <c r="Q2931" s="1"/>
      <c r="R2931" s="1"/>
      <c r="S2931" s="2"/>
      <c r="T2931" s="2">
        <v>2817</v>
      </c>
      <c r="U2931" s="48" t="s">
        <v>93</v>
      </c>
      <c r="V2931" s="2"/>
      <c r="W2931" s="2"/>
      <c r="X2931" s="2"/>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row>
    <row r="2932" spans="2:47" ht="14.25" customHeight="1" x14ac:dyDescent="0.3">
      <c r="B2932" s="3"/>
      <c r="Q2932" s="1"/>
      <c r="R2932" s="1"/>
      <c r="S2932" s="2"/>
      <c r="T2932" s="2">
        <v>2818</v>
      </c>
      <c r="U2932" s="48" t="s">
        <v>93</v>
      </c>
      <c r="V2932" s="2"/>
      <c r="W2932" s="2"/>
      <c r="X2932" s="2"/>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row>
    <row r="2933" spans="2:47" ht="14.25" customHeight="1" x14ac:dyDescent="0.3">
      <c r="B2933" s="3"/>
      <c r="Q2933" s="1"/>
      <c r="R2933" s="1"/>
      <c r="S2933" s="2"/>
      <c r="T2933" s="2">
        <v>2819</v>
      </c>
      <c r="U2933" s="48" t="s">
        <v>93</v>
      </c>
      <c r="V2933" s="2"/>
      <c r="W2933" s="2"/>
      <c r="X2933" s="2"/>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row>
    <row r="2934" spans="2:47" ht="14.25" customHeight="1" x14ac:dyDescent="0.3">
      <c r="B2934" s="3"/>
      <c r="Q2934" s="1"/>
      <c r="R2934" s="1"/>
      <c r="S2934" s="2"/>
      <c r="T2934" s="2">
        <v>2820</v>
      </c>
      <c r="U2934" s="48" t="s">
        <v>93</v>
      </c>
      <c r="V2934" s="2"/>
      <c r="W2934" s="2"/>
      <c r="X2934" s="2"/>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row>
    <row r="2935" spans="2:47" ht="14.25" customHeight="1" x14ac:dyDescent="0.3">
      <c r="B2935" s="3"/>
      <c r="Q2935" s="1"/>
      <c r="R2935" s="1"/>
      <c r="S2935" s="2"/>
      <c r="T2935" s="2">
        <v>2821</v>
      </c>
      <c r="U2935" s="48" t="s">
        <v>93</v>
      </c>
      <c r="V2935" s="2"/>
      <c r="W2935" s="2"/>
      <c r="X2935" s="2"/>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row>
    <row r="2936" spans="2:47" ht="14.25" customHeight="1" x14ac:dyDescent="0.3">
      <c r="B2936" s="3"/>
      <c r="Q2936" s="1"/>
      <c r="R2936" s="1"/>
      <c r="S2936" s="2"/>
      <c r="T2936" s="2">
        <v>2822</v>
      </c>
      <c r="U2936" s="48" t="s">
        <v>93</v>
      </c>
      <c r="V2936" s="2"/>
      <c r="W2936" s="2"/>
      <c r="X2936" s="2"/>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row>
    <row r="2937" spans="2:47" ht="14.25" customHeight="1" x14ac:dyDescent="0.3">
      <c r="B2937" s="3"/>
      <c r="Q2937" s="1"/>
      <c r="R2937" s="1"/>
      <c r="S2937" s="2"/>
      <c r="T2937" s="2">
        <v>2823</v>
      </c>
      <c r="U2937" s="48" t="s">
        <v>93</v>
      </c>
      <c r="V2937" s="2"/>
      <c r="W2937" s="2"/>
      <c r="X2937" s="2"/>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row>
    <row r="2938" spans="2:47" ht="14.25" customHeight="1" x14ac:dyDescent="0.3">
      <c r="B2938" s="3"/>
      <c r="Q2938" s="1"/>
      <c r="R2938" s="1"/>
      <c r="S2938" s="2"/>
      <c r="T2938" s="2">
        <v>2824</v>
      </c>
      <c r="U2938" s="48" t="s">
        <v>93</v>
      </c>
      <c r="V2938" s="2"/>
      <c r="W2938" s="2"/>
      <c r="X2938" s="2"/>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row>
    <row r="2939" spans="2:47" ht="14.25" customHeight="1" x14ac:dyDescent="0.3">
      <c r="B2939" s="3"/>
      <c r="Q2939" s="1"/>
      <c r="R2939" s="1"/>
      <c r="S2939" s="2"/>
      <c r="T2939" s="2">
        <v>2825</v>
      </c>
      <c r="U2939" s="48" t="s">
        <v>93</v>
      </c>
      <c r="V2939" s="2"/>
      <c r="W2939" s="2"/>
      <c r="X2939" s="2"/>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row>
    <row r="2940" spans="2:47" ht="14.25" customHeight="1" x14ac:dyDescent="0.3">
      <c r="B2940" s="3"/>
      <c r="Q2940" s="1"/>
      <c r="R2940" s="1"/>
      <c r="S2940" s="2"/>
      <c r="T2940" s="2">
        <v>2826</v>
      </c>
      <c r="U2940" s="48" t="s">
        <v>93</v>
      </c>
      <c r="V2940" s="2"/>
      <c r="W2940" s="2"/>
      <c r="X2940" s="2"/>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row>
    <row r="2941" spans="2:47" ht="14.25" customHeight="1" x14ac:dyDescent="0.3">
      <c r="B2941" s="3"/>
      <c r="Q2941" s="1"/>
      <c r="R2941" s="1"/>
      <c r="S2941" s="2"/>
      <c r="T2941" s="2">
        <v>2827</v>
      </c>
      <c r="U2941" s="48" t="s">
        <v>93</v>
      </c>
      <c r="V2941" s="2"/>
      <c r="W2941" s="2"/>
      <c r="X2941" s="2"/>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row>
    <row r="2942" spans="2:47" ht="14.25" customHeight="1" x14ac:dyDescent="0.3">
      <c r="B2942" s="3"/>
      <c r="Q2942" s="1"/>
      <c r="R2942" s="1"/>
      <c r="S2942" s="2"/>
      <c r="T2942" s="2">
        <v>2828</v>
      </c>
      <c r="U2942" s="48" t="s">
        <v>93</v>
      </c>
      <c r="V2942" s="2"/>
      <c r="W2942" s="2"/>
      <c r="X2942" s="2"/>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row>
    <row r="2943" spans="2:47" ht="14.25" customHeight="1" x14ac:dyDescent="0.3">
      <c r="B2943" s="3"/>
      <c r="Q2943" s="1"/>
      <c r="R2943" s="1"/>
      <c r="S2943" s="2"/>
      <c r="T2943" s="2">
        <v>2829</v>
      </c>
      <c r="U2943" s="48" t="s">
        <v>93</v>
      </c>
      <c r="V2943" s="2"/>
      <c r="W2943" s="2"/>
      <c r="X2943" s="2"/>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row>
    <row r="2944" spans="2:47" ht="14.25" customHeight="1" x14ac:dyDescent="0.3">
      <c r="B2944" s="3"/>
      <c r="Q2944" s="1"/>
      <c r="R2944" s="1"/>
      <c r="S2944" s="2"/>
      <c r="T2944" s="2">
        <v>2830</v>
      </c>
      <c r="U2944" s="48" t="s">
        <v>93</v>
      </c>
      <c r="V2944" s="2"/>
      <c r="W2944" s="2"/>
      <c r="X2944" s="2"/>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row>
    <row r="2945" spans="2:47" ht="14.25" customHeight="1" x14ac:dyDescent="0.3">
      <c r="B2945" s="3"/>
      <c r="Q2945" s="1"/>
      <c r="R2945" s="1"/>
      <c r="S2945" s="2"/>
      <c r="T2945" s="2">
        <v>2831</v>
      </c>
      <c r="U2945" s="48" t="s">
        <v>93</v>
      </c>
      <c r="V2945" s="2"/>
      <c r="W2945" s="2"/>
      <c r="X2945" s="2"/>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row>
    <row r="2946" spans="2:47" ht="14.25" customHeight="1" x14ac:dyDescent="0.3">
      <c r="B2946" s="3"/>
      <c r="Q2946" s="1"/>
      <c r="R2946" s="1"/>
      <c r="S2946" s="2"/>
      <c r="T2946" s="2">
        <v>2832</v>
      </c>
      <c r="U2946" s="48" t="s">
        <v>93</v>
      </c>
      <c r="V2946" s="2"/>
      <c r="W2946" s="2"/>
      <c r="X2946" s="2"/>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row>
    <row r="2947" spans="2:47" ht="14.25" customHeight="1" x14ac:dyDescent="0.3">
      <c r="B2947" s="3"/>
      <c r="Q2947" s="1"/>
      <c r="R2947" s="1"/>
      <c r="S2947" s="2"/>
      <c r="T2947" s="2">
        <v>2833</v>
      </c>
      <c r="U2947" s="48" t="s">
        <v>93</v>
      </c>
      <c r="V2947" s="2"/>
      <c r="W2947" s="2"/>
      <c r="X2947" s="2"/>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row>
    <row r="2948" spans="2:47" ht="14.25" customHeight="1" x14ac:dyDescent="0.3">
      <c r="B2948" s="3"/>
      <c r="Q2948" s="1"/>
      <c r="R2948" s="1"/>
      <c r="S2948" s="2"/>
      <c r="T2948" s="2">
        <v>2834</v>
      </c>
      <c r="U2948" s="48" t="s">
        <v>93</v>
      </c>
      <c r="V2948" s="2"/>
      <c r="W2948" s="2"/>
      <c r="X2948" s="2"/>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row>
    <row r="2949" spans="2:47" ht="14.25" customHeight="1" x14ac:dyDescent="0.3">
      <c r="B2949" s="3"/>
      <c r="Q2949" s="1"/>
      <c r="R2949" s="1"/>
      <c r="S2949" s="2"/>
      <c r="T2949" s="2">
        <v>2835</v>
      </c>
      <c r="U2949" s="48" t="s">
        <v>93</v>
      </c>
      <c r="V2949" s="2"/>
      <c r="W2949" s="2"/>
      <c r="X2949" s="2"/>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row>
    <row r="2950" spans="2:47" ht="14.25" customHeight="1" x14ac:dyDescent="0.3">
      <c r="B2950" s="3"/>
      <c r="Q2950" s="1"/>
      <c r="R2950" s="1"/>
      <c r="S2950" s="2"/>
      <c r="T2950" s="2">
        <v>2836</v>
      </c>
      <c r="U2950" s="48" t="s">
        <v>93</v>
      </c>
      <c r="V2950" s="2"/>
      <c r="W2950" s="2"/>
      <c r="X2950" s="2"/>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row>
    <row r="2951" spans="2:47" ht="14.25" customHeight="1" x14ac:dyDescent="0.3">
      <c r="B2951" s="3"/>
      <c r="Q2951" s="1"/>
      <c r="R2951" s="1"/>
      <c r="S2951" s="2"/>
      <c r="T2951" s="2">
        <v>2837</v>
      </c>
      <c r="U2951" s="48" t="s">
        <v>93</v>
      </c>
      <c r="V2951" s="2"/>
      <c r="W2951" s="2"/>
      <c r="X2951" s="2"/>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row>
    <row r="2952" spans="2:47" ht="14.25" customHeight="1" x14ac:dyDescent="0.3">
      <c r="B2952" s="3"/>
      <c r="Q2952" s="1"/>
      <c r="R2952" s="1"/>
      <c r="S2952" s="2"/>
      <c r="T2952" s="2">
        <v>2838</v>
      </c>
      <c r="U2952" s="48" t="s">
        <v>93</v>
      </c>
      <c r="V2952" s="2"/>
      <c r="W2952" s="2"/>
      <c r="X2952" s="2"/>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row>
    <row r="2953" spans="2:47" ht="14.25" customHeight="1" x14ac:dyDescent="0.3">
      <c r="B2953" s="3"/>
      <c r="Q2953" s="1"/>
      <c r="R2953" s="1"/>
      <c r="S2953" s="2"/>
      <c r="T2953" s="2">
        <v>2839</v>
      </c>
      <c r="U2953" s="48" t="s">
        <v>93</v>
      </c>
      <c r="V2953" s="2"/>
      <c r="W2953" s="2"/>
      <c r="X2953" s="2"/>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row>
    <row r="2954" spans="2:47" ht="14.25" customHeight="1" x14ac:dyDescent="0.3">
      <c r="B2954" s="3"/>
      <c r="Q2954" s="1"/>
      <c r="R2954" s="1"/>
      <c r="S2954" s="2"/>
      <c r="T2954" s="2">
        <v>2840</v>
      </c>
      <c r="U2954" s="48" t="s">
        <v>93</v>
      </c>
      <c r="V2954" s="2"/>
      <c r="W2954" s="2"/>
      <c r="X2954" s="2"/>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row>
    <row r="2955" spans="2:47" ht="14.25" customHeight="1" x14ac:dyDescent="0.3">
      <c r="B2955" s="3"/>
      <c r="Q2955" s="1"/>
      <c r="R2955" s="1"/>
      <c r="S2955" s="2"/>
      <c r="T2955" s="2">
        <v>2841</v>
      </c>
      <c r="U2955" s="48" t="s">
        <v>93</v>
      </c>
      <c r="V2955" s="2"/>
      <c r="W2955" s="2"/>
      <c r="X2955" s="2"/>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row>
    <row r="2956" spans="2:47" ht="14.25" customHeight="1" x14ac:dyDescent="0.3">
      <c r="B2956" s="3"/>
      <c r="Q2956" s="1"/>
      <c r="R2956" s="1"/>
      <c r="S2956" s="2"/>
      <c r="T2956" s="2">
        <v>2842</v>
      </c>
      <c r="U2956" s="48" t="s">
        <v>93</v>
      </c>
      <c r="V2956" s="2"/>
      <c r="W2956" s="2"/>
      <c r="X2956" s="2"/>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row>
    <row r="2957" spans="2:47" ht="14.25" customHeight="1" x14ac:dyDescent="0.3">
      <c r="B2957" s="3"/>
      <c r="Q2957" s="1"/>
      <c r="R2957" s="1"/>
      <c r="S2957" s="2"/>
      <c r="T2957" s="2">
        <v>2843</v>
      </c>
      <c r="U2957" s="48" t="s">
        <v>93</v>
      </c>
      <c r="V2957" s="2"/>
      <c r="W2957" s="2"/>
      <c r="X2957" s="2"/>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row>
    <row r="2958" spans="2:47" ht="14.25" customHeight="1" x14ac:dyDescent="0.3">
      <c r="B2958" s="3"/>
      <c r="Q2958" s="1"/>
      <c r="R2958" s="1"/>
      <c r="S2958" s="2"/>
      <c r="T2958" s="2">
        <v>2844</v>
      </c>
      <c r="U2958" s="48" t="s">
        <v>93</v>
      </c>
      <c r="V2958" s="2"/>
      <c r="W2958" s="2"/>
      <c r="X2958" s="2"/>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row>
    <row r="2959" spans="2:47" ht="14.25" customHeight="1" x14ac:dyDescent="0.3">
      <c r="B2959" s="3"/>
      <c r="Q2959" s="1"/>
      <c r="R2959" s="1"/>
      <c r="S2959" s="2"/>
      <c r="T2959" s="2">
        <v>2845</v>
      </c>
      <c r="U2959" s="48" t="s">
        <v>93</v>
      </c>
      <c r="V2959" s="2"/>
      <c r="W2959" s="2"/>
      <c r="X2959" s="2"/>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row>
    <row r="2960" spans="2:47" ht="14.25" customHeight="1" x14ac:dyDescent="0.3">
      <c r="B2960" s="3"/>
      <c r="Q2960" s="1"/>
      <c r="R2960" s="1"/>
      <c r="S2960" s="2"/>
      <c r="T2960" s="2">
        <v>2846</v>
      </c>
      <c r="U2960" s="48" t="s">
        <v>93</v>
      </c>
      <c r="V2960" s="2"/>
      <c r="W2960" s="2"/>
      <c r="X2960" s="2"/>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row>
    <row r="2961" spans="2:47" ht="14.25" customHeight="1" x14ac:dyDescent="0.3">
      <c r="B2961" s="3"/>
      <c r="Q2961" s="1"/>
      <c r="R2961" s="1"/>
      <c r="S2961" s="2"/>
      <c r="T2961" s="2">
        <v>2847</v>
      </c>
      <c r="U2961" s="48" t="s">
        <v>93</v>
      </c>
      <c r="V2961" s="2"/>
      <c r="W2961" s="2"/>
      <c r="X2961" s="2"/>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row>
    <row r="2962" spans="2:47" ht="14.25" customHeight="1" x14ac:dyDescent="0.3">
      <c r="B2962" s="3"/>
      <c r="Q2962" s="1"/>
      <c r="R2962" s="1"/>
      <c r="S2962" s="2"/>
      <c r="T2962" s="2">
        <v>2848</v>
      </c>
      <c r="U2962" s="48" t="s">
        <v>93</v>
      </c>
      <c r="V2962" s="2"/>
      <c r="W2962" s="2"/>
      <c r="X2962" s="2"/>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row>
    <row r="2963" spans="2:47" ht="14.25" customHeight="1" x14ac:dyDescent="0.3">
      <c r="B2963" s="3"/>
      <c r="Q2963" s="1"/>
      <c r="R2963" s="1"/>
      <c r="S2963" s="2"/>
      <c r="T2963" s="2">
        <v>2849</v>
      </c>
      <c r="U2963" s="48" t="s">
        <v>93</v>
      </c>
      <c r="V2963" s="2"/>
      <c r="W2963" s="2"/>
      <c r="X2963" s="2"/>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row>
    <row r="2964" spans="2:47" ht="14.25" customHeight="1" x14ac:dyDescent="0.3">
      <c r="B2964" s="3"/>
      <c r="Q2964" s="1"/>
      <c r="R2964" s="1"/>
      <c r="S2964" s="2"/>
      <c r="T2964" s="2">
        <v>2850</v>
      </c>
      <c r="U2964" s="48" t="s">
        <v>93</v>
      </c>
      <c r="V2964" s="2"/>
      <c r="W2964" s="2"/>
      <c r="X2964" s="2"/>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row>
    <row r="2965" spans="2:47" ht="14.25" customHeight="1" x14ac:dyDescent="0.3">
      <c r="B2965" s="3"/>
      <c r="Q2965" s="1"/>
      <c r="R2965" s="1"/>
      <c r="S2965" s="2"/>
      <c r="T2965" s="2">
        <v>2851</v>
      </c>
      <c r="U2965" s="48" t="s">
        <v>93</v>
      </c>
      <c r="V2965" s="2"/>
      <c r="W2965" s="2"/>
      <c r="X2965" s="2"/>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row>
    <row r="2966" spans="2:47" ht="14.25" customHeight="1" x14ac:dyDescent="0.3">
      <c r="B2966" s="3"/>
      <c r="Q2966" s="1"/>
      <c r="R2966" s="1"/>
      <c r="S2966" s="2"/>
      <c r="T2966" s="2">
        <v>2852</v>
      </c>
      <c r="U2966" s="48" t="s">
        <v>93</v>
      </c>
      <c r="V2966" s="2"/>
      <c r="W2966" s="2"/>
      <c r="X2966" s="2"/>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row>
    <row r="2967" spans="2:47" ht="14.25" customHeight="1" x14ac:dyDescent="0.3">
      <c r="B2967" s="3"/>
      <c r="Q2967" s="1"/>
      <c r="R2967" s="1"/>
      <c r="S2967" s="2"/>
      <c r="T2967" s="2">
        <v>2853</v>
      </c>
      <c r="U2967" s="48" t="s">
        <v>93</v>
      </c>
      <c r="V2967" s="2"/>
      <c r="W2967" s="2"/>
      <c r="X2967" s="2"/>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row>
    <row r="2968" spans="2:47" ht="14.25" customHeight="1" x14ac:dyDescent="0.3">
      <c r="B2968" s="3"/>
      <c r="Q2968" s="1"/>
      <c r="R2968" s="1"/>
      <c r="S2968" s="2"/>
      <c r="T2968" s="2">
        <v>2854</v>
      </c>
      <c r="U2968" s="48" t="s">
        <v>93</v>
      </c>
      <c r="V2968" s="2"/>
      <c r="W2968" s="2"/>
      <c r="X2968" s="2"/>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row>
    <row r="2969" spans="2:47" ht="14.25" customHeight="1" x14ac:dyDescent="0.3">
      <c r="B2969" s="3"/>
      <c r="Q2969" s="1"/>
      <c r="R2969" s="1"/>
      <c r="S2969" s="2"/>
      <c r="T2969" s="2">
        <v>2855</v>
      </c>
      <c r="U2969" s="48" t="s">
        <v>93</v>
      </c>
      <c r="V2969" s="2"/>
      <c r="W2969" s="2"/>
      <c r="X2969" s="2"/>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row>
    <row r="2970" spans="2:47" ht="14.25" customHeight="1" x14ac:dyDescent="0.3">
      <c r="B2970" s="3"/>
      <c r="Q2970" s="1"/>
      <c r="R2970" s="1"/>
      <c r="S2970" s="2"/>
      <c r="T2970" s="2">
        <v>2856</v>
      </c>
      <c r="U2970" s="48" t="s">
        <v>93</v>
      </c>
      <c r="V2970" s="2"/>
      <c r="W2970" s="2"/>
      <c r="X2970" s="2"/>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row>
    <row r="2971" spans="2:47" ht="14.25" customHeight="1" x14ac:dyDescent="0.3">
      <c r="B2971" s="3"/>
      <c r="Q2971" s="1"/>
      <c r="R2971" s="1"/>
      <c r="S2971" s="2"/>
      <c r="T2971" s="2">
        <v>2857</v>
      </c>
      <c r="U2971" s="48" t="s">
        <v>93</v>
      </c>
      <c r="V2971" s="2"/>
      <c r="W2971" s="2"/>
      <c r="X2971" s="2"/>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row>
    <row r="2972" spans="2:47" ht="14.25" customHeight="1" x14ac:dyDescent="0.3">
      <c r="B2972" s="3"/>
      <c r="Q2972" s="1"/>
      <c r="R2972" s="1"/>
      <c r="S2972" s="2"/>
      <c r="T2972" s="2">
        <v>2858</v>
      </c>
      <c r="U2972" s="48" t="s">
        <v>93</v>
      </c>
      <c r="V2972" s="2"/>
      <c r="W2972" s="2"/>
      <c r="X2972" s="2"/>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row>
    <row r="2973" spans="2:47" ht="14.25" customHeight="1" x14ac:dyDescent="0.3">
      <c r="B2973" s="3"/>
      <c r="Q2973" s="1"/>
      <c r="R2973" s="1"/>
      <c r="S2973" s="2"/>
      <c r="T2973" s="2">
        <v>2859</v>
      </c>
      <c r="U2973" s="48" t="s">
        <v>93</v>
      </c>
      <c r="V2973" s="2"/>
      <c r="W2973" s="2"/>
      <c r="X2973" s="2"/>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row>
    <row r="2974" spans="2:47" ht="14.25" customHeight="1" x14ac:dyDescent="0.3">
      <c r="B2974" s="3"/>
      <c r="Q2974" s="1"/>
      <c r="R2974" s="1"/>
      <c r="S2974" s="2"/>
      <c r="T2974" s="2">
        <v>2860</v>
      </c>
      <c r="U2974" s="48" t="s">
        <v>93</v>
      </c>
      <c r="V2974" s="2"/>
      <c r="W2974" s="2"/>
      <c r="X2974" s="2"/>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row>
    <row r="2975" spans="2:47" ht="14.25" customHeight="1" x14ac:dyDescent="0.3">
      <c r="B2975" s="3"/>
      <c r="Q2975" s="1"/>
      <c r="R2975" s="1"/>
      <c r="S2975" s="2"/>
      <c r="T2975" s="2">
        <v>2861</v>
      </c>
      <c r="U2975" s="48" t="s">
        <v>93</v>
      </c>
      <c r="V2975" s="2"/>
      <c r="W2975" s="2"/>
      <c r="X2975" s="2"/>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row>
    <row r="2976" spans="2:47" ht="14.25" customHeight="1" x14ac:dyDescent="0.3">
      <c r="B2976" s="3"/>
      <c r="Q2976" s="1"/>
      <c r="R2976" s="1"/>
      <c r="S2976" s="2"/>
      <c r="T2976" s="2">
        <v>2862</v>
      </c>
      <c r="U2976" s="48" t="s">
        <v>93</v>
      </c>
      <c r="V2976" s="2"/>
      <c r="W2976" s="2"/>
      <c r="X2976" s="2"/>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row>
    <row r="2977" spans="2:47" ht="14.25" customHeight="1" x14ac:dyDescent="0.3">
      <c r="B2977" s="3"/>
      <c r="Q2977" s="1"/>
      <c r="R2977" s="1"/>
      <c r="S2977" s="2"/>
      <c r="T2977" s="2">
        <v>2863</v>
      </c>
      <c r="U2977" s="48" t="s">
        <v>93</v>
      </c>
      <c r="V2977" s="2"/>
      <c r="W2977" s="2"/>
      <c r="X2977" s="2"/>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row>
    <row r="2978" spans="2:47" ht="14.25" customHeight="1" x14ac:dyDescent="0.3">
      <c r="B2978" s="3"/>
      <c r="Q2978" s="1"/>
      <c r="R2978" s="1"/>
      <c r="S2978" s="2"/>
      <c r="T2978" s="2">
        <v>2864</v>
      </c>
      <c r="U2978" s="48" t="s">
        <v>93</v>
      </c>
      <c r="V2978" s="2"/>
      <c r="W2978" s="2"/>
      <c r="X2978" s="2"/>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row>
    <row r="2979" spans="2:47" ht="14.25" customHeight="1" x14ac:dyDescent="0.3">
      <c r="B2979" s="3"/>
      <c r="Q2979" s="1"/>
      <c r="R2979" s="1"/>
      <c r="S2979" s="2"/>
      <c r="T2979" s="2">
        <v>2865</v>
      </c>
      <c r="U2979" s="48" t="s">
        <v>93</v>
      </c>
      <c r="V2979" s="2"/>
      <c r="W2979" s="2"/>
      <c r="X2979" s="2"/>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row>
    <row r="2980" spans="2:47" ht="14.25" customHeight="1" x14ac:dyDescent="0.3">
      <c r="B2980" s="3"/>
      <c r="Q2980" s="1"/>
      <c r="R2980" s="1"/>
      <c r="S2980" s="2"/>
      <c r="T2980" s="2">
        <v>2866</v>
      </c>
      <c r="U2980" s="48" t="s">
        <v>93</v>
      </c>
      <c r="V2980" s="2"/>
      <c r="W2980" s="2"/>
      <c r="X2980" s="2"/>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row>
    <row r="2981" spans="2:47" ht="14.25" customHeight="1" x14ac:dyDescent="0.3">
      <c r="B2981" s="3"/>
      <c r="Q2981" s="1"/>
      <c r="R2981" s="1"/>
      <c r="S2981" s="2"/>
      <c r="T2981" s="2">
        <v>2867</v>
      </c>
      <c r="U2981" s="48" t="s">
        <v>93</v>
      </c>
      <c r="V2981" s="2"/>
      <c r="W2981" s="2"/>
      <c r="X2981" s="2"/>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row>
    <row r="2982" spans="2:47" ht="14.25" customHeight="1" x14ac:dyDescent="0.3">
      <c r="B2982" s="3"/>
      <c r="Q2982" s="1"/>
      <c r="R2982" s="1"/>
      <c r="S2982" s="2"/>
      <c r="T2982" s="2">
        <v>2868</v>
      </c>
      <c r="U2982" s="48" t="s">
        <v>93</v>
      </c>
      <c r="V2982" s="2"/>
      <c r="W2982" s="2"/>
      <c r="X2982" s="2"/>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row>
    <row r="2983" spans="2:47" ht="14.25" customHeight="1" x14ac:dyDescent="0.3">
      <c r="B2983" s="3"/>
      <c r="Q2983" s="1"/>
      <c r="R2983" s="1"/>
      <c r="S2983" s="2"/>
      <c r="T2983" s="2">
        <v>2869</v>
      </c>
      <c r="U2983" s="48" t="s">
        <v>93</v>
      </c>
      <c r="V2983" s="2"/>
      <c r="W2983" s="2"/>
      <c r="X2983" s="2"/>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row>
    <row r="2984" spans="2:47" ht="14.25" customHeight="1" x14ac:dyDescent="0.3">
      <c r="B2984" s="3"/>
      <c r="Q2984" s="1"/>
      <c r="R2984" s="1"/>
      <c r="S2984" s="2"/>
      <c r="T2984" s="2">
        <v>2870</v>
      </c>
      <c r="U2984" s="48" t="s">
        <v>93</v>
      </c>
      <c r="V2984" s="2"/>
      <c r="W2984" s="2"/>
      <c r="X2984" s="2"/>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row>
    <row r="2985" spans="2:47" ht="14.25" customHeight="1" x14ac:dyDescent="0.3">
      <c r="B2985" s="3"/>
      <c r="Q2985" s="1"/>
      <c r="R2985" s="1"/>
      <c r="S2985" s="2"/>
      <c r="T2985" s="2">
        <v>2871</v>
      </c>
      <c r="U2985" s="48" t="s">
        <v>93</v>
      </c>
      <c r="V2985" s="2"/>
      <c r="W2985" s="2"/>
      <c r="X2985" s="2"/>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row>
    <row r="2986" spans="2:47" ht="14.25" customHeight="1" x14ac:dyDescent="0.3">
      <c r="B2986" s="3"/>
      <c r="Q2986" s="1"/>
      <c r="R2986" s="1"/>
      <c r="S2986" s="2"/>
      <c r="T2986" s="2">
        <v>2872</v>
      </c>
      <c r="U2986" s="48" t="s">
        <v>93</v>
      </c>
      <c r="V2986" s="2"/>
      <c r="W2986" s="2"/>
      <c r="X2986" s="2"/>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row>
    <row r="2987" spans="2:47" ht="14.25" customHeight="1" x14ac:dyDescent="0.3">
      <c r="B2987" s="3"/>
      <c r="Q2987" s="1"/>
      <c r="R2987" s="1"/>
      <c r="S2987" s="2"/>
      <c r="T2987" s="2">
        <v>2873</v>
      </c>
      <c r="U2987" s="48" t="s">
        <v>93</v>
      </c>
      <c r="V2987" s="2"/>
      <c r="W2987" s="2"/>
      <c r="X2987" s="2"/>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row>
    <row r="2988" spans="2:47" ht="14.25" customHeight="1" x14ac:dyDescent="0.3">
      <c r="B2988" s="3"/>
      <c r="Q2988" s="1"/>
      <c r="R2988" s="1"/>
      <c r="S2988" s="2"/>
      <c r="T2988" s="2">
        <v>2874</v>
      </c>
      <c r="U2988" s="48" t="s">
        <v>93</v>
      </c>
      <c r="V2988" s="2"/>
      <c r="W2988" s="2"/>
      <c r="X2988" s="2"/>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row>
    <row r="2989" spans="2:47" ht="14.25" customHeight="1" x14ac:dyDescent="0.3">
      <c r="B2989" s="3"/>
      <c r="Q2989" s="1"/>
      <c r="R2989" s="1"/>
      <c r="S2989" s="2"/>
      <c r="T2989" s="2">
        <v>2875</v>
      </c>
      <c r="U2989" s="48" t="s">
        <v>93</v>
      </c>
      <c r="V2989" s="2"/>
      <c r="W2989" s="2"/>
      <c r="X2989" s="2"/>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row>
    <row r="2990" spans="2:47" ht="14.25" customHeight="1" x14ac:dyDescent="0.3">
      <c r="B2990" s="3"/>
      <c r="Q2990" s="1"/>
      <c r="R2990" s="1"/>
      <c r="S2990" s="2"/>
      <c r="T2990" s="2">
        <v>2876</v>
      </c>
      <c r="U2990" s="48" t="s">
        <v>93</v>
      </c>
      <c r="V2990" s="2"/>
      <c r="W2990" s="2"/>
      <c r="X2990" s="2"/>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row>
    <row r="2991" spans="2:47" ht="14.25" customHeight="1" x14ac:dyDescent="0.3">
      <c r="B2991" s="3"/>
      <c r="Q2991" s="1"/>
      <c r="R2991" s="1"/>
      <c r="S2991" s="2"/>
      <c r="T2991" s="2">
        <v>2877</v>
      </c>
      <c r="U2991" s="48" t="s">
        <v>93</v>
      </c>
      <c r="V2991" s="2"/>
      <c r="W2991" s="2"/>
      <c r="X2991" s="2"/>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row>
    <row r="2992" spans="2:47" ht="14.25" customHeight="1" x14ac:dyDescent="0.3">
      <c r="B2992" s="3"/>
      <c r="Q2992" s="1"/>
      <c r="R2992" s="1"/>
      <c r="S2992" s="2"/>
      <c r="T2992" s="2">
        <v>2878</v>
      </c>
      <c r="U2992" s="48" t="s">
        <v>93</v>
      </c>
      <c r="V2992" s="2"/>
      <c r="W2992" s="2"/>
      <c r="X2992" s="2"/>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row>
    <row r="2993" spans="2:47" ht="14.25" customHeight="1" x14ac:dyDescent="0.3">
      <c r="B2993" s="3"/>
      <c r="Q2993" s="1"/>
      <c r="R2993" s="1"/>
      <c r="S2993" s="2"/>
      <c r="T2993" s="2">
        <v>2879</v>
      </c>
      <c r="U2993" s="48" t="s">
        <v>93</v>
      </c>
      <c r="V2993" s="2"/>
      <c r="W2993" s="2"/>
      <c r="X2993" s="2"/>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row>
    <row r="2994" spans="2:47" ht="14.25" customHeight="1" x14ac:dyDescent="0.3">
      <c r="B2994" s="3"/>
      <c r="Q2994" s="1"/>
      <c r="R2994" s="1"/>
      <c r="S2994" s="2"/>
      <c r="T2994" s="2">
        <v>2880</v>
      </c>
      <c r="U2994" s="48" t="s">
        <v>93</v>
      </c>
      <c r="V2994" s="2"/>
      <c r="W2994" s="2"/>
      <c r="X2994" s="2"/>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row>
    <row r="2995" spans="2:47" ht="14.25" customHeight="1" x14ac:dyDescent="0.3">
      <c r="B2995" s="3"/>
      <c r="Q2995" s="1"/>
      <c r="R2995" s="1"/>
      <c r="S2995" s="2"/>
      <c r="T2995" s="2">
        <v>2881</v>
      </c>
      <c r="U2995" s="48" t="s">
        <v>93</v>
      </c>
      <c r="V2995" s="2"/>
      <c r="W2995" s="2"/>
      <c r="X2995" s="2"/>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row>
    <row r="2996" spans="2:47" ht="14.25" customHeight="1" x14ac:dyDescent="0.3">
      <c r="B2996" s="3"/>
      <c r="Q2996" s="1"/>
      <c r="R2996" s="1"/>
      <c r="S2996" s="2"/>
      <c r="T2996" s="2">
        <v>2882</v>
      </c>
      <c r="U2996" s="48" t="s">
        <v>93</v>
      </c>
      <c r="V2996" s="2"/>
      <c r="W2996" s="2"/>
      <c r="X2996" s="2"/>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row>
    <row r="2997" spans="2:47" ht="14.25" customHeight="1" x14ac:dyDescent="0.3">
      <c r="B2997" s="3"/>
      <c r="Q2997" s="1"/>
      <c r="R2997" s="1"/>
      <c r="S2997" s="2"/>
      <c r="T2997" s="2">
        <v>2883</v>
      </c>
      <c r="U2997" s="48" t="s">
        <v>93</v>
      </c>
      <c r="V2997" s="2"/>
      <c r="W2997" s="2"/>
      <c r="X2997" s="2"/>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row>
    <row r="2998" spans="2:47" ht="14.25" customHeight="1" x14ac:dyDescent="0.3">
      <c r="B2998" s="3"/>
      <c r="Q2998" s="1"/>
      <c r="R2998" s="1"/>
      <c r="S2998" s="2"/>
      <c r="T2998" s="2">
        <v>2884</v>
      </c>
      <c r="U2998" s="48" t="s">
        <v>93</v>
      </c>
      <c r="V2998" s="2"/>
      <c r="W2998" s="2"/>
      <c r="X2998" s="2"/>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row>
    <row r="2999" spans="2:47" ht="14.25" customHeight="1" x14ac:dyDescent="0.3">
      <c r="B2999" s="3"/>
      <c r="Q2999" s="1"/>
      <c r="R2999" s="1"/>
      <c r="S2999" s="2"/>
      <c r="T2999" s="2">
        <v>2885</v>
      </c>
      <c r="U2999" s="48" t="s">
        <v>93</v>
      </c>
      <c r="V2999" s="2"/>
      <c r="W2999" s="2"/>
      <c r="X2999" s="2"/>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row>
    <row r="3000" spans="2:47" ht="14.25" customHeight="1" x14ac:dyDescent="0.3">
      <c r="B3000" s="3"/>
      <c r="Q3000" s="1"/>
      <c r="R3000" s="1"/>
      <c r="S3000" s="2"/>
      <c r="T3000" s="2">
        <v>2886</v>
      </c>
      <c r="U3000" s="48" t="s">
        <v>93</v>
      </c>
      <c r="V3000" s="2"/>
      <c r="W3000" s="2"/>
      <c r="X3000" s="2"/>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row>
    <row r="3001" spans="2:47" ht="14.25" customHeight="1" x14ac:dyDescent="0.3">
      <c r="B3001" s="3"/>
      <c r="Q3001" s="1"/>
      <c r="R3001" s="1"/>
      <c r="S3001" s="2"/>
      <c r="T3001" s="2">
        <v>2887</v>
      </c>
      <c r="U3001" s="48" t="s">
        <v>93</v>
      </c>
      <c r="V3001" s="2"/>
      <c r="W3001" s="2"/>
      <c r="X3001" s="2"/>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row>
    <row r="3002" spans="2:47" ht="14.25" customHeight="1" x14ac:dyDescent="0.3">
      <c r="B3002" s="3"/>
      <c r="Q3002" s="1"/>
      <c r="R3002" s="1"/>
      <c r="S3002" s="2"/>
      <c r="T3002" s="2">
        <v>2888</v>
      </c>
      <c r="U3002" s="48" t="s">
        <v>93</v>
      </c>
      <c r="V3002" s="2"/>
      <c r="W3002" s="2"/>
      <c r="X3002" s="2"/>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row>
    <row r="3003" spans="2:47" ht="14.25" customHeight="1" x14ac:dyDescent="0.3">
      <c r="B3003" s="3"/>
      <c r="Q3003" s="1"/>
      <c r="R3003" s="1"/>
      <c r="S3003" s="2"/>
      <c r="T3003" s="2">
        <v>2889</v>
      </c>
      <c r="U3003" s="48" t="s">
        <v>93</v>
      </c>
      <c r="V3003" s="2"/>
      <c r="W3003" s="2"/>
      <c r="X3003" s="2"/>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row>
    <row r="3004" spans="2:47" ht="14.25" customHeight="1" x14ac:dyDescent="0.3">
      <c r="B3004" s="3"/>
      <c r="Q3004" s="1"/>
      <c r="R3004" s="1"/>
      <c r="S3004" s="2"/>
      <c r="T3004" s="2">
        <v>2890</v>
      </c>
      <c r="U3004" s="48" t="s">
        <v>93</v>
      </c>
      <c r="V3004" s="2"/>
      <c r="W3004" s="2"/>
      <c r="X3004" s="2"/>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row>
    <row r="3005" spans="2:47" ht="14.25" customHeight="1" x14ac:dyDescent="0.3">
      <c r="B3005" s="3"/>
      <c r="Q3005" s="1"/>
      <c r="R3005" s="1"/>
      <c r="S3005" s="2"/>
      <c r="T3005" s="2">
        <v>2891</v>
      </c>
      <c r="U3005" s="48" t="s">
        <v>93</v>
      </c>
      <c r="V3005" s="2"/>
      <c r="W3005" s="2"/>
      <c r="X3005" s="2"/>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row>
    <row r="3006" spans="2:47" ht="14.25" customHeight="1" x14ac:dyDescent="0.3">
      <c r="B3006" s="3"/>
      <c r="Q3006" s="1"/>
      <c r="R3006" s="1"/>
      <c r="S3006" s="2"/>
      <c r="T3006" s="2">
        <v>2892</v>
      </c>
      <c r="U3006" s="48" t="s">
        <v>93</v>
      </c>
      <c r="V3006" s="2"/>
      <c r="W3006" s="2"/>
      <c r="X3006" s="2"/>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row>
    <row r="3007" spans="2:47" ht="14.25" customHeight="1" x14ac:dyDescent="0.3">
      <c r="B3007" s="3"/>
      <c r="Q3007" s="1"/>
      <c r="R3007" s="1"/>
      <c r="S3007" s="2"/>
      <c r="T3007" s="2">
        <v>2893</v>
      </c>
      <c r="U3007" s="48" t="s">
        <v>93</v>
      </c>
      <c r="V3007" s="2"/>
      <c r="W3007" s="2"/>
      <c r="X3007" s="2"/>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row>
    <row r="3008" spans="2:47" ht="14.25" customHeight="1" x14ac:dyDescent="0.3">
      <c r="B3008" s="3"/>
      <c r="Q3008" s="1"/>
      <c r="R3008" s="1"/>
      <c r="S3008" s="2"/>
      <c r="T3008" s="2">
        <v>2894</v>
      </c>
      <c r="U3008" s="48" t="s">
        <v>93</v>
      </c>
      <c r="V3008" s="2"/>
      <c r="W3008" s="2"/>
      <c r="X3008" s="2"/>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row>
    <row r="3009" spans="2:47" ht="14.25" customHeight="1" x14ac:dyDescent="0.3">
      <c r="B3009" s="3"/>
      <c r="Q3009" s="1"/>
      <c r="R3009" s="1"/>
      <c r="S3009" s="2"/>
      <c r="T3009" s="2">
        <v>2895</v>
      </c>
      <c r="U3009" s="48" t="s">
        <v>93</v>
      </c>
      <c r="V3009" s="2"/>
      <c r="W3009" s="2"/>
      <c r="X3009" s="2"/>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row>
    <row r="3010" spans="2:47" ht="14.25" customHeight="1" x14ac:dyDescent="0.3">
      <c r="B3010" s="3"/>
      <c r="Q3010" s="1"/>
      <c r="R3010" s="1"/>
      <c r="S3010" s="2"/>
      <c r="T3010" s="2">
        <v>2896</v>
      </c>
      <c r="U3010" s="48" t="s">
        <v>93</v>
      </c>
      <c r="V3010" s="2"/>
      <c r="W3010" s="2"/>
      <c r="X3010" s="2"/>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row>
    <row r="3011" spans="2:47" ht="14.25" customHeight="1" x14ac:dyDescent="0.3">
      <c r="B3011" s="3"/>
      <c r="Q3011" s="1"/>
      <c r="R3011" s="1"/>
      <c r="S3011" s="2"/>
      <c r="T3011" s="2">
        <v>2897</v>
      </c>
      <c r="U3011" s="48" t="s">
        <v>93</v>
      </c>
      <c r="V3011" s="2"/>
      <c r="W3011" s="2"/>
      <c r="X3011" s="2"/>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row>
    <row r="3012" spans="2:47" ht="14.25" customHeight="1" x14ac:dyDescent="0.3">
      <c r="B3012" s="3"/>
      <c r="Q3012" s="1"/>
      <c r="R3012" s="1"/>
      <c r="S3012" s="2"/>
      <c r="T3012" s="2">
        <v>2898</v>
      </c>
      <c r="U3012" s="48" t="s">
        <v>93</v>
      </c>
      <c r="V3012" s="2"/>
      <c r="W3012" s="2"/>
      <c r="X3012" s="2"/>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row>
    <row r="3013" spans="2:47" ht="14.25" customHeight="1" x14ac:dyDescent="0.3">
      <c r="B3013" s="3"/>
      <c r="Q3013" s="1"/>
      <c r="R3013" s="1"/>
      <c r="S3013" s="2"/>
      <c r="T3013" s="2">
        <v>2899</v>
      </c>
      <c r="U3013" s="48" t="s">
        <v>93</v>
      </c>
      <c r="V3013" s="2"/>
      <c r="W3013" s="2"/>
      <c r="X3013" s="2"/>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row>
    <row r="3014" spans="2:47" ht="14.25" customHeight="1" x14ac:dyDescent="0.3">
      <c r="B3014" s="3"/>
      <c r="Q3014" s="1"/>
      <c r="R3014" s="1"/>
      <c r="S3014" s="2"/>
      <c r="T3014" s="2">
        <v>2900</v>
      </c>
      <c r="U3014" s="48" t="s">
        <v>93</v>
      </c>
      <c r="V3014" s="2"/>
      <c r="W3014" s="2"/>
      <c r="X3014" s="2"/>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row>
    <row r="3015" spans="2:47" ht="14.25" customHeight="1" x14ac:dyDescent="0.3">
      <c r="B3015" s="3"/>
      <c r="Q3015" s="1"/>
      <c r="R3015" s="1"/>
      <c r="S3015" s="2"/>
      <c r="T3015" s="2">
        <v>2901</v>
      </c>
      <c r="U3015" s="48" t="s">
        <v>93</v>
      </c>
      <c r="V3015" s="2"/>
      <c r="W3015" s="2"/>
      <c r="X3015" s="2"/>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row>
    <row r="3016" spans="2:47" ht="14.25" customHeight="1" x14ac:dyDescent="0.3">
      <c r="B3016" s="3"/>
      <c r="Q3016" s="1"/>
      <c r="R3016" s="1"/>
      <c r="S3016" s="2"/>
      <c r="T3016" s="2">
        <v>2902</v>
      </c>
      <c r="U3016" s="48" t="s">
        <v>93</v>
      </c>
      <c r="V3016" s="2"/>
      <c r="W3016" s="2"/>
      <c r="X3016" s="2"/>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row>
    <row r="3017" spans="2:47" ht="14.25" customHeight="1" x14ac:dyDescent="0.3">
      <c r="B3017" s="3"/>
      <c r="Q3017" s="1"/>
      <c r="R3017" s="1"/>
      <c r="S3017" s="2"/>
      <c r="T3017" s="2">
        <v>2903</v>
      </c>
      <c r="U3017" s="48" t="s">
        <v>93</v>
      </c>
      <c r="V3017" s="2"/>
      <c r="W3017" s="2"/>
      <c r="X3017" s="2"/>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row>
    <row r="3018" spans="2:47" ht="14.25" customHeight="1" x14ac:dyDescent="0.3">
      <c r="B3018" s="3"/>
      <c r="Q3018" s="1"/>
      <c r="R3018" s="1"/>
      <c r="S3018" s="2"/>
      <c r="T3018" s="2">
        <v>2904</v>
      </c>
      <c r="U3018" s="48" t="s">
        <v>93</v>
      </c>
      <c r="V3018" s="2"/>
      <c r="W3018" s="2"/>
      <c r="X3018" s="2"/>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row>
    <row r="3019" spans="2:47" ht="14.25" customHeight="1" x14ac:dyDescent="0.3">
      <c r="B3019" s="3"/>
      <c r="Q3019" s="1"/>
      <c r="R3019" s="1"/>
      <c r="S3019" s="2"/>
      <c r="T3019" s="2">
        <v>2905</v>
      </c>
      <c r="U3019" s="48" t="s">
        <v>93</v>
      </c>
      <c r="V3019" s="2"/>
      <c r="W3019" s="2"/>
      <c r="X3019" s="2"/>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row>
    <row r="3020" spans="2:47" ht="14.25" customHeight="1" x14ac:dyDescent="0.3">
      <c r="B3020" s="3"/>
      <c r="Q3020" s="1"/>
      <c r="R3020" s="1"/>
      <c r="S3020" s="2"/>
      <c r="T3020" s="2">
        <v>2906</v>
      </c>
      <c r="U3020" s="48" t="s">
        <v>93</v>
      </c>
      <c r="V3020" s="2"/>
      <c r="W3020" s="2"/>
      <c r="X3020" s="2"/>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row>
    <row r="3021" spans="2:47" ht="14.25" customHeight="1" x14ac:dyDescent="0.3">
      <c r="B3021" s="3"/>
      <c r="Q3021" s="1"/>
      <c r="R3021" s="1"/>
      <c r="S3021" s="2"/>
      <c r="T3021" s="2">
        <v>2907</v>
      </c>
      <c r="U3021" s="48" t="s">
        <v>93</v>
      </c>
      <c r="V3021" s="2"/>
      <c r="W3021" s="2"/>
      <c r="X3021" s="2"/>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row>
    <row r="3022" spans="2:47" ht="14.25" customHeight="1" x14ac:dyDescent="0.3">
      <c r="B3022" s="3"/>
      <c r="Q3022" s="1"/>
      <c r="R3022" s="1"/>
      <c r="S3022" s="2"/>
      <c r="T3022" s="2">
        <v>2908</v>
      </c>
      <c r="U3022" s="48" t="s">
        <v>93</v>
      </c>
      <c r="V3022" s="2"/>
      <c r="W3022" s="2"/>
      <c r="X3022" s="2"/>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row>
    <row r="3023" spans="2:47" ht="14.25" customHeight="1" x14ac:dyDescent="0.3">
      <c r="B3023" s="3"/>
      <c r="Q3023" s="1"/>
      <c r="R3023" s="1"/>
      <c r="S3023" s="2"/>
      <c r="T3023" s="2">
        <v>2909</v>
      </c>
      <c r="U3023" s="48" t="s">
        <v>93</v>
      </c>
      <c r="V3023" s="2"/>
      <c r="W3023" s="2"/>
      <c r="X3023" s="2"/>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row>
    <row r="3024" spans="2:47" ht="14.25" customHeight="1" x14ac:dyDescent="0.3">
      <c r="B3024" s="3"/>
      <c r="Q3024" s="1"/>
      <c r="R3024" s="1"/>
      <c r="S3024" s="2"/>
      <c r="T3024" s="2">
        <v>2910</v>
      </c>
      <c r="U3024" s="48" t="s">
        <v>93</v>
      </c>
      <c r="V3024" s="2"/>
      <c r="W3024" s="2"/>
      <c r="X3024" s="2"/>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row>
    <row r="3025" spans="2:47" ht="14.25" customHeight="1" x14ac:dyDescent="0.3">
      <c r="B3025" s="3"/>
      <c r="Q3025" s="1"/>
      <c r="R3025" s="1"/>
      <c r="S3025" s="2"/>
      <c r="T3025" s="2">
        <v>2911</v>
      </c>
      <c r="U3025" s="48" t="s">
        <v>93</v>
      </c>
      <c r="V3025" s="2"/>
      <c r="W3025" s="2"/>
      <c r="X3025" s="2"/>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row>
    <row r="3026" spans="2:47" ht="14.25" customHeight="1" x14ac:dyDescent="0.3">
      <c r="B3026" s="3"/>
      <c r="Q3026" s="1"/>
      <c r="R3026" s="1"/>
      <c r="S3026" s="2"/>
      <c r="T3026" s="2">
        <v>2912</v>
      </c>
      <c r="U3026" s="48" t="s">
        <v>93</v>
      </c>
      <c r="V3026" s="2"/>
      <c r="W3026" s="2"/>
      <c r="X3026" s="2"/>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row>
    <row r="3027" spans="2:47" ht="14.25" customHeight="1" x14ac:dyDescent="0.3">
      <c r="B3027" s="3"/>
      <c r="Q3027" s="1"/>
      <c r="R3027" s="1"/>
      <c r="S3027" s="2"/>
      <c r="T3027" s="2">
        <v>2913</v>
      </c>
      <c r="U3027" s="48" t="s">
        <v>93</v>
      </c>
      <c r="V3027" s="2"/>
      <c r="W3027" s="2"/>
      <c r="X3027" s="2"/>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row>
    <row r="3028" spans="2:47" ht="14.25" customHeight="1" x14ac:dyDescent="0.3">
      <c r="B3028" s="3"/>
      <c r="Q3028" s="1"/>
      <c r="R3028" s="1"/>
      <c r="S3028" s="2"/>
      <c r="T3028" s="2">
        <v>2914</v>
      </c>
      <c r="U3028" s="48" t="s">
        <v>93</v>
      </c>
      <c r="V3028" s="2"/>
      <c r="W3028" s="2"/>
      <c r="X3028" s="2"/>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row>
    <row r="3029" spans="2:47" ht="14.25" customHeight="1" x14ac:dyDescent="0.3">
      <c r="B3029" s="3"/>
      <c r="Q3029" s="1"/>
      <c r="R3029" s="1"/>
      <c r="S3029" s="2"/>
      <c r="T3029" s="2">
        <v>2915</v>
      </c>
      <c r="U3029" s="48" t="s">
        <v>93</v>
      </c>
      <c r="V3029" s="2"/>
      <c r="W3029" s="2"/>
      <c r="X3029" s="2"/>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row>
    <row r="3030" spans="2:47" ht="14.25" customHeight="1" x14ac:dyDescent="0.3">
      <c r="B3030" s="3"/>
      <c r="Q3030" s="1"/>
      <c r="R3030" s="1"/>
      <c r="S3030" s="2"/>
      <c r="T3030" s="2">
        <v>2916</v>
      </c>
      <c r="U3030" s="48" t="s">
        <v>93</v>
      </c>
      <c r="V3030" s="2"/>
      <c r="W3030" s="2"/>
      <c r="X3030" s="2"/>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row>
    <row r="3031" spans="2:47" ht="14.25" customHeight="1" x14ac:dyDescent="0.3">
      <c r="B3031" s="3"/>
      <c r="Q3031" s="1"/>
      <c r="R3031" s="1"/>
      <c r="S3031" s="2"/>
      <c r="T3031" s="2">
        <v>2917</v>
      </c>
      <c r="U3031" s="48" t="s">
        <v>93</v>
      </c>
      <c r="V3031" s="2"/>
      <c r="W3031" s="2"/>
      <c r="X3031" s="2"/>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row>
    <row r="3032" spans="2:47" ht="14.25" customHeight="1" x14ac:dyDescent="0.3">
      <c r="B3032" s="3"/>
      <c r="Q3032" s="1"/>
      <c r="R3032" s="1"/>
      <c r="S3032" s="2"/>
      <c r="T3032" s="2">
        <v>2918</v>
      </c>
      <c r="U3032" s="48" t="s">
        <v>93</v>
      </c>
      <c r="V3032" s="2"/>
      <c r="W3032" s="2"/>
      <c r="X3032" s="2"/>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row>
    <row r="3033" spans="2:47" ht="14.25" customHeight="1" x14ac:dyDescent="0.3">
      <c r="B3033" s="3"/>
      <c r="Q3033" s="1"/>
      <c r="R3033" s="1"/>
      <c r="S3033" s="2"/>
      <c r="T3033" s="2">
        <v>2919</v>
      </c>
      <c r="U3033" s="48" t="s">
        <v>93</v>
      </c>
      <c r="V3033" s="2"/>
      <c r="W3033" s="2"/>
      <c r="X3033" s="2"/>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row>
    <row r="3034" spans="2:47" ht="14.25" customHeight="1" x14ac:dyDescent="0.3">
      <c r="B3034" s="3"/>
      <c r="Q3034" s="1"/>
      <c r="R3034" s="1"/>
      <c r="S3034" s="2"/>
      <c r="T3034" s="2">
        <v>2920</v>
      </c>
      <c r="U3034" s="48" t="s">
        <v>93</v>
      </c>
      <c r="V3034" s="2"/>
      <c r="W3034" s="2"/>
      <c r="X3034" s="2"/>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row>
    <row r="3035" spans="2:47" ht="14.25" customHeight="1" x14ac:dyDescent="0.3">
      <c r="B3035" s="3"/>
      <c r="Q3035" s="1"/>
      <c r="R3035" s="1"/>
      <c r="S3035" s="2"/>
      <c r="T3035" s="2">
        <v>2921</v>
      </c>
      <c r="U3035" s="48" t="s">
        <v>93</v>
      </c>
      <c r="V3035" s="2"/>
      <c r="W3035" s="2"/>
      <c r="X3035" s="2"/>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row>
    <row r="3036" spans="2:47" ht="14.25" customHeight="1" x14ac:dyDescent="0.3">
      <c r="B3036" s="3"/>
      <c r="Q3036" s="1"/>
      <c r="R3036" s="1"/>
      <c r="S3036" s="2"/>
      <c r="T3036" s="2">
        <v>2922</v>
      </c>
      <c r="U3036" s="48" t="s">
        <v>93</v>
      </c>
      <c r="V3036" s="2"/>
      <c r="W3036" s="2"/>
      <c r="X3036" s="2"/>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row>
    <row r="3037" spans="2:47" ht="14.25" customHeight="1" x14ac:dyDescent="0.3">
      <c r="B3037" s="3"/>
      <c r="Q3037" s="1"/>
      <c r="R3037" s="1"/>
      <c r="S3037" s="2"/>
      <c r="T3037" s="2">
        <v>2923</v>
      </c>
      <c r="U3037" s="48" t="s">
        <v>93</v>
      </c>
      <c r="V3037" s="2"/>
      <c r="W3037" s="2"/>
      <c r="X3037" s="2"/>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row>
    <row r="3038" spans="2:47" ht="14.25" customHeight="1" x14ac:dyDescent="0.3">
      <c r="B3038" s="3"/>
      <c r="Q3038" s="1"/>
      <c r="R3038" s="1"/>
      <c r="S3038" s="2"/>
      <c r="T3038" s="2">
        <v>2924</v>
      </c>
      <c r="U3038" s="48" t="s">
        <v>93</v>
      </c>
      <c r="V3038" s="2"/>
      <c r="W3038" s="2"/>
      <c r="X3038" s="2"/>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row>
    <row r="3039" spans="2:47" ht="14.25" customHeight="1" x14ac:dyDescent="0.3">
      <c r="B3039" s="3"/>
      <c r="Q3039" s="1"/>
      <c r="R3039" s="1"/>
      <c r="S3039" s="2"/>
      <c r="T3039" s="2">
        <v>2925</v>
      </c>
      <c r="U3039" s="48" t="s">
        <v>93</v>
      </c>
      <c r="V3039" s="2"/>
      <c r="W3039" s="2"/>
      <c r="X3039" s="2"/>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row>
    <row r="3040" spans="2:47" ht="14.25" customHeight="1" x14ac:dyDescent="0.3">
      <c r="B3040" s="3"/>
      <c r="Q3040" s="1"/>
      <c r="R3040" s="1"/>
      <c r="S3040" s="2"/>
      <c r="T3040" s="2">
        <v>2926</v>
      </c>
      <c r="U3040" s="48" t="s">
        <v>93</v>
      </c>
      <c r="V3040" s="2"/>
      <c r="W3040" s="2"/>
      <c r="X3040" s="2"/>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row>
    <row r="3041" spans="2:47" ht="14.25" customHeight="1" x14ac:dyDescent="0.3">
      <c r="B3041" s="3"/>
      <c r="Q3041" s="1"/>
      <c r="R3041" s="1"/>
      <c r="S3041" s="2"/>
      <c r="T3041" s="2">
        <v>2927</v>
      </c>
      <c r="U3041" s="48" t="s">
        <v>93</v>
      </c>
      <c r="V3041" s="2"/>
      <c r="W3041" s="2"/>
      <c r="X3041" s="2"/>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row>
    <row r="3042" spans="2:47" ht="14.25" customHeight="1" x14ac:dyDescent="0.3">
      <c r="B3042" s="3"/>
      <c r="Q3042" s="1"/>
      <c r="R3042" s="1"/>
      <c r="S3042" s="2"/>
      <c r="T3042" s="2">
        <v>2928</v>
      </c>
      <c r="U3042" s="48" t="s">
        <v>93</v>
      </c>
      <c r="V3042" s="2"/>
      <c r="W3042" s="2"/>
      <c r="X3042" s="2"/>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row>
    <row r="3043" spans="2:47" ht="14.25" customHeight="1" x14ac:dyDescent="0.3">
      <c r="B3043" s="3"/>
      <c r="Q3043" s="1"/>
      <c r="R3043" s="1"/>
      <c r="S3043" s="2"/>
      <c r="T3043" s="2">
        <v>2929</v>
      </c>
      <c r="U3043" s="48" t="s">
        <v>93</v>
      </c>
      <c r="V3043" s="2"/>
      <c r="W3043" s="2"/>
      <c r="X3043" s="2"/>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row>
    <row r="3044" spans="2:47" ht="14.25" customHeight="1" x14ac:dyDescent="0.3">
      <c r="B3044" s="3"/>
      <c r="Q3044" s="1"/>
      <c r="R3044" s="1"/>
      <c r="S3044" s="2"/>
      <c r="T3044" s="2">
        <v>2930</v>
      </c>
      <c r="U3044" s="48" t="s">
        <v>93</v>
      </c>
      <c r="V3044" s="2"/>
      <c r="W3044" s="2"/>
      <c r="X3044" s="2"/>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row>
    <row r="3045" spans="2:47" ht="14.25" customHeight="1" x14ac:dyDescent="0.3">
      <c r="B3045" s="3"/>
      <c r="Q3045" s="1"/>
      <c r="R3045" s="1"/>
      <c r="S3045" s="2"/>
      <c r="T3045" s="2">
        <v>2931</v>
      </c>
      <c r="U3045" s="48" t="s">
        <v>93</v>
      </c>
      <c r="V3045" s="2"/>
      <c r="W3045" s="2"/>
      <c r="X3045" s="2"/>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row>
    <row r="3046" spans="2:47" ht="14.25" customHeight="1" x14ac:dyDescent="0.3">
      <c r="B3046" s="3"/>
      <c r="Q3046" s="1"/>
      <c r="R3046" s="1"/>
      <c r="S3046" s="2"/>
      <c r="T3046" s="2">
        <v>2932</v>
      </c>
      <c r="U3046" s="48" t="s">
        <v>93</v>
      </c>
      <c r="V3046" s="2"/>
      <c r="W3046" s="2"/>
      <c r="X3046" s="2"/>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row>
    <row r="3047" spans="2:47" ht="14.25" customHeight="1" x14ac:dyDescent="0.3">
      <c r="B3047" s="3"/>
      <c r="Q3047" s="1"/>
      <c r="R3047" s="1"/>
      <c r="S3047" s="2"/>
      <c r="T3047" s="2">
        <v>2933</v>
      </c>
      <c r="U3047" s="48" t="s">
        <v>93</v>
      </c>
      <c r="V3047" s="2"/>
      <c r="W3047" s="2"/>
      <c r="X3047" s="2"/>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row>
    <row r="3048" spans="2:47" ht="14.25" customHeight="1" x14ac:dyDescent="0.3">
      <c r="B3048" s="3"/>
      <c r="Q3048" s="1"/>
      <c r="R3048" s="1"/>
      <c r="S3048" s="2"/>
      <c r="T3048" s="2">
        <v>2934</v>
      </c>
      <c r="U3048" s="48" t="s">
        <v>93</v>
      </c>
      <c r="V3048" s="2"/>
      <c r="W3048" s="2"/>
      <c r="X3048" s="2"/>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row>
    <row r="3049" spans="2:47" ht="14.25" customHeight="1" x14ac:dyDescent="0.3">
      <c r="B3049" s="3"/>
      <c r="Q3049" s="1"/>
      <c r="R3049" s="1"/>
      <c r="S3049" s="2"/>
      <c r="T3049" s="2">
        <v>2935</v>
      </c>
      <c r="U3049" s="48" t="s">
        <v>93</v>
      </c>
      <c r="V3049" s="2"/>
      <c r="W3049" s="2"/>
      <c r="X3049" s="2"/>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row>
    <row r="3050" spans="2:47" ht="14.25" customHeight="1" x14ac:dyDescent="0.3">
      <c r="B3050" s="3"/>
      <c r="Q3050" s="1"/>
      <c r="R3050" s="1"/>
      <c r="S3050" s="2"/>
      <c r="T3050" s="2">
        <v>2936</v>
      </c>
      <c r="U3050" s="48" t="s">
        <v>93</v>
      </c>
      <c r="V3050" s="2"/>
      <c r="W3050" s="2"/>
      <c r="X3050" s="2"/>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row>
    <row r="3051" spans="2:47" ht="14.25" customHeight="1" x14ac:dyDescent="0.3">
      <c r="B3051" s="3"/>
      <c r="Q3051" s="1"/>
      <c r="R3051" s="1"/>
      <c r="S3051" s="2"/>
      <c r="T3051" s="2">
        <v>2937</v>
      </c>
      <c r="U3051" s="48" t="s">
        <v>93</v>
      </c>
      <c r="V3051" s="2"/>
      <c r="W3051" s="2"/>
      <c r="X3051" s="2"/>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row>
    <row r="3052" spans="2:47" ht="14.25" customHeight="1" x14ac:dyDescent="0.3">
      <c r="B3052" s="3"/>
      <c r="Q3052" s="1"/>
      <c r="R3052" s="1"/>
      <c r="S3052" s="2"/>
      <c r="T3052" s="2">
        <v>2938</v>
      </c>
      <c r="U3052" s="48" t="s">
        <v>93</v>
      </c>
      <c r="V3052" s="2"/>
      <c r="W3052" s="2"/>
      <c r="X3052" s="2"/>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row>
    <row r="3053" spans="2:47" ht="14.25" customHeight="1" x14ac:dyDescent="0.3">
      <c r="B3053" s="3"/>
      <c r="Q3053" s="1"/>
      <c r="R3053" s="1"/>
      <c r="S3053" s="2"/>
      <c r="T3053" s="2">
        <v>2939</v>
      </c>
      <c r="U3053" s="48" t="s">
        <v>93</v>
      </c>
      <c r="V3053" s="2"/>
      <c r="W3053" s="2"/>
      <c r="X3053" s="2"/>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row>
    <row r="3054" spans="2:47" ht="14.25" customHeight="1" x14ac:dyDescent="0.3">
      <c r="B3054" s="3"/>
      <c r="Q3054" s="1"/>
      <c r="R3054" s="1"/>
      <c r="S3054" s="2"/>
      <c r="T3054" s="2">
        <v>2940</v>
      </c>
      <c r="U3054" s="48" t="s">
        <v>93</v>
      </c>
      <c r="V3054" s="2"/>
      <c r="W3054" s="2"/>
      <c r="X3054" s="2"/>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row>
    <row r="3055" spans="2:47" ht="14.25" customHeight="1" x14ac:dyDescent="0.3">
      <c r="B3055" s="3"/>
      <c r="Q3055" s="1"/>
      <c r="R3055" s="1"/>
      <c r="S3055" s="2"/>
      <c r="T3055" s="2">
        <v>2941</v>
      </c>
      <c r="U3055" s="48" t="s">
        <v>93</v>
      </c>
      <c r="V3055" s="2"/>
      <c r="W3055" s="2"/>
      <c r="X3055" s="2"/>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row>
    <row r="3056" spans="2:47" ht="14.25" customHeight="1" x14ac:dyDescent="0.3">
      <c r="B3056" s="3"/>
      <c r="Q3056" s="1"/>
      <c r="R3056" s="1"/>
      <c r="S3056" s="2"/>
      <c r="T3056" s="2">
        <v>2942</v>
      </c>
      <c r="U3056" s="48" t="s">
        <v>93</v>
      </c>
      <c r="V3056" s="2"/>
      <c r="W3056" s="2"/>
      <c r="X3056" s="2"/>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row>
    <row r="3057" spans="2:47" ht="14.25" customHeight="1" x14ac:dyDescent="0.3">
      <c r="B3057" s="3"/>
      <c r="Q3057" s="1"/>
      <c r="R3057" s="1"/>
      <c r="S3057" s="2"/>
      <c r="T3057" s="2">
        <v>2943</v>
      </c>
      <c r="U3057" s="48" t="s">
        <v>93</v>
      </c>
      <c r="V3057" s="2"/>
      <c r="W3057" s="2"/>
      <c r="X3057" s="2"/>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row>
    <row r="3058" spans="2:47" ht="14.25" customHeight="1" x14ac:dyDescent="0.3">
      <c r="B3058" s="3"/>
      <c r="Q3058" s="1"/>
      <c r="R3058" s="1"/>
      <c r="S3058" s="2"/>
      <c r="T3058" s="2">
        <v>2944</v>
      </c>
      <c r="U3058" s="48" t="s">
        <v>93</v>
      </c>
      <c r="V3058" s="2"/>
      <c r="W3058" s="2"/>
      <c r="X3058" s="2"/>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row>
    <row r="3059" spans="2:47" ht="14.25" customHeight="1" x14ac:dyDescent="0.3">
      <c r="B3059" s="3"/>
      <c r="Q3059" s="1"/>
      <c r="R3059" s="1"/>
      <c r="S3059" s="2"/>
      <c r="T3059" s="2">
        <v>2945</v>
      </c>
      <c r="U3059" s="48" t="s">
        <v>93</v>
      </c>
      <c r="V3059" s="2"/>
      <c r="W3059" s="2"/>
      <c r="X3059" s="2"/>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row>
    <row r="3060" spans="2:47" ht="14.25" customHeight="1" x14ac:dyDescent="0.3">
      <c r="B3060" s="3"/>
      <c r="Q3060" s="1"/>
      <c r="R3060" s="1"/>
      <c r="S3060" s="2"/>
      <c r="T3060" s="2">
        <v>2946</v>
      </c>
      <c r="U3060" s="48" t="s">
        <v>93</v>
      </c>
      <c r="V3060" s="2"/>
      <c r="W3060" s="2"/>
      <c r="X3060" s="2"/>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row>
    <row r="3061" spans="2:47" ht="14.25" customHeight="1" x14ac:dyDescent="0.3">
      <c r="B3061" s="3"/>
      <c r="Q3061" s="1"/>
      <c r="R3061" s="1"/>
      <c r="S3061" s="2"/>
      <c r="T3061" s="2">
        <v>2947</v>
      </c>
      <c r="U3061" s="48" t="s">
        <v>93</v>
      </c>
      <c r="V3061" s="2"/>
      <c r="W3061" s="2"/>
      <c r="X3061" s="2"/>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row>
    <row r="3062" spans="2:47" ht="14.25" customHeight="1" x14ac:dyDescent="0.3">
      <c r="B3062" s="3"/>
      <c r="Q3062" s="1"/>
      <c r="R3062" s="1"/>
      <c r="S3062" s="2"/>
      <c r="T3062" s="2">
        <v>2948</v>
      </c>
      <c r="U3062" s="48" t="s">
        <v>93</v>
      </c>
      <c r="V3062" s="2"/>
      <c r="W3062" s="2"/>
      <c r="X3062" s="2"/>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row>
    <row r="3063" spans="2:47" ht="14.25" customHeight="1" x14ac:dyDescent="0.3">
      <c r="B3063" s="3"/>
      <c r="Q3063" s="1"/>
      <c r="R3063" s="1"/>
      <c r="S3063" s="2"/>
      <c r="T3063" s="2">
        <v>2949</v>
      </c>
      <c r="U3063" s="48" t="s">
        <v>93</v>
      </c>
      <c r="V3063" s="2"/>
      <c r="W3063" s="2"/>
      <c r="X3063" s="2"/>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row>
    <row r="3064" spans="2:47" ht="14.25" customHeight="1" x14ac:dyDescent="0.3">
      <c r="B3064" s="3"/>
      <c r="Q3064" s="1"/>
      <c r="R3064" s="1"/>
      <c r="S3064" s="2"/>
      <c r="T3064" s="2">
        <v>2950</v>
      </c>
      <c r="U3064" s="48" t="s">
        <v>93</v>
      </c>
      <c r="V3064" s="2"/>
      <c r="W3064" s="2"/>
      <c r="X3064" s="2"/>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row>
    <row r="3065" spans="2:47" ht="14.25" customHeight="1" x14ac:dyDescent="0.3">
      <c r="B3065" s="3"/>
      <c r="Q3065" s="1"/>
      <c r="R3065" s="1"/>
      <c r="S3065" s="2"/>
      <c r="T3065" s="2">
        <v>2951</v>
      </c>
      <c r="U3065" s="48" t="s">
        <v>93</v>
      </c>
      <c r="V3065" s="2"/>
      <c r="W3065" s="2"/>
      <c r="X3065" s="2"/>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row>
    <row r="3066" spans="2:47" ht="14.25" customHeight="1" x14ac:dyDescent="0.3">
      <c r="B3066" s="3"/>
      <c r="Q3066" s="1"/>
      <c r="R3066" s="1"/>
      <c r="S3066" s="2"/>
      <c r="T3066" s="2">
        <v>2952</v>
      </c>
      <c r="U3066" s="48" t="s">
        <v>93</v>
      </c>
      <c r="V3066" s="2"/>
      <c r="W3066" s="2"/>
      <c r="X3066" s="2"/>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row>
    <row r="3067" spans="2:47" ht="14.25" customHeight="1" x14ac:dyDescent="0.3">
      <c r="B3067" s="3"/>
      <c r="Q3067" s="1"/>
      <c r="R3067" s="1"/>
      <c r="S3067" s="2"/>
      <c r="T3067" s="2">
        <v>2953</v>
      </c>
      <c r="U3067" s="48" t="s">
        <v>93</v>
      </c>
      <c r="V3067" s="2"/>
      <c r="W3067" s="2"/>
      <c r="X3067" s="2"/>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row>
    <row r="3068" spans="2:47" ht="14.25" customHeight="1" x14ac:dyDescent="0.3">
      <c r="B3068" s="3"/>
      <c r="Q3068" s="1"/>
      <c r="R3068" s="1"/>
      <c r="S3068" s="2"/>
      <c r="T3068" s="2">
        <v>2954</v>
      </c>
      <c r="U3068" s="48" t="s">
        <v>93</v>
      </c>
      <c r="V3068" s="2"/>
      <c r="W3068" s="2"/>
      <c r="X3068" s="2"/>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row>
    <row r="3069" spans="2:47" ht="14.25" customHeight="1" x14ac:dyDescent="0.3">
      <c r="B3069" s="3"/>
      <c r="Q3069" s="1"/>
      <c r="R3069" s="1"/>
      <c r="S3069" s="2"/>
      <c r="T3069" s="2">
        <v>2955</v>
      </c>
      <c r="U3069" s="48" t="s">
        <v>93</v>
      </c>
      <c r="V3069" s="2"/>
      <c r="W3069" s="2"/>
      <c r="X3069" s="2"/>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row>
    <row r="3070" spans="2:47" ht="14.25" customHeight="1" x14ac:dyDescent="0.3">
      <c r="B3070" s="3"/>
      <c r="Q3070" s="1"/>
      <c r="R3070" s="1"/>
      <c r="S3070" s="2"/>
      <c r="T3070" s="2">
        <v>2956</v>
      </c>
      <c r="U3070" s="48" t="s">
        <v>93</v>
      </c>
      <c r="V3070" s="2"/>
      <c r="W3070" s="2"/>
      <c r="X3070" s="2"/>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row>
    <row r="3071" spans="2:47" ht="14.25" customHeight="1" x14ac:dyDescent="0.3">
      <c r="B3071" s="3"/>
      <c r="Q3071" s="1"/>
      <c r="R3071" s="1"/>
      <c r="S3071" s="2"/>
      <c r="T3071" s="2">
        <v>2957</v>
      </c>
      <c r="U3071" s="48" t="s">
        <v>93</v>
      </c>
      <c r="V3071" s="2"/>
      <c r="W3071" s="2"/>
      <c r="X3071" s="2"/>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row>
    <row r="3072" spans="2:47" ht="14.25" customHeight="1" x14ac:dyDescent="0.3">
      <c r="B3072" s="3"/>
      <c r="Q3072" s="1"/>
      <c r="R3072" s="1"/>
      <c r="S3072" s="2"/>
      <c r="T3072" s="2">
        <v>2958</v>
      </c>
      <c r="U3072" s="48" t="s">
        <v>93</v>
      </c>
      <c r="V3072" s="2"/>
      <c r="W3072" s="2"/>
      <c r="X3072" s="2"/>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row>
    <row r="3073" spans="2:47" ht="14.25" customHeight="1" x14ac:dyDescent="0.3">
      <c r="B3073" s="3"/>
      <c r="Q3073" s="1"/>
      <c r="R3073" s="1"/>
      <c r="S3073" s="2"/>
      <c r="T3073" s="2">
        <v>2959</v>
      </c>
      <c r="U3073" s="48" t="s">
        <v>93</v>
      </c>
      <c r="V3073" s="2"/>
      <c r="W3073" s="2"/>
      <c r="X3073" s="2"/>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row>
    <row r="3074" spans="2:47" ht="14.25" customHeight="1" x14ac:dyDescent="0.3">
      <c r="B3074" s="3"/>
      <c r="Q3074" s="1"/>
      <c r="R3074" s="1"/>
      <c r="S3074" s="2"/>
      <c r="T3074" s="2">
        <v>2960</v>
      </c>
      <c r="U3074" s="48" t="s">
        <v>93</v>
      </c>
      <c r="V3074" s="2"/>
      <c r="W3074" s="2"/>
      <c r="X3074" s="2"/>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row>
    <row r="3075" spans="2:47" ht="14.25" customHeight="1" x14ac:dyDescent="0.3">
      <c r="B3075" s="3"/>
      <c r="Q3075" s="1"/>
      <c r="R3075" s="1"/>
      <c r="S3075" s="2"/>
      <c r="T3075" s="2">
        <v>2961</v>
      </c>
      <c r="U3075" s="48" t="s">
        <v>93</v>
      </c>
      <c r="V3075" s="2"/>
      <c r="W3075" s="2"/>
      <c r="X3075" s="2"/>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row>
    <row r="3076" spans="2:47" ht="14.25" customHeight="1" x14ac:dyDescent="0.3">
      <c r="B3076" s="3"/>
      <c r="Q3076" s="1"/>
      <c r="R3076" s="1"/>
      <c r="S3076" s="2"/>
      <c r="T3076" s="2">
        <v>2962</v>
      </c>
      <c r="U3076" s="48" t="s">
        <v>93</v>
      </c>
      <c r="V3076" s="2"/>
      <c r="W3076" s="2"/>
      <c r="X3076" s="2"/>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row>
    <row r="3077" spans="2:47" ht="14.25" customHeight="1" x14ac:dyDescent="0.3">
      <c r="B3077" s="3"/>
      <c r="Q3077" s="1"/>
      <c r="R3077" s="1"/>
      <c r="S3077" s="2"/>
      <c r="T3077" s="2">
        <v>2963</v>
      </c>
      <c r="U3077" s="48" t="s">
        <v>93</v>
      </c>
      <c r="V3077" s="2"/>
      <c r="W3077" s="2"/>
      <c r="X3077" s="2"/>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row>
    <row r="3078" spans="2:47" ht="14.25" customHeight="1" x14ac:dyDescent="0.3">
      <c r="B3078" s="3"/>
      <c r="Q3078" s="1"/>
      <c r="R3078" s="1"/>
      <c r="S3078" s="2"/>
      <c r="T3078" s="2">
        <v>2964</v>
      </c>
      <c r="U3078" s="48" t="s">
        <v>93</v>
      </c>
      <c r="V3078" s="2"/>
      <c r="W3078" s="2"/>
      <c r="X3078" s="2"/>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row>
    <row r="3079" spans="2:47" ht="14.25" customHeight="1" x14ac:dyDescent="0.3">
      <c r="B3079" s="3"/>
      <c r="Q3079" s="1"/>
      <c r="R3079" s="1"/>
      <c r="S3079" s="2"/>
      <c r="T3079" s="2">
        <v>2965</v>
      </c>
      <c r="U3079" s="48" t="s">
        <v>93</v>
      </c>
      <c r="V3079" s="2"/>
      <c r="W3079" s="2"/>
      <c r="X3079" s="2"/>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row>
    <row r="3080" spans="2:47" ht="14.25" customHeight="1" x14ac:dyDescent="0.3">
      <c r="B3080" s="3"/>
      <c r="Q3080" s="1"/>
      <c r="R3080" s="1"/>
      <c r="S3080" s="2"/>
      <c r="T3080" s="2">
        <v>2966</v>
      </c>
      <c r="U3080" s="48" t="s">
        <v>93</v>
      </c>
      <c r="V3080" s="2"/>
      <c r="W3080" s="2"/>
      <c r="X3080" s="2"/>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row>
    <row r="3081" spans="2:47" ht="14.25" customHeight="1" x14ac:dyDescent="0.3">
      <c r="B3081" s="3"/>
      <c r="Q3081" s="1"/>
      <c r="R3081" s="1"/>
      <c r="S3081" s="2"/>
      <c r="T3081" s="2">
        <v>2967</v>
      </c>
      <c r="U3081" s="48" t="s">
        <v>93</v>
      </c>
      <c r="V3081" s="2"/>
      <c r="W3081" s="2"/>
      <c r="X3081" s="2"/>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row>
    <row r="3082" spans="2:47" ht="14.25" customHeight="1" x14ac:dyDescent="0.3">
      <c r="B3082" s="3"/>
      <c r="Q3082" s="1"/>
      <c r="R3082" s="1"/>
      <c r="S3082" s="2"/>
      <c r="T3082" s="2">
        <v>2968</v>
      </c>
      <c r="U3082" s="48" t="s">
        <v>93</v>
      </c>
      <c r="V3082" s="2"/>
      <c r="W3082" s="2"/>
      <c r="X3082" s="2"/>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row>
    <row r="3083" spans="2:47" ht="14.25" customHeight="1" x14ac:dyDescent="0.3">
      <c r="B3083" s="3"/>
      <c r="Q3083" s="1"/>
      <c r="R3083" s="1"/>
      <c r="S3083" s="2"/>
      <c r="T3083" s="2">
        <v>2969</v>
      </c>
      <c r="U3083" s="48" t="s">
        <v>93</v>
      </c>
      <c r="V3083" s="2"/>
      <c r="W3083" s="2"/>
      <c r="X3083" s="2"/>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row>
    <row r="3084" spans="2:47" ht="14.25" customHeight="1" x14ac:dyDescent="0.3">
      <c r="B3084" s="3"/>
      <c r="Q3084" s="1"/>
      <c r="R3084" s="1"/>
      <c r="S3084" s="2"/>
      <c r="T3084" s="2">
        <v>2970</v>
      </c>
      <c r="U3084" s="48" t="s">
        <v>93</v>
      </c>
      <c r="V3084" s="2"/>
      <c r="W3084" s="2"/>
      <c r="X3084" s="2"/>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row>
    <row r="3085" spans="2:47" ht="14.25" customHeight="1" x14ac:dyDescent="0.3">
      <c r="B3085" s="3"/>
      <c r="Q3085" s="1"/>
      <c r="R3085" s="1"/>
      <c r="S3085" s="2"/>
      <c r="T3085" s="2">
        <v>2971</v>
      </c>
      <c r="U3085" s="48" t="s">
        <v>93</v>
      </c>
      <c r="V3085" s="2"/>
      <c r="W3085" s="2"/>
      <c r="X3085" s="2"/>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row>
    <row r="3086" spans="2:47" ht="14.25" customHeight="1" x14ac:dyDescent="0.3">
      <c r="B3086" s="3"/>
      <c r="Q3086" s="1"/>
      <c r="R3086" s="1"/>
      <c r="S3086" s="2"/>
      <c r="T3086" s="2">
        <v>2972</v>
      </c>
      <c r="U3086" s="48" t="s">
        <v>93</v>
      </c>
      <c r="V3086" s="2"/>
      <c r="W3086" s="2"/>
      <c r="X3086" s="2"/>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row>
    <row r="3087" spans="2:47" ht="14.25" customHeight="1" x14ac:dyDescent="0.3">
      <c r="B3087" s="3"/>
      <c r="Q3087" s="1"/>
      <c r="R3087" s="1"/>
      <c r="S3087" s="2"/>
      <c r="T3087" s="2">
        <v>2973</v>
      </c>
      <c r="U3087" s="48" t="s">
        <v>93</v>
      </c>
      <c r="V3087" s="2"/>
      <c r="W3087" s="2"/>
      <c r="X3087" s="2"/>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row>
    <row r="3088" spans="2:47" ht="14.25" customHeight="1" x14ac:dyDescent="0.3">
      <c r="B3088" s="3"/>
      <c r="Q3088" s="1"/>
      <c r="R3088" s="1"/>
      <c r="S3088" s="2"/>
      <c r="T3088" s="2">
        <v>2974</v>
      </c>
      <c r="U3088" s="48" t="s">
        <v>93</v>
      </c>
      <c r="V3088" s="2"/>
      <c r="W3088" s="2"/>
      <c r="X3088" s="2"/>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row>
    <row r="3089" spans="2:47" ht="14.25" customHeight="1" x14ac:dyDescent="0.3">
      <c r="B3089" s="3"/>
      <c r="Q3089" s="1"/>
      <c r="R3089" s="1"/>
      <c r="S3089" s="2"/>
      <c r="T3089" s="2">
        <v>2975</v>
      </c>
      <c r="U3089" s="48" t="s">
        <v>93</v>
      </c>
      <c r="V3089" s="2"/>
      <c r="W3089" s="2"/>
      <c r="X3089" s="2"/>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row>
    <row r="3090" spans="2:47" ht="14.25" customHeight="1" x14ac:dyDescent="0.3">
      <c r="B3090" s="3"/>
      <c r="Q3090" s="1"/>
      <c r="R3090" s="1"/>
      <c r="S3090" s="2"/>
      <c r="T3090" s="2">
        <v>2976</v>
      </c>
      <c r="U3090" s="48" t="s">
        <v>93</v>
      </c>
      <c r="V3090" s="2"/>
      <c r="W3090" s="2"/>
      <c r="X3090" s="2"/>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row>
    <row r="3091" spans="2:47" ht="14.25" customHeight="1" x14ac:dyDescent="0.3">
      <c r="B3091" s="3"/>
      <c r="Q3091" s="1"/>
      <c r="R3091" s="1"/>
      <c r="S3091" s="2"/>
      <c r="T3091" s="2">
        <v>2977</v>
      </c>
      <c r="U3091" s="48" t="s">
        <v>93</v>
      </c>
      <c r="V3091" s="2"/>
      <c r="W3091" s="2"/>
      <c r="X3091" s="2"/>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row>
    <row r="3092" spans="2:47" ht="14.25" customHeight="1" x14ac:dyDescent="0.3">
      <c r="B3092" s="3"/>
      <c r="Q3092" s="1"/>
      <c r="R3092" s="1"/>
      <c r="S3092" s="2"/>
      <c r="T3092" s="2">
        <v>2978</v>
      </c>
      <c r="U3092" s="48" t="s">
        <v>93</v>
      </c>
      <c r="V3092" s="2"/>
      <c r="W3092" s="2"/>
      <c r="X3092" s="2"/>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row>
    <row r="3093" spans="2:47" ht="14.25" customHeight="1" x14ac:dyDescent="0.3">
      <c r="B3093" s="3"/>
      <c r="Q3093" s="1"/>
      <c r="R3093" s="1"/>
      <c r="S3093" s="2"/>
      <c r="T3093" s="2">
        <v>2979</v>
      </c>
      <c r="U3093" s="48" t="s">
        <v>93</v>
      </c>
      <c r="V3093" s="2"/>
      <c r="W3093" s="2"/>
      <c r="X3093" s="2"/>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row>
    <row r="3094" spans="2:47" ht="14.25" customHeight="1" x14ac:dyDescent="0.3">
      <c r="B3094" s="3"/>
      <c r="Q3094" s="1"/>
      <c r="R3094" s="1"/>
      <c r="S3094" s="2"/>
      <c r="T3094" s="2">
        <v>2980</v>
      </c>
      <c r="U3094" s="48" t="s">
        <v>93</v>
      </c>
      <c r="V3094" s="2"/>
      <c r="W3094" s="2"/>
      <c r="X3094" s="2"/>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row>
    <row r="3095" spans="2:47" ht="14.25" customHeight="1" x14ac:dyDescent="0.3">
      <c r="B3095" s="3"/>
      <c r="Q3095" s="1"/>
      <c r="R3095" s="1"/>
      <c r="S3095" s="2"/>
      <c r="T3095" s="2">
        <v>2981</v>
      </c>
      <c r="U3095" s="48" t="s">
        <v>93</v>
      </c>
      <c r="V3095" s="2"/>
      <c r="W3095" s="2"/>
      <c r="X3095" s="2"/>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row>
    <row r="3096" spans="2:47" ht="14.25" customHeight="1" x14ac:dyDescent="0.3">
      <c r="B3096" s="3"/>
      <c r="Q3096" s="1"/>
      <c r="R3096" s="1"/>
      <c r="S3096" s="2"/>
      <c r="T3096" s="2">
        <v>2982</v>
      </c>
      <c r="U3096" s="48" t="s">
        <v>93</v>
      </c>
      <c r="V3096" s="2"/>
      <c r="W3096" s="2"/>
      <c r="X3096" s="2"/>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row>
    <row r="3097" spans="2:47" ht="14.25" customHeight="1" x14ac:dyDescent="0.3">
      <c r="B3097" s="3"/>
      <c r="Q3097" s="1"/>
      <c r="R3097" s="1"/>
      <c r="S3097" s="2"/>
      <c r="T3097" s="2">
        <v>2983</v>
      </c>
      <c r="U3097" s="48" t="s">
        <v>93</v>
      </c>
      <c r="V3097" s="2"/>
      <c r="W3097" s="2"/>
      <c r="X3097" s="2"/>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row>
    <row r="3098" spans="2:47" ht="14.25" customHeight="1" x14ac:dyDescent="0.3">
      <c r="B3098" s="3"/>
      <c r="Q3098" s="1"/>
      <c r="R3098" s="1"/>
      <c r="S3098" s="2"/>
      <c r="T3098" s="2">
        <v>2984</v>
      </c>
      <c r="U3098" s="48" t="s">
        <v>93</v>
      </c>
      <c r="V3098" s="2"/>
      <c r="W3098" s="2"/>
      <c r="X3098" s="2"/>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row>
    <row r="3099" spans="2:47" ht="14.25" customHeight="1" x14ac:dyDescent="0.3">
      <c r="B3099" s="3"/>
      <c r="Q3099" s="1"/>
      <c r="R3099" s="1"/>
      <c r="S3099" s="2"/>
      <c r="T3099" s="2">
        <v>2985</v>
      </c>
      <c r="U3099" s="48" t="s">
        <v>93</v>
      </c>
      <c r="V3099" s="2"/>
      <c r="W3099" s="2"/>
      <c r="X3099" s="2"/>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row>
    <row r="3100" spans="2:47" ht="14.25" customHeight="1" x14ac:dyDescent="0.3">
      <c r="B3100" s="3"/>
      <c r="Q3100" s="1"/>
      <c r="R3100" s="1"/>
      <c r="S3100" s="2"/>
      <c r="T3100" s="2">
        <v>2986</v>
      </c>
      <c r="U3100" s="48" t="s">
        <v>93</v>
      </c>
      <c r="V3100" s="2"/>
      <c r="W3100" s="2"/>
      <c r="X3100" s="2"/>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row>
    <row r="3101" spans="2:47" ht="14.25" customHeight="1" x14ac:dyDescent="0.3">
      <c r="B3101" s="3"/>
      <c r="Q3101" s="1"/>
      <c r="R3101" s="1"/>
      <c r="S3101" s="2"/>
      <c r="T3101" s="2">
        <v>2987</v>
      </c>
      <c r="U3101" s="48" t="s">
        <v>93</v>
      </c>
      <c r="V3101" s="2"/>
      <c r="W3101" s="2"/>
      <c r="X3101" s="2"/>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row>
    <row r="3102" spans="2:47" ht="14.25" customHeight="1" x14ac:dyDescent="0.3">
      <c r="B3102" s="3"/>
      <c r="Q3102" s="1"/>
      <c r="R3102" s="1"/>
      <c r="S3102" s="2"/>
      <c r="T3102" s="2">
        <v>2988</v>
      </c>
      <c r="U3102" s="48" t="s">
        <v>93</v>
      </c>
      <c r="V3102" s="2"/>
      <c r="W3102" s="2"/>
      <c r="X3102" s="2"/>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row>
    <row r="3103" spans="2:47" ht="14.25" customHeight="1" x14ac:dyDescent="0.3">
      <c r="B3103" s="3"/>
      <c r="Q3103" s="1"/>
      <c r="R3103" s="1"/>
      <c r="S3103" s="2"/>
      <c r="T3103" s="2">
        <v>2989</v>
      </c>
      <c r="U3103" s="48" t="s">
        <v>93</v>
      </c>
      <c r="V3103" s="2"/>
      <c r="W3103" s="2"/>
      <c r="X3103" s="2"/>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row>
    <row r="3104" spans="2:47" ht="14.25" customHeight="1" x14ac:dyDescent="0.3">
      <c r="B3104" s="3"/>
      <c r="Q3104" s="1"/>
      <c r="R3104" s="1"/>
      <c r="S3104" s="2"/>
      <c r="T3104" s="2">
        <v>2990</v>
      </c>
      <c r="U3104" s="48" t="s">
        <v>93</v>
      </c>
      <c r="V3104" s="2"/>
      <c r="W3104" s="2"/>
      <c r="X3104" s="2"/>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row>
    <row r="3105" spans="2:47" ht="14.25" customHeight="1" x14ac:dyDescent="0.3">
      <c r="B3105" s="3"/>
      <c r="Q3105" s="1"/>
      <c r="R3105" s="1"/>
      <c r="S3105" s="2"/>
      <c r="T3105" s="2">
        <v>2991</v>
      </c>
      <c r="U3105" s="48" t="s">
        <v>93</v>
      </c>
      <c r="V3105" s="2"/>
      <c r="W3105" s="2"/>
      <c r="X3105" s="2"/>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row>
    <row r="3106" spans="2:47" ht="14.25" customHeight="1" x14ac:dyDescent="0.3">
      <c r="B3106" s="3"/>
      <c r="Q3106" s="1"/>
      <c r="R3106" s="1"/>
      <c r="S3106" s="2"/>
      <c r="T3106" s="2">
        <v>2992</v>
      </c>
      <c r="U3106" s="48" t="s">
        <v>93</v>
      </c>
      <c r="V3106" s="2"/>
      <c r="W3106" s="2"/>
      <c r="X3106" s="2"/>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row>
    <row r="3107" spans="2:47" ht="14.25" customHeight="1" x14ac:dyDescent="0.3">
      <c r="B3107" s="3"/>
      <c r="Q3107" s="1"/>
      <c r="R3107" s="1"/>
      <c r="S3107" s="2"/>
      <c r="T3107" s="2">
        <v>2993</v>
      </c>
      <c r="U3107" s="48" t="s">
        <v>93</v>
      </c>
      <c r="V3107" s="2"/>
      <c r="W3107" s="2"/>
      <c r="X3107" s="2"/>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row>
    <row r="3108" spans="2:47" ht="14.25" customHeight="1" x14ac:dyDescent="0.3">
      <c r="B3108" s="3"/>
      <c r="Q3108" s="1"/>
      <c r="R3108" s="1"/>
      <c r="S3108" s="2"/>
      <c r="T3108" s="2">
        <v>2994</v>
      </c>
      <c r="U3108" s="48" t="s">
        <v>93</v>
      </c>
      <c r="V3108" s="2"/>
      <c r="W3108" s="2"/>
      <c r="X3108" s="2"/>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row>
    <row r="3109" spans="2:47" ht="14.25" customHeight="1" x14ac:dyDescent="0.3">
      <c r="B3109" s="3"/>
      <c r="Q3109" s="1"/>
      <c r="R3109" s="1"/>
      <c r="S3109" s="2"/>
      <c r="T3109" s="2">
        <v>2995</v>
      </c>
      <c r="U3109" s="48" t="s">
        <v>93</v>
      </c>
      <c r="V3109" s="2"/>
      <c r="W3109" s="2"/>
      <c r="X3109" s="2"/>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row>
    <row r="3110" spans="2:47" ht="14.25" customHeight="1" x14ac:dyDescent="0.3">
      <c r="B3110" s="3"/>
      <c r="Q3110" s="1"/>
      <c r="R3110" s="1"/>
      <c r="S3110" s="2"/>
      <c r="T3110" s="2">
        <v>2996</v>
      </c>
      <c r="U3110" s="48" t="s">
        <v>93</v>
      </c>
      <c r="V3110" s="2"/>
      <c r="W3110" s="2"/>
      <c r="X3110" s="2"/>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row>
    <row r="3111" spans="2:47" ht="14.25" customHeight="1" x14ac:dyDescent="0.3">
      <c r="B3111" s="3"/>
      <c r="Q3111" s="1"/>
      <c r="R3111" s="1"/>
      <c r="S3111" s="2"/>
      <c r="T3111" s="2">
        <v>2997</v>
      </c>
      <c r="U3111" s="48" t="s">
        <v>93</v>
      </c>
      <c r="V3111" s="2"/>
      <c r="W3111" s="2"/>
      <c r="X3111" s="2"/>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row>
    <row r="3112" spans="2:47" ht="14.25" customHeight="1" x14ac:dyDescent="0.3">
      <c r="B3112" s="3"/>
      <c r="Q3112" s="1"/>
      <c r="R3112" s="1"/>
      <c r="S3112" s="2"/>
      <c r="T3112" s="2">
        <v>2998</v>
      </c>
      <c r="U3112" s="48" t="s">
        <v>93</v>
      </c>
      <c r="V3112" s="2"/>
      <c r="W3112" s="2"/>
      <c r="X3112" s="2"/>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row>
    <row r="3113" spans="2:47" ht="14.25" customHeight="1" x14ac:dyDescent="0.3">
      <c r="B3113" s="3"/>
      <c r="Q3113" s="1"/>
      <c r="R3113" s="1"/>
      <c r="S3113" s="2"/>
      <c r="T3113" s="2">
        <v>2999</v>
      </c>
      <c r="U3113" s="48" t="s">
        <v>93</v>
      </c>
      <c r="V3113" s="2"/>
      <c r="W3113" s="2"/>
      <c r="X3113" s="2"/>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row>
    <row r="3114" spans="2:47" ht="14.25" customHeight="1" x14ac:dyDescent="0.3">
      <c r="B3114" s="3"/>
      <c r="Q3114" s="1"/>
      <c r="R3114" s="1"/>
      <c r="S3114" s="2"/>
      <c r="T3114" s="2">
        <v>3000</v>
      </c>
      <c r="U3114" s="48" t="s">
        <v>93</v>
      </c>
      <c r="V3114" s="2"/>
      <c r="W3114" s="2"/>
      <c r="X3114" s="2"/>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row>
  </sheetData>
  <mergeCells count="1952">
    <mergeCell ref="D455:E455"/>
    <mergeCell ref="F455:G455"/>
    <mergeCell ref="H455:I455"/>
    <mergeCell ref="D456:E456"/>
    <mergeCell ref="F456:G456"/>
    <mergeCell ref="H456:I456"/>
    <mergeCell ref="D457:E457"/>
    <mergeCell ref="L466:N466"/>
    <mergeCell ref="L467:N467"/>
    <mergeCell ref="P467:Q467"/>
    <mergeCell ref="L468:N468"/>
    <mergeCell ref="P468:Q468"/>
    <mergeCell ref="F457:G457"/>
    <mergeCell ref="H457:I457"/>
    <mergeCell ref="L464:N464"/>
    <mergeCell ref="P464:Q464"/>
    <mergeCell ref="L465:N465"/>
    <mergeCell ref="P465:Q465"/>
    <mergeCell ref="P466:Q466"/>
    <mergeCell ref="D447:E447"/>
    <mergeCell ref="F447:G447"/>
    <mergeCell ref="H447:I447"/>
    <mergeCell ref="D448:E448"/>
    <mergeCell ref="F451:G451"/>
    <mergeCell ref="H451:I451"/>
    <mergeCell ref="D449:E449"/>
    <mergeCell ref="F449:G449"/>
    <mergeCell ref="H449:I449"/>
    <mergeCell ref="D450:E450"/>
    <mergeCell ref="F450:G450"/>
    <mergeCell ref="H450:I450"/>
    <mergeCell ref="D451:E451"/>
    <mergeCell ref="F454:G454"/>
    <mergeCell ref="H454:I454"/>
    <mergeCell ref="D452:E452"/>
    <mergeCell ref="F452:G452"/>
    <mergeCell ref="H452:I452"/>
    <mergeCell ref="D453:E453"/>
    <mergeCell ref="F453:G453"/>
    <mergeCell ref="H453:I453"/>
    <mergeCell ref="D454:E454"/>
    <mergeCell ref="F301:G301"/>
    <mergeCell ref="H301:I301"/>
    <mergeCell ref="D299:E299"/>
    <mergeCell ref="F299:G299"/>
    <mergeCell ref="H299:I299"/>
    <mergeCell ref="D300:E300"/>
    <mergeCell ref="F300:G300"/>
    <mergeCell ref="H300:I300"/>
    <mergeCell ref="D301:E301"/>
    <mergeCell ref="D467:E467"/>
    <mergeCell ref="F467:G467"/>
    <mergeCell ref="H467:I467"/>
    <mergeCell ref="D468:E468"/>
    <mergeCell ref="F468:G468"/>
    <mergeCell ref="H468:I468"/>
    <mergeCell ref="F439:G439"/>
    <mergeCell ref="H439:I439"/>
    <mergeCell ref="D437:E437"/>
    <mergeCell ref="F437:G437"/>
    <mergeCell ref="H437:I437"/>
    <mergeCell ref="D438:E438"/>
    <mergeCell ref="F438:G438"/>
    <mergeCell ref="H438:I438"/>
    <mergeCell ref="D439:E439"/>
    <mergeCell ref="F442:G442"/>
    <mergeCell ref="H442:I442"/>
    <mergeCell ref="D440:E440"/>
    <mergeCell ref="F440:G440"/>
    <mergeCell ref="H440:I440"/>
    <mergeCell ref="D441:E441"/>
    <mergeCell ref="F441:G441"/>
    <mergeCell ref="H441:I441"/>
    <mergeCell ref="F295:G295"/>
    <mergeCell ref="H295:I295"/>
    <mergeCell ref="D293:E293"/>
    <mergeCell ref="F293:G293"/>
    <mergeCell ref="H293:I293"/>
    <mergeCell ref="D294:E294"/>
    <mergeCell ref="F294:G294"/>
    <mergeCell ref="H294:I294"/>
    <mergeCell ref="D295:E295"/>
    <mergeCell ref="F298:G298"/>
    <mergeCell ref="H298:I298"/>
    <mergeCell ref="D296:E296"/>
    <mergeCell ref="F296:G296"/>
    <mergeCell ref="H296:I296"/>
    <mergeCell ref="D297:E297"/>
    <mergeCell ref="F297:G297"/>
    <mergeCell ref="H297:I297"/>
    <mergeCell ref="D298:E298"/>
    <mergeCell ref="F463:G463"/>
    <mergeCell ref="H463:I463"/>
    <mergeCell ref="D461:E461"/>
    <mergeCell ref="F461:G461"/>
    <mergeCell ref="H461:I461"/>
    <mergeCell ref="D462:E462"/>
    <mergeCell ref="F462:G462"/>
    <mergeCell ref="H462:I462"/>
    <mergeCell ref="D463:E463"/>
    <mergeCell ref="F466:G466"/>
    <mergeCell ref="H466:I466"/>
    <mergeCell ref="D464:E464"/>
    <mergeCell ref="F464:G464"/>
    <mergeCell ref="H464:I464"/>
    <mergeCell ref="D465:E465"/>
    <mergeCell ref="F465:G465"/>
    <mergeCell ref="H465:I465"/>
    <mergeCell ref="D466:E466"/>
    <mergeCell ref="F373:G373"/>
    <mergeCell ref="H373:I373"/>
    <mergeCell ref="D371:E371"/>
    <mergeCell ref="F371:G371"/>
    <mergeCell ref="H371:I371"/>
    <mergeCell ref="D372:E372"/>
    <mergeCell ref="F372:G372"/>
    <mergeCell ref="H372:I372"/>
    <mergeCell ref="D373:E373"/>
    <mergeCell ref="F460:G460"/>
    <mergeCell ref="H460:I460"/>
    <mergeCell ref="D458:E458"/>
    <mergeCell ref="F458:G458"/>
    <mergeCell ref="H458:I458"/>
    <mergeCell ref="D459:E459"/>
    <mergeCell ref="F459:G459"/>
    <mergeCell ref="H459:I459"/>
    <mergeCell ref="D460:E460"/>
    <mergeCell ref="D442:E442"/>
    <mergeCell ref="F445:G445"/>
    <mergeCell ref="H445:I445"/>
    <mergeCell ref="D443:E443"/>
    <mergeCell ref="F443:G443"/>
    <mergeCell ref="H443:I443"/>
    <mergeCell ref="D444:E444"/>
    <mergeCell ref="F444:G444"/>
    <mergeCell ref="H444:I444"/>
    <mergeCell ref="D445:E445"/>
    <mergeCell ref="F448:G448"/>
    <mergeCell ref="H448:I448"/>
    <mergeCell ref="D446:E446"/>
    <mergeCell ref="F446:G446"/>
    <mergeCell ref="F367:G367"/>
    <mergeCell ref="H367:I367"/>
    <mergeCell ref="D365:E365"/>
    <mergeCell ref="F365:G365"/>
    <mergeCell ref="H365:I365"/>
    <mergeCell ref="D366:E366"/>
    <mergeCell ref="F366:G366"/>
    <mergeCell ref="H366:I366"/>
    <mergeCell ref="D367:E367"/>
    <mergeCell ref="F370:G370"/>
    <mergeCell ref="H370:I370"/>
    <mergeCell ref="D368:E368"/>
    <mergeCell ref="F368:G368"/>
    <mergeCell ref="H368:I368"/>
    <mergeCell ref="D369:E369"/>
    <mergeCell ref="F369:G369"/>
    <mergeCell ref="H369:I369"/>
    <mergeCell ref="D370:E370"/>
    <mergeCell ref="F361:G361"/>
    <mergeCell ref="H361:I361"/>
    <mergeCell ref="D359:E359"/>
    <mergeCell ref="F359:G359"/>
    <mergeCell ref="H359:I359"/>
    <mergeCell ref="D360:E360"/>
    <mergeCell ref="F360:G360"/>
    <mergeCell ref="H360:I360"/>
    <mergeCell ref="D361:E361"/>
    <mergeCell ref="F364:G364"/>
    <mergeCell ref="H364:I364"/>
    <mergeCell ref="D362:E362"/>
    <mergeCell ref="F362:G362"/>
    <mergeCell ref="H362:I362"/>
    <mergeCell ref="D363:E363"/>
    <mergeCell ref="F363:G363"/>
    <mergeCell ref="H363:I363"/>
    <mergeCell ref="D364:E364"/>
    <mergeCell ref="F355:G355"/>
    <mergeCell ref="H355:I355"/>
    <mergeCell ref="D353:E353"/>
    <mergeCell ref="F353:G353"/>
    <mergeCell ref="H353:I353"/>
    <mergeCell ref="D354:E354"/>
    <mergeCell ref="F354:G354"/>
    <mergeCell ref="H354:I354"/>
    <mergeCell ref="D355:E355"/>
    <mergeCell ref="F358:G358"/>
    <mergeCell ref="H358:I358"/>
    <mergeCell ref="D356:E356"/>
    <mergeCell ref="F356:G356"/>
    <mergeCell ref="H356:I356"/>
    <mergeCell ref="D357:E357"/>
    <mergeCell ref="F357:G357"/>
    <mergeCell ref="H357:I357"/>
    <mergeCell ref="D358:E358"/>
    <mergeCell ref="F349:G349"/>
    <mergeCell ref="H349:I349"/>
    <mergeCell ref="D347:E347"/>
    <mergeCell ref="F347:G347"/>
    <mergeCell ref="H347:I347"/>
    <mergeCell ref="D348:E348"/>
    <mergeCell ref="F348:G348"/>
    <mergeCell ref="H348:I348"/>
    <mergeCell ref="D349:E349"/>
    <mergeCell ref="F352:G352"/>
    <mergeCell ref="H352:I352"/>
    <mergeCell ref="D350:E350"/>
    <mergeCell ref="F350:G350"/>
    <mergeCell ref="H350:I350"/>
    <mergeCell ref="D351:E351"/>
    <mergeCell ref="F351:G351"/>
    <mergeCell ref="H351:I351"/>
    <mergeCell ref="D352:E352"/>
    <mergeCell ref="F343:G343"/>
    <mergeCell ref="H343:I343"/>
    <mergeCell ref="D341:E341"/>
    <mergeCell ref="F341:G341"/>
    <mergeCell ref="H341:I341"/>
    <mergeCell ref="D342:E342"/>
    <mergeCell ref="F342:G342"/>
    <mergeCell ref="H342:I342"/>
    <mergeCell ref="D343:E343"/>
    <mergeCell ref="F346:G346"/>
    <mergeCell ref="H346:I346"/>
    <mergeCell ref="D344:E344"/>
    <mergeCell ref="F344:G344"/>
    <mergeCell ref="H344:I344"/>
    <mergeCell ref="D345:E345"/>
    <mergeCell ref="F345:G345"/>
    <mergeCell ref="H345:I345"/>
    <mergeCell ref="D346:E346"/>
    <mergeCell ref="F337:G337"/>
    <mergeCell ref="H337:I337"/>
    <mergeCell ref="D335:E335"/>
    <mergeCell ref="F335:G335"/>
    <mergeCell ref="H335:I335"/>
    <mergeCell ref="D336:E336"/>
    <mergeCell ref="F336:G336"/>
    <mergeCell ref="H336:I336"/>
    <mergeCell ref="D337:E337"/>
    <mergeCell ref="F340:G340"/>
    <mergeCell ref="H340:I340"/>
    <mergeCell ref="D338:E338"/>
    <mergeCell ref="F338:G338"/>
    <mergeCell ref="H338:I338"/>
    <mergeCell ref="D339:E339"/>
    <mergeCell ref="F339:G339"/>
    <mergeCell ref="H339:I339"/>
    <mergeCell ref="D340:E340"/>
    <mergeCell ref="F331:G331"/>
    <mergeCell ref="H331:I331"/>
    <mergeCell ref="D329:E329"/>
    <mergeCell ref="F329:G329"/>
    <mergeCell ref="H329:I329"/>
    <mergeCell ref="D330:E330"/>
    <mergeCell ref="F330:G330"/>
    <mergeCell ref="H330:I330"/>
    <mergeCell ref="D331:E331"/>
    <mergeCell ref="F334:G334"/>
    <mergeCell ref="H334:I334"/>
    <mergeCell ref="D332:E332"/>
    <mergeCell ref="F332:G332"/>
    <mergeCell ref="H332:I332"/>
    <mergeCell ref="D333:E333"/>
    <mergeCell ref="F333:G333"/>
    <mergeCell ref="H333:I333"/>
    <mergeCell ref="D334:E334"/>
    <mergeCell ref="F325:G325"/>
    <mergeCell ref="H325:I325"/>
    <mergeCell ref="D323:E323"/>
    <mergeCell ref="F323:G323"/>
    <mergeCell ref="H323:I323"/>
    <mergeCell ref="D324:E324"/>
    <mergeCell ref="F324:G324"/>
    <mergeCell ref="H324:I324"/>
    <mergeCell ref="D325:E325"/>
    <mergeCell ref="F328:G328"/>
    <mergeCell ref="H328:I328"/>
    <mergeCell ref="D326:E326"/>
    <mergeCell ref="F326:G326"/>
    <mergeCell ref="H326:I326"/>
    <mergeCell ref="D327:E327"/>
    <mergeCell ref="F327:G327"/>
    <mergeCell ref="H327:I327"/>
    <mergeCell ref="D328:E328"/>
    <mergeCell ref="F319:G319"/>
    <mergeCell ref="H319:I319"/>
    <mergeCell ref="D317:E317"/>
    <mergeCell ref="F317:G317"/>
    <mergeCell ref="H317:I317"/>
    <mergeCell ref="D318:E318"/>
    <mergeCell ref="F318:G318"/>
    <mergeCell ref="H318:I318"/>
    <mergeCell ref="D319:E319"/>
    <mergeCell ref="F322:G322"/>
    <mergeCell ref="H322:I322"/>
    <mergeCell ref="D320:E320"/>
    <mergeCell ref="F320:G320"/>
    <mergeCell ref="H320:I320"/>
    <mergeCell ref="D321:E321"/>
    <mergeCell ref="F321:G321"/>
    <mergeCell ref="H321:I321"/>
    <mergeCell ref="D322:E322"/>
    <mergeCell ref="F313:G313"/>
    <mergeCell ref="H313:I313"/>
    <mergeCell ref="D311:E311"/>
    <mergeCell ref="F311:G311"/>
    <mergeCell ref="H311:I311"/>
    <mergeCell ref="D312:E312"/>
    <mergeCell ref="F312:G312"/>
    <mergeCell ref="H312:I312"/>
    <mergeCell ref="D313:E313"/>
    <mergeCell ref="F316:G316"/>
    <mergeCell ref="H316:I316"/>
    <mergeCell ref="D314:E314"/>
    <mergeCell ref="F314:G314"/>
    <mergeCell ref="H314:I314"/>
    <mergeCell ref="D315:E315"/>
    <mergeCell ref="F315:G315"/>
    <mergeCell ref="H315:I315"/>
    <mergeCell ref="D316:E316"/>
    <mergeCell ref="L293:N293"/>
    <mergeCell ref="L294:N294"/>
    <mergeCell ref="L295:N295"/>
    <mergeCell ref="L296:N296"/>
    <mergeCell ref="L297:N297"/>
    <mergeCell ref="L298:N298"/>
    <mergeCell ref="L299:N299"/>
    <mergeCell ref="P301:Q301"/>
    <mergeCell ref="P302:Q302"/>
    <mergeCell ref="P303:Q303"/>
    <mergeCell ref="P304:Q304"/>
    <mergeCell ref="P305:Q305"/>
    <mergeCell ref="P306:Q306"/>
    <mergeCell ref="P307:Q307"/>
    <mergeCell ref="P308:Q308"/>
    <mergeCell ref="P294:Q294"/>
    <mergeCell ref="P295:Q295"/>
    <mergeCell ref="P296:Q296"/>
    <mergeCell ref="P297:Q297"/>
    <mergeCell ref="P298:Q298"/>
    <mergeCell ref="P299:Q299"/>
    <mergeCell ref="P300:Q300"/>
    <mergeCell ref="L307:N307"/>
    <mergeCell ref="L308:N308"/>
    <mergeCell ref="L300:N300"/>
    <mergeCell ref="L301:N301"/>
    <mergeCell ref="L302:N302"/>
    <mergeCell ref="L303:N303"/>
    <mergeCell ref="L304:N304"/>
    <mergeCell ref="L305:N305"/>
    <mergeCell ref="L306:N306"/>
    <mergeCell ref="L279:N279"/>
    <mergeCell ref="L280:N280"/>
    <mergeCell ref="L281:N281"/>
    <mergeCell ref="P281:Q281"/>
    <mergeCell ref="L282:N282"/>
    <mergeCell ref="P282:Q282"/>
    <mergeCell ref="P284:Q284"/>
    <mergeCell ref="P288:Q288"/>
    <mergeCell ref="P289:Q289"/>
    <mergeCell ref="L284:N284"/>
    <mergeCell ref="L285:N285"/>
    <mergeCell ref="L286:N286"/>
    <mergeCell ref="L287:N287"/>
    <mergeCell ref="P287:Q287"/>
    <mergeCell ref="L288:N288"/>
    <mergeCell ref="L289:N289"/>
    <mergeCell ref="L290:N290"/>
    <mergeCell ref="P290:Q290"/>
    <mergeCell ref="L291:N291"/>
    <mergeCell ref="P291:Q291"/>
    <mergeCell ref="L292:N292"/>
    <mergeCell ref="P292:Q292"/>
    <mergeCell ref="P293:Q293"/>
    <mergeCell ref="F226:G226"/>
    <mergeCell ref="H226:I226"/>
    <mergeCell ref="D224:E224"/>
    <mergeCell ref="F224:G224"/>
    <mergeCell ref="H224:I224"/>
    <mergeCell ref="D225:E225"/>
    <mergeCell ref="F225:G225"/>
    <mergeCell ref="H225:I225"/>
    <mergeCell ref="D226:E226"/>
    <mergeCell ref="P267:Q267"/>
    <mergeCell ref="P268:Q268"/>
    <mergeCell ref="P260:Q260"/>
    <mergeCell ref="P261:Q261"/>
    <mergeCell ref="P262:Q262"/>
    <mergeCell ref="P263:Q263"/>
    <mergeCell ref="P264:Q264"/>
    <mergeCell ref="P265:Q265"/>
    <mergeCell ref="P266:Q266"/>
    <mergeCell ref="D216:E216"/>
    <mergeCell ref="F216:G216"/>
    <mergeCell ref="H216:I216"/>
    <mergeCell ref="D217:E217"/>
    <mergeCell ref="F220:G220"/>
    <mergeCell ref="H220:I220"/>
    <mergeCell ref="D218:E218"/>
    <mergeCell ref="F218:G218"/>
    <mergeCell ref="H218:I218"/>
    <mergeCell ref="D219:E219"/>
    <mergeCell ref="F219:G219"/>
    <mergeCell ref="H219:I219"/>
    <mergeCell ref="D220:E220"/>
    <mergeCell ref="F223:G223"/>
    <mergeCell ref="H223:I223"/>
    <mergeCell ref="D221:E221"/>
    <mergeCell ref="F221:G221"/>
    <mergeCell ref="H221:I221"/>
    <mergeCell ref="D222:E222"/>
    <mergeCell ref="F222:G222"/>
    <mergeCell ref="H222:I222"/>
    <mergeCell ref="D223:E223"/>
    <mergeCell ref="P458:Q458"/>
    <mergeCell ref="P459:Q459"/>
    <mergeCell ref="P451:Q451"/>
    <mergeCell ref="P452:Q452"/>
    <mergeCell ref="P453:Q453"/>
    <mergeCell ref="P454:Q454"/>
    <mergeCell ref="P455:Q455"/>
    <mergeCell ref="P456:Q456"/>
    <mergeCell ref="P457:Q457"/>
    <mergeCell ref="F211:G211"/>
    <mergeCell ref="H211:I211"/>
    <mergeCell ref="D209:E209"/>
    <mergeCell ref="F209:G209"/>
    <mergeCell ref="H209:I209"/>
    <mergeCell ref="D210:E210"/>
    <mergeCell ref="F210:G210"/>
    <mergeCell ref="H210:I210"/>
    <mergeCell ref="D211:E211"/>
    <mergeCell ref="F214:G214"/>
    <mergeCell ref="H214:I214"/>
    <mergeCell ref="D212:E212"/>
    <mergeCell ref="F212:G212"/>
    <mergeCell ref="H212:I212"/>
    <mergeCell ref="D213:E213"/>
    <mergeCell ref="F213:G213"/>
    <mergeCell ref="H213:I213"/>
    <mergeCell ref="D214:E214"/>
    <mergeCell ref="F217:G217"/>
    <mergeCell ref="H217:I217"/>
    <mergeCell ref="D215:E215"/>
    <mergeCell ref="F215:G215"/>
    <mergeCell ref="H215:I215"/>
    <mergeCell ref="F404:G404"/>
    <mergeCell ref="H404:I404"/>
    <mergeCell ref="D405:E405"/>
    <mergeCell ref="F405:G405"/>
    <mergeCell ref="H405:I405"/>
    <mergeCell ref="D406:E406"/>
    <mergeCell ref="F409:G409"/>
    <mergeCell ref="H409:I409"/>
    <mergeCell ref="D407:E407"/>
    <mergeCell ref="F407:G407"/>
    <mergeCell ref="H407:I407"/>
    <mergeCell ref="D408:E408"/>
    <mergeCell ref="F408:G408"/>
    <mergeCell ref="H408:I408"/>
    <mergeCell ref="D409:E409"/>
    <mergeCell ref="F412:G412"/>
    <mergeCell ref="H412:I412"/>
    <mergeCell ref="D410:E410"/>
    <mergeCell ref="F410:G410"/>
    <mergeCell ref="H410:I410"/>
    <mergeCell ref="D411:E411"/>
    <mergeCell ref="F411:G411"/>
    <mergeCell ref="H411:I411"/>
    <mergeCell ref="D412:E412"/>
    <mergeCell ref="L463:N463"/>
    <mergeCell ref="P463:Q463"/>
    <mergeCell ref="F397:G397"/>
    <mergeCell ref="H397:I397"/>
    <mergeCell ref="D395:E395"/>
    <mergeCell ref="F395:G395"/>
    <mergeCell ref="H395:I395"/>
    <mergeCell ref="D396:E396"/>
    <mergeCell ref="F396:G396"/>
    <mergeCell ref="H396:I396"/>
    <mergeCell ref="D397:E397"/>
    <mergeCell ref="F400:G400"/>
    <mergeCell ref="H400:I400"/>
    <mergeCell ref="D398:E398"/>
    <mergeCell ref="F398:G398"/>
    <mergeCell ref="H398:I398"/>
    <mergeCell ref="D399:E399"/>
    <mergeCell ref="F399:G399"/>
    <mergeCell ref="H399:I399"/>
    <mergeCell ref="D400:E400"/>
    <mergeCell ref="F403:G403"/>
    <mergeCell ref="H403:I403"/>
    <mergeCell ref="D401:E401"/>
    <mergeCell ref="F401:G401"/>
    <mergeCell ref="H401:I401"/>
    <mergeCell ref="D402:E402"/>
    <mergeCell ref="F402:G402"/>
    <mergeCell ref="H402:I402"/>
    <mergeCell ref="D403:E403"/>
    <mergeCell ref="F406:G406"/>
    <mergeCell ref="H406:I406"/>
    <mergeCell ref="D404:E404"/>
    <mergeCell ref="D413:E413"/>
    <mergeCell ref="F413:G413"/>
    <mergeCell ref="H413:I413"/>
    <mergeCell ref="D414:E414"/>
    <mergeCell ref="F414:G414"/>
    <mergeCell ref="H414:I414"/>
    <mergeCell ref="D415:E415"/>
    <mergeCell ref="F415:G415"/>
    <mergeCell ref="H415:I415"/>
    <mergeCell ref="L440:N440"/>
    <mergeCell ref="P440:Q440"/>
    <mergeCell ref="L441:N441"/>
    <mergeCell ref="P441:Q441"/>
    <mergeCell ref="P442:Q442"/>
    <mergeCell ref="P445:Q445"/>
    <mergeCell ref="P446:Q446"/>
    <mergeCell ref="L442:N442"/>
    <mergeCell ref="L443:N443"/>
    <mergeCell ref="P443:Q443"/>
    <mergeCell ref="L444:N444"/>
    <mergeCell ref="P444:Q444"/>
    <mergeCell ref="L445:N445"/>
    <mergeCell ref="L446:N446"/>
    <mergeCell ref="H446:I446"/>
    <mergeCell ref="F436:G436"/>
    <mergeCell ref="H436:I436"/>
    <mergeCell ref="D434:E434"/>
    <mergeCell ref="F434:G434"/>
    <mergeCell ref="H434:I434"/>
    <mergeCell ref="D435:E435"/>
    <mergeCell ref="F435:G435"/>
    <mergeCell ref="H435:I435"/>
    <mergeCell ref="D436:E436"/>
    <mergeCell ref="P461:Q461"/>
    <mergeCell ref="P462:Q462"/>
    <mergeCell ref="L457:N457"/>
    <mergeCell ref="L458:N458"/>
    <mergeCell ref="L459:N459"/>
    <mergeCell ref="L460:N460"/>
    <mergeCell ref="P460:Q460"/>
    <mergeCell ref="L461:N461"/>
    <mergeCell ref="L462:N462"/>
    <mergeCell ref="L447:N447"/>
    <mergeCell ref="P447:Q447"/>
    <mergeCell ref="L448:N448"/>
    <mergeCell ref="P448:Q448"/>
    <mergeCell ref="L449:N449"/>
    <mergeCell ref="P449:Q449"/>
    <mergeCell ref="P450:Q450"/>
    <mergeCell ref="L450:N450"/>
    <mergeCell ref="L451:N451"/>
    <mergeCell ref="L452:N452"/>
    <mergeCell ref="L453:N453"/>
    <mergeCell ref="L454:N454"/>
    <mergeCell ref="L455:N455"/>
    <mergeCell ref="L456:N456"/>
    <mergeCell ref="F430:G430"/>
    <mergeCell ref="H430:I430"/>
    <mergeCell ref="D428:E428"/>
    <mergeCell ref="F428:G428"/>
    <mergeCell ref="H428:I428"/>
    <mergeCell ref="D429:E429"/>
    <mergeCell ref="F429:G429"/>
    <mergeCell ref="H429:I429"/>
    <mergeCell ref="D430:E430"/>
    <mergeCell ref="F433:G433"/>
    <mergeCell ref="H433:I433"/>
    <mergeCell ref="D431:E431"/>
    <mergeCell ref="F431:G431"/>
    <mergeCell ref="H431:I431"/>
    <mergeCell ref="D432:E432"/>
    <mergeCell ref="F432:G432"/>
    <mergeCell ref="H432:I432"/>
    <mergeCell ref="D433:E433"/>
    <mergeCell ref="F424:G424"/>
    <mergeCell ref="H424:I424"/>
    <mergeCell ref="D422:E422"/>
    <mergeCell ref="F422:G422"/>
    <mergeCell ref="H422:I422"/>
    <mergeCell ref="D423:E423"/>
    <mergeCell ref="F423:G423"/>
    <mergeCell ref="H423:I423"/>
    <mergeCell ref="D424:E424"/>
    <mergeCell ref="F427:G427"/>
    <mergeCell ref="H427:I427"/>
    <mergeCell ref="D425:E425"/>
    <mergeCell ref="F425:G425"/>
    <mergeCell ref="H425:I425"/>
    <mergeCell ref="D426:E426"/>
    <mergeCell ref="F426:G426"/>
    <mergeCell ref="H426:I426"/>
    <mergeCell ref="D427:E427"/>
    <mergeCell ref="F418:G418"/>
    <mergeCell ref="H418:I418"/>
    <mergeCell ref="D416:E416"/>
    <mergeCell ref="F416:G416"/>
    <mergeCell ref="H416:I416"/>
    <mergeCell ref="D417:E417"/>
    <mergeCell ref="F417:G417"/>
    <mergeCell ref="H417:I417"/>
    <mergeCell ref="D418:E418"/>
    <mergeCell ref="F421:G421"/>
    <mergeCell ref="H421:I421"/>
    <mergeCell ref="D419:E419"/>
    <mergeCell ref="F419:G419"/>
    <mergeCell ref="H419:I419"/>
    <mergeCell ref="D420:E420"/>
    <mergeCell ref="F420:G420"/>
    <mergeCell ref="H420:I420"/>
    <mergeCell ref="D421:E421"/>
    <mergeCell ref="L424:N424"/>
    <mergeCell ref="P424:Q424"/>
    <mergeCell ref="L425:N425"/>
    <mergeCell ref="P425:Q425"/>
    <mergeCell ref="L426:N426"/>
    <mergeCell ref="P426:Q426"/>
    <mergeCell ref="P427:Q427"/>
    <mergeCell ref="L427:N427"/>
    <mergeCell ref="L428:N428"/>
    <mergeCell ref="L429:N429"/>
    <mergeCell ref="L430:N430"/>
    <mergeCell ref="L431:N431"/>
    <mergeCell ref="L432:N432"/>
    <mergeCell ref="L433:N433"/>
    <mergeCell ref="P438:Q438"/>
    <mergeCell ref="P439:Q439"/>
    <mergeCell ref="L434:N434"/>
    <mergeCell ref="L435:N435"/>
    <mergeCell ref="L436:N436"/>
    <mergeCell ref="L437:N437"/>
    <mergeCell ref="P437:Q437"/>
    <mergeCell ref="L438:N438"/>
    <mergeCell ref="L439:N439"/>
    <mergeCell ref="P435:Q435"/>
    <mergeCell ref="P436:Q436"/>
    <mergeCell ref="P428:Q428"/>
    <mergeCell ref="P429:Q429"/>
    <mergeCell ref="P430:Q430"/>
    <mergeCell ref="P431:Q431"/>
    <mergeCell ref="P432:Q432"/>
    <mergeCell ref="P433:Q433"/>
    <mergeCell ref="P434:Q434"/>
    <mergeCell ref="D392:E392"/>
    <mergeCell ref="F392:G392"/>
    <mergeCell ref="H392:I392"/>
    <mergeCell ref="D393:E393"/>
    <mergeCell ref="F393:G393"/>
    <mergeCell ref="H393:I393"/>
    <mergeCell ref="D394:E394"/>
    <mergeCell ref="F394:G394"/>
    <mergeCell ref="H394:I394"/>
    <mergeCell ref="L417:N417"/>
    <mergeCell ref="P417:Q417"/>
    <mergeCell ref="L418:N418"/>
    <mergeCell ref="P418:Q418"/>
    <mergeCell ref="P419:Q419"/>
    <mergeCell ref="P422:Q422"/>
    <mergeCell ref="P423:Q423"/>
    <mergeCell ref="L419:N419"/>
    <mergeCell ref="L420:N420"/>
    <mergeCell ref="P420:Q420"/>
    <mergeCell ref="L421:N421"/>
    <mergeCell ref="P421:Q421"/>
    <mergeCell ref="L422:N422"/>
    <mergeCell ref="L423:N423"/>
    <mergeCell ref="F388:G388"/>
    <mergeCell ref="H388:I388"/>
    <mergeCell ref="D386:E386"/>
    <mergeCell ref="F386:G386"/>
    <mergeCell ref="H386:I386"/>
    <mergeCell ref="D387:E387"/>
    <mergeCell ref="F387:G387"/>
    <mergeCell ref="H387:I387"/>
    <mergeCell ref="D388:E388"/>
    <mergeCell ref="F391:G391"/>
    <mergeCell ref="H391:I391"/>
    <mergeCell ref="D389:E389"/>
    <mergeCell ref="F389:G389"/>
    <mergeCell ref="H389:I389"/>
    <mergeCell ref="D390:E390"/>
    <mergeCell ref="F390:G390"/>
    <mergeCell ref="H390:I390"/>
    <mergeCell ref="D391:E391"/>
    <mergeCell ref="F382:G382"/>
    <mergeCell ref="H382:I382"/>
    <mergeCell ref="D380:E380"/>
    <mergeCell ref="F380:G380"/>
    <mergeCell ref="H380:I380"/>
    <mergeCell ref="D381:E381"/>
    <mergeCell ref="F381:G381"/>
    <mergeCell ref="H381:I381"/>
    <mergeCell ref="D382:E382"/>
    <mergeCell ref="F385:G385"/>
    <mergeCell ref="H385:I385"/>
    <mergeCell ref="D383:E383"/>
    <mergeCell ref="F383:G383"/>
    <mergeCell ref="H383:I383"/>
    <mergeCell ref="D384:E384"/>
    <mergeCell ref="F384:G384"/>
    <mergeCell ref="H384:I384"/>
    <mergeCell ref="D385:E385"/>
    <mergeCell ref="F376:G376"/>
    <mergeCell ref="H376:I376"/>
    <mergeCell ref="D374:E374"/>
    <mergeCell ref="F374:G374"/>
    <mergeCell ref="H374:I374"/>
    <mergeCell ref="D375:E375"/>
    <mergeCell ref="F375:G375"/>
    <mergeCell ref="H375:I375"/>
    <mergeCell ref="D376:E376"/>
    <mergeCell ref="F379:G379"/>
    <mergeCell ref="H379:I379"/>
    <mergeCell ref="D377:E377"/>
    <mergeCell ref="F377:G377"/>
    <mergeCell ref="H377:I377"/>
    <mergeCell ref="D378:E378"/>
    <mergeCell ref="F378:G378"/>
    <mergeCell ref="H378:I378"/>
    <mergeCell ref="D379:E379"/>
    <mergeCell ref="L404:N404"/>
    <mergeCell ref="L405:N405"/>
    <mergeCell ref="L406:N406"/>
    <mergeCell ref="P400:Q400"/>
    <mergeCell ref="P401:Q401"/>
    <mergeCell ref="L402:N402"/>
    <mergeCell ref="P402:Q402"/>
    <mergeCell ref="L403:N403"/>
    <mergeCell ref="P403:Q403"/>
    <mergeCell ref="P404:Q404"/>
    <mergeCell ref="L409:N409"/>
    <mergeCell ref="L410:N410"/>
    <mergeCell ref="L411:N411"/>
    <mergeCell ref="P405:Q405"/>
    <mergeCell ref="P406:Q406"/>
    <mergeCell ref="L407:N407"/>
    <mergeCell ref="P407:Q407"/>
    <mergeCell ref="L408:N408"/>
    <mergeCell ref="P408:Q408"/>
    <mergeCell ref="P409:Q409"/>
    <mergeCell ref="L394:N394"/>
    <mergeCell ref="L395:N395"/>
    <mergeCell ref="L396:N396"/>
    <mergeCell ref="P390:Q390"/>
    <mergeCell ref="P391:Q391"/>
    <mergeCell ref="L392:N392"/>
    <mergeCell ref="P392:Q392"/>
    <mergeCell ref="L393:N393"/>
    <mergeCell ref="P393:Q393"/>
    <mergeCell ref="P394:Q394"/>
    <mergeCell ref="L399:N399"/>
    <mergeCell ref="L400:N400"/>
    <mergeCell ref="L401:N401"/>
    <mergeCell ref="P395:Q395"/>
    <mergeCell ref="P396:Q396"/>
    <mergeCell ref="L397:N397"/>
    <mergeCell ref="P397:Q397"/>
    <mergeCell ref="L398:N398"/>
    <mergeCell ref="P398:Q398"/>
    <mergeCell ref="P399:Q399"/>
    <mergeCell ref="P415:Q415"/>
    <mergeCell ref="P416:Q416"/>
    <mergeCell ref="L379:N379"/>
    <mergeCell ref="L380:N380"/>
    <mergeCell ref="L381:N381"/>
    <mergeCell ref="P375:Q375"/>
    <mergeCell ref="P376:Q376"/>
    <mergeCell ref="L377:N377"/>
    <mergeCell ref="P377:Q377"/>
    <mergeCell ref="L378:N378"/>
    <mergeCell ref="P378:Q378"/>
    <mergeCell ref="P379:Q379"/>
    <mergeCell ref="L384:N384"/>
    <mergeCell ref="L385:N385"/>
    <mergeCell ref="L386:N386"/>
    <mergeCell ref="P380:Q380"/>
    <mergeCell ref="P381:Q381"/>
    <mergeCell ref="L382:N382"/>
    <mergeCell ref="P382:Q382"/>
    <mergeCell ref="L383:N383"/>
    <mergeCell ref="P383:Q383"/>
    <mergeCell ref="P384:Q384"/>
    <mergeCell ref="L389:N389"/>
    <mergeCell ref="L390:N390"/>
    <mergeCell ref="L391:N391"/>
    <mergeCell ref="P385:Q385"/>
    <mergeCell ref="P386:Q386"/>
    <mergeCell ref="L387:N387"/>
    <mergeCell ref="P387:Q387"/>
    <mergeCell ref="L388:N388"/>
    <mergeCell ref="P388:Q388"/>
    <mergeCell ref="P389:Q389"/>
    <mergeCell ref="L414:N414"/>
    <mergeCell ref="L415:N415"/>
    <mergeCell ref="L416:N416"/>
    <mergeCell ref="P410:Q410"/>
    <mergeCell ref="P411:Q411"/>
    <mergeCell ref="L412:N412"/>
    <mergeCell ref="P412:Q412"/>
    <mergeCell ref="L413:N413"/>
    <mergeCell ref="P413:Q413"/>
    <mergeCell ref="P414:Q414"/>
    <mergeCell ref="P330:Q330"/>
    <mergeCell ref="P331:Q331"/>
    <mergeCell ref="L326:N326"/>
    <mergeCell ref="L327:N327"/>
    <mergeCell ref="L328:N328"/>
    <mergeCell ref="L329:N329"/>
    <mergeCell ref="P329:Q329"/>
    <mergeCell ref="L330:N330"/>
    <mergeCell ref="L331:N331"/>
    <mergeCell ref="L333:N333"/>
    <mergeCell ref="P333:Q333"/>
    <mergeCell ref="L334:N334"/>
    <mergeCell ref="P334:Q334"/>
    <mergeCell ref="L335:N335"/>
    <mergeCell ref="P335:Q335"/>
    <mergeCell ref="P336:Q336"/>
    <mergeCell ref="L336:N336"/>
    <mergeCell ref="L337:N337"/>
    <mergeCell ref="L338:N338"/>
    <mergeCell ref="L339:N339"/>
    <mergeCell ref="L340:N340"/>
    <mergeCell ref="L341:N341"/>
    <mergeCell ref="L369:N369"/>
    <mergeCell ref="L370:N370"/>
    <mergeCell ref="L371:N371"/>
    <mergeCell ref="P365:Q365"/>
    <mergeCell ref="P366:Q366"/>
    <mergeCell ref="L367:N367"/>
    <mergeCell ref="P367:Q367"/>
    <mergeCell ref="L368:N368"/>
    <mergeCell ref="P368:Q368"/>
    <mergeCell ref="P369:Q369"/>
    <mergeCell ref="L374:N374"/>
    <mergeCell ref="L375:N375"/>
    <mergeCell ref="L376:N376"/>
    <mergeCell ref="P370:Q370"/>
    <mergeCell ref="P371:Q371"/>
    <mergeCell ref="L372:N372"/>
    <mergeCell ref="P372:Q372"/>
    <mergeCell ref="L373:N373"/>
    <mergeCell ref="P373:Q373"/>
    <mergeCell ref="P374:Q374"/>
    <mergeCell ref="L359:N359"/>
    <mergeCell ref="L360:N360"/>
    <mergeCell ref="L361:N361"/>
    <mergeCell ref="L356:N356"/>
    <mergeCell ref="P356:Q356"/>
    <mergeCell ref="L357:N357"/>
    <mergeCell ref="P357:Q357"/>
    <mergeCell ref="L358:N358"/>
    <mergeCell ref="P358:Q358"/>
    <mergeCell ref="P359:Q359"/>
    <mergeCell ref="L364:N364"/>
    <mergeCell ref="L365:N365"/>
    <mergeCell ref="L366:N366"/>
    <mergeCell ref="P360:Q360"/>
    <mergeCell ref="P361:Q361"/>
    <mergeCell ref="L362:N362"/>
    <mergeCell ref="P362:Q362"/>
    <mergeCell ref="L363:N363"/>
    <mergeCell ref="P363:Q363"/>
    <mergeCell ref="P364:Q364"/>
    <mergeCell ref="P352:Q352"/>
    <mergeCell ref="P344:Q344"/>
    <mergeCell ref="P345:Q345"/>
    <mergeCell ref="P346:Q346"/>
    <mergeCell ref="P347:Q347"/>
    <mergeCell ref="P348:Q348"/>
    <mergeCell ref="P349:Q349"/>
    <mergeCell ref="P350:Q350"/>
    <mergeCell ref="P354:Q354"/>
    <mergeCell ref="P355:Q355"/>
    <mergeCell ref="L350:N350"/>
    <mergeCell ref="L351:N351"/>
    <mergeCell ref="L352:N352"/>
    <mergeCell ref="L353:N353"/>
    <mergeCell ref="P353:Q353"/>
    <mergeCell ref="L354:N354"/>
    <mergeCell ref="L355:N355"/>
    <mergeCell ref="L344:N344"/>
    <mergeCell ref="L345:N345"/>
    <mergeCell ref="L346:N346"/>
    <mergeCell ref="L347:N347"/>
    <mergeCell ref="L348:N348"/>
    <mergeCell ref="L349:N349"/>
    <mergeCell ref="L316:N316"/>
    <mergeCell ref="P316:Q316"/>
    <mergeCell ref="L317:N317"/>
    <mergeCell ref="P317:Q317"/>
    <mergeCell ref="L318:N318"/>
    <mergeCell ref="P318:Q318"/>
    <mergeCell ref="P319:Q319"/>
    <mergeCell ref="L319:N319"/>
    <mergeCell ref="L320:N320"/>
    <mergeCell ref="L321:N321"/>
    <mergeCell ref="L322:N322"/>
    <mergeCell ref="L323:N323"/>
    <mergeCell ref="L324:N324"/>
    <mergeCell ref="L325:N325"/>
    <mergeCell ref="L332:N332"/>
    <mergeCell ref="P332:Q332"/>
    <mergeCell ref="P351:Q351"/>
    <mergeCell ref="L342:N342"/>
    <mergeCell ref="P337:Q337"/>
    <mergeCell ref="P338:Q338"/>
    <mergeCell ref="P339:Q339"/>
    <mergeCell ref="P340:Q340"/>
    <mergeCell ref="P341:Q341"/>
    <mergeCell ref="P342:Q342"/>
    <mergeCell ref="P343:Q343"/>
    <mergeCell ref="L343:N343"/>
    <mergeCell ref="P327:Q327"/>
    <mergeCell ref="P328:Q328"/>
    <mergeCell ref="P320:Q320"/>
    <mergeCell ref="P321:Q321"/>
    <mergeCell ref="P322:Q322"/>
    <mergeCell ref="P323:Q323"/>
    <mergeCell ref="P324:Q324"/>
    <mergeCell ref="P325:Q325"/>
    <mergeCell ref="P326:Q326"/>
    <mergeCell ref="D305:E305"/>
    <mergeCell ref="F305:G305"/>
    <mergeCell ref="H305:I305"/>
    <mergeCell ref="D306:E306"/>
    <mergeCell ref="F306:G306"/>
    <mergeCell ref="H306:I306"/>
    <mergeCell ref="D307:E307"/>
    <mergeCell ref="F307:G307"/>
    <mergeCell ref="H307:I307"/>
    <mergeCell ref="L309:N309"/>
    <mergeCell ref="P309:Q309"/>
    <mergeCell ref="L310:N310"/>
    <mergeCell ref="P310:Q310"/>
    <mergeCell ref="P311:Q311"/>
    <mergeCell ref="P314:Q314"/>
    <mergeCell ref="P315:Q315"/>
    <mergeCell ref="L311:N311"/>
    <mergeCell ref="L312:N312"/>
    <mergeCell ref="P312:Q312"/>
    <mergeCell ref="L313:N313"/>
    <mergeCell ref="P313:Q313"/>
    <mergeCell ref="L314:N314"/>
    <mergeCell ref="L315:N315"/>
    <mergeCell ref="F304:G304"/>
    <mergeCell ref="H304:I304"/>
    <mergeCell ref="D302:E302"/>
    <mergeCell ref="F302:G302"/>
    <mergeCell ref="H302:I302"/>
    <mergeCell ref="D303:E303"/>
    <mergeCell ref="F303:G303"/>
    <mergeCell ref="H303:I303"/>
    <mergeCell ref="D304:E304"/>
    <mergeCell ref="F310:G310"/>
    <mergeCell ref="H310:I310"/>
    <mergeCell ref="D308:E308"/>
    <mergeCell ref="F308:G308"/>
    <mergeCell ref="H308:I308"/>
    <mergeCell ref="D309:E309"/>
    <mergeCell ref="F309:G309"/>
    <mergeCell ref="H309:I309"/>
    <mergeCell ref="D310:E310"/>
    <mergeCell ref="F289:G289"/>
    <mergeCell ref="H289:I289"/>
    <mergeCell ref="D287:E287"/>
    <mergeCell ref="F287:G287"/>
    <mergeCell ref="H287:I287"/>
    <mergeCell ref="D288:E288"/>
    <mergeCell ref="F288:G288"/>
    <mergeCell ref="H288:I288"/>
    <mergeCell ref="D289:E289"/>
    <mergeCell ref="F292:G292"/>
    <mergeCell ref="H292:I292"/>
    <mergeCell ref="D290:E290"/>
    <mergeCell ref="F290:G290"/>
    <mergeCell ref="H290:I290"/>
    <mergeCell ref="D291:E291"/>
    <mergeCell ref="F291:G291"/>
    <mergeCell ref="H291:I291"/>
    <mergeCell ref="D292:E292"/>
    <mergeCell ref="D279:E279"/>
    <mergeCell ref="F279:G279"/>
    <mergeCell ref="H279:I279"/>
    <mergeCell ref="P279:Q279"/>
    <mergeCell ref="F280:G280"/>
    <mergeCell ref="H280:I280"/>
    <mergeCell ref="P280:Q280"/>
    <mergeCell ref="D283:E283"/>
    <mergeCell ref="F283:G283"/>
    <mergeCell ref="H283:I283"/>
    <mergeCell ref="L283:N283"/>
    <mergeCell ref="P283:Q283"/>
    <mergeCell ref="P285:Q285"/>
    <mergeCell ref="P286:Q286"/>
    <mergeCell ref="D280:E280"/>
    <mergeCell ref="D281:E281"/>
    <mergeCell ref="F281:G281"/>
    <mergeCell ref="H281:I281"/>
    <mergeCell ref="D282:E282"/>
    <mergeCell ref="F282:G282"/>
    <mergeCell ref="H282:I282"/>
    <mergeCell ref="F286:G286"/>
    <mergeCell ref="H286:I286"/>
    <mergeCell ref="D284:E284"/>
    <mergeCell ref="F284:G284"/>
    <mergeCell ref="H284:I284"/>
    <mergeCell ref="D285:E285"/>
    <mergeCell ref="F285:G285"/>
    <mergeCell ref="H285:I285"/>
    <mergeCell ref="D286:E286"/>
    <mergeCell ref="L274:N274"/>
    <mergeCell ref="L275:N275"/>
    <mergeCell ref="L276:N276"/>
    <mergeCell ref="P276:Q276"/>
    <mergeCell ref="L277:N277"/>
    <mergeCell ref="P277:Q277"/>
    <mergeCell ref="D274:E274"/>
    <mergeCell ref="F274:G274"/>
    <mergeCell ref="H274:I274"/>
    <mergeCell ref="P274:Q274"/>
    <mergeCell ref="F275:G275"/>
    <mergeCell ref="H275:I275"/>
    <mergeCell ref="P275:Q275"/>
    <mergeCell ref="D278:E278"/>
    <mergeCell ref="F278:G278"/>
    <mergeCell ref="H278:I278"/>
    <mergeCell ref="L278:N278"/>
    <mergeCell ref="P278:Q278"/>
    <mergeCell ref="D275:E275"/>
    <mergeCell ref="D276:E276"/>
    <mergeCell ref="F276:G276"/>
    <mergeCell ref="H276:I276"/>
    <mergeCell ref="D277:E277"/>
    <mergeCell ref="F277:G277"/>
    <mergeCell ref="H277:I277"/>
    <mergeCell ref="L256:N256"/>
    <mergeCell ref="P256:Q256"/>
    <mergeCell ref="L257:N257"/>
    <mergeCell ref="P257:Q257"/>
    <mergeCell ref="L258:N258"/>
    <mergeCell ref="P258:Q258"/>
    <mergeCell ref="P259:Q259"/>
    <mergeCell ref="L259:N259"/>
    <mergeCell ref="L260:N260"/>
    <mergeCell ref="L261:N261"/>
    <mergeCell ref="L262:N262"/>
    <mergeCell ref="L263:N263"/>
    <mergeCell ref="L264:N264"/>
    <mergeCell ref="L265:N265"/>
    <mergeCell ref="L272:N272"/>
    <mergeCell ref="P272:Q272"/>
    <mergeCell ref="D273:E273"/>
    <mergeCell ref="F273:G273"/>
    <mergeCell ref="H273:I273"/>
    <mergeCell ref="L273:N273"/>
    <mergeCell ref="P273:Q273"/>
    <mergeCell ref="P270:Q270"/>
    <mergeCell ref="P271:Q271"/>
    <mergeCell ref="L266:N266"/>
    <mergeCell ref="L267:N267"/>
    <mergeCell ref="L268:N268"/>
    <mergeCell ref="L269:N269"/>
    <mergeCell ref="P269:Q269"/>
    <mergeCell ref="L270:N270"/>
    <mergeCell ref="L271:N271"/>
    <mergeCell ref="D227:E227"/>
    <mergeCell ref="F227:G227"/>
    <mergeCell ref="H227:I227"/>
    <mergeCell ref="D228:E228"/>
    <mergeCell ref="F228:G228"/>
    <mergeCell ref="H228:I228"/>
    <mergeCell ref="D229:E229"/>
    <mergeCell ref="F229:G229"/>
    <mergeCell ref="H229:I229"/>
    <mergeCell ref="L249:N249"/>
    <mergeCell ref="P249:Q249"/>
    <mergeCell ref="L250:N250"/>
    <mergeCell ref="P250:Q250"/>
    <mergeCell ref="P251:Q251"/>
    <mergeCell ref="P254:Q254"/>
    <mergeCell ref="P255:Q255"/>
    <mergeCell ref="L251:N251"/>
    <mergeCell ref="L252:N252"/>
    <mergeCell ref="P252:Q252"/>
    <mergeCell ref="L253:N253"/>
    <mergeCell ref="P253:Q253"/>
    <mergeCell ref="L254:N254"/>
    <mergeCell ref="L255:N255"/>
    <mergeCell ref="F247:G247"/>
    <mergeCell ref="H247:I247"/>
    <mergeCell ref="D245:E245"/>
    <mergeCell ref="F245:G245"/>
    <mergeCell ref="H245:I245"/>
    <mergeCell ref="D246:E246"/>
    <mergeCell ref="F246:G246"/>
    <mergeCell ref="H246:I246"/>
    <mergeCell ref="D247:E247"/>
    <mergeCell ref="F250:G250"/>
    <mergeCell ref="H250:I250"/>
    <mergeCell ref="D248:E248"/>
    <mergeCell ref="F248:G248"/>
    <mergeCell ref="H248:I248"/>
    <mergeCell ref="D249:E249"/>
    <mergeCell ref="F249:G249"/>
    <mergeCell ref="H249:I249"/>
    <mergeCell ref="D250:E250"/>
    <mergeCell ref="H237:I237"/>
    <mergeCell ref="D238:E238"/>
    <mergeCell ref="F241:G241"/>
    <mergeCell ref="H241:I241"/>
    <mergeCell ref="D239:E239"/>
    <mergeCell ref="F239:G239"/>
    <mergeCell ref="H239:I239"/>
    <mergeCell ref="D240:E240"/>
    <mergeCell ref="F240:G240"/>
    <mergeCell ref="H240:I240"/>
    <mergeCell ref="D241:E241"/>
    <mergeCell ref="F244:G244"/>
    <mergeCell ref="H244:I244"/>
    <mergeCell ref="D242:E242"/>
    <mergeCell ref="F242:G242"/>
    <mergeCell ref="H242:I242"/>
    <mergeCell ref="D243:E243"/>
    <mergeCell ref="F243:G243"/>
    <mergeCell ref="H243:I243"/>
    <mergeCell ref="D244:E244"/>
    <mergeCell ref="D123:E123"/>
    <mergeCell ref="F123:G123"/>
    <mergeCell ref="H123:I123"/>
    <mergeCell ref="D124:E124"/>
    <mergeCell ref="D272:E272"/>
    <mergeCell ref="F272:G272"/>
    <mergeCell ref="H272:I272"/>
    <mergeCell ref="F232:G232"/>
    <mergeCell ref="H232:I232"/>
    <mergeCell ref="D230:E230"/>
    <mergeCell ref="F230:G230"/>
    <mergeCell ref="H230:I230"/>
    <mergeCell ref="D231:E231"/>
    <mergeCell ref="F231:G231"/>
    <mergeCell ref="H231:I231"/>
    <mergeCell ref="D232:E232"/>
    <mergeCell ref="F235:G235"/>
    <mergeCell ref="H235:I235"/>
    <mergeCell ref="D233:E233"/>
    <mergeCell ref="F233:G233"/>
    <mergeCell ref="H233:I233"/>
    <mergeCell ref="D234:E234"/>
    <mergeCell ref="F234:G234"/>
    <mergeCell ref="H234:I234"/>
    <mergeCell ref="D235:E235"/>
    <mergeCell ref="F238:G238"/>
    <mergeCell ref="H238:I238"/>
    <mergeCell ref="D236:E236"/>
    <mergeCell ref="F236:G236"/>
    <mergeCell ref="H236:I236"/>
    <mergeCell ref="D237:E237"/>
    <mergeCell ref="F237:G237"/>
    <mergeCell ref="F271:G271"/>
    <mergeCell ref="H271:I271"/>
    <mergeCell ref="D269:E269"/>
    <mergeCell ref="F269:G269"/>
    <mergeCell ref="H269:I269"/>
    <mergeCell ref="D270:E270"/>
    <mergeCell ref="F270:G270"/>
    <mergeCell ref="H270:I270"/>
    <mergeCell ref="D271:E271"/>
    <mergeCell ref="F118:G118"/>
    <mergeCell ref="H118:I118"/>
    <mergeCell ref="D116:E116"/>
    <mergeCell ref="F116:G116"/>
    <mergeCell ref="H116:I116"/>
    <mergeCell ref="D117:E117"/>
    <mergeCell ref="F117:G117"/>
    <mergeCell ref="H117:I117"/>
    <mergeCell ref="D118:E118"/>
    <mergeCell ref="F121:G121"/>
    <mergeCell ref="H121:I121"/>
    <mergeCell ref="D119:E119"/>
    <mergeCell ref="F119:G119"/>
    <mergeCell ref="H119:I119"/>
    <mergeCell ref="D120:E120"/>
    <mergeCell ref="F120:G120"/>
    <mergeCell ref="H120:I120"/>
    <mergeCell ref="D121:E121"/>
    <mergeCell ref="F124:G124"/>
    <mergeCell ref="H124:I124"/>
    <mergeCell ref="D122:E122"/>
    <mergeCell ref="F122:G122"/>
    <mergeCell ref="H122:I122"/>
    <mergeCell ref="F265:G265"/>
    <mergeCell ref="H265:I265"/>
    <mergeCell ref="D263:E263"/>
    <mergeCell ref="F263:G263"/>
    <mergeCell ref="H263:I263"/>
    <mergeCell ref="D264:E264"/>
    <mergeCell ref="F264:G264"/>
    <mergeCell ref="H264:I264"/>
    <mergeCell ref="D265:E265"/>
    <mergeCell ref="F268:G268"/>
    <mergeCell ref="H268:I268"/>
    <mergeCell ref="D266:E266"/>
    <mergeCell ref="F266:G266"/>
    <mergeCell ref="H266:I266"/>
    <mergeCell ref="D267:E267"/>
    <mergeCell ref="F267:G267"/>
    <mergeCell ref="H267:I267"/>
    <mergeCell ref="D268:E268"/>
    <mergeCell ref="F259:G259"/>
    <mergeCell ref="H259:I259"/>
    <mergeCell ref="D257:E257"/>
    <mergeCell ref="F257:G257"/>
    <mergeCell ref="H257:I257"/>
    <mergeCell ref="D258:E258"/>
    <mergeCell ref="F258:G258"/>
    <mergeCell ref="H258:I258"/>
    <mergeCell ref="D259:E259"/>
    <mergeCell ref="F262:G262"/>
    <mergeCell ref="H262:I262"/>
    <mergeCell ref="D260:E260"/>
    <mergeCell ref="F260:G260"/>
    <mergeCell ref="H260:I260"/>
    <mergeCell ref="D261:E261"/>
    <mergeCell ref="F261:G261"/>
    <mergeCell ref="H261:I261"/>
    <mergeCell ref="D262:E262"/>
    <mergeCell ref="F253:G253"/>
    <mergeCell ref="H253:I253"/>
    <mergeCell ref="D251:E251"/>
    <mergeCell ref="F251:G251"/>
    <mergeCell ref="H251:I251"/>
    <mergeCell ref="D252:E252"/>
    <mergeCell ref="F252:G252"/>
    <mergeCell ref="H252:I252"/>
    <mergeCell ref="D253:E253"/>
    <mergeCell ref="F256:G256"/>
    <mergeCell ref="H256:I256"/>
    <mergeCell ref="D254:E254"/>
    <mergeCell ref="F254:G254"/>
    <mergeCell ref="H254:I254"/>
    <mergeCell ref="D255:E255"/>
    <mergeCell ref="F255:G255"/>
    <mergeCell ref="H255:I255"/>
    <mergeCell ref="D256:E256"/>
    <mergeCell ref="F205:G205"/>
    <mergeCell ref="H205:I205"/>
    <mergeCell ref="D203:E203"/>
    <mergeCell ref="F203:G203"/>
    <mergeCell ref="H203:I203"/>
    <mergeCell ref="D204:E204"/>
    <mergeCell ref="F204:G204"/>
    <mergeCell ref="H204:I204"/>
    <mergeCell ref="D205:E205"/>
    <mergeCell ref="F208:G208"/>
    <mergeCell ref="H208:I208"/>
    <mergeCell ref="D206:E206"/>
    <mergeCell ref="F206:G206"/>
    <mergeCell ref="H206:I206"/>
    <mergeCell ref="D207:E207"/>
    <mergeCell ref="F207:G207"/>
    <mergeCell ref="H207:I207"/>
    <mergeCell ref="D208:E208"/>
    <mergeCell ref="F199:G199"/>
    <mergeCell ref="H199:I199"/>
    <mergeCell ref="D197:E197"/>
    <mergeCell ref="F197:G197"/>
    <mergeCell ref="H197:I197"/>
    <mergeCell ref="D198:E198"/>
    <mergeCell ref="F198:G198"/>
    <mergeCell ref="H198:I198"/>
    <mergeCell ref="D199:E199"/>
    <mergeCell ref="F202:G202"/>
    <mergeCell ref="H202:I202"/>
    <mergeCell ref="D200:E200"/>
    <mergeCell ref="F200:G200"/>
    <mergeCell ref="H200:I200"/>
    <mergeCell ref="D201:E201"/>
    <mergeCell ref="F201:G201"/>
    <mergeCell ref="H201:I201"/>
    <mergeCell ref="D202:E202"/>
    <mergeCell ref="F193:G193"/>
    <mergeCell ref="H193:I193"/>
    <mergeCell ref="D191:E191"/>
    <mergeCell ref="F191:G191"/>
    <mergeCell ref="H191:I191"/>
    <mergeCell ref="D192:E192"/>
    <mergeCell ref="F192:G192"/>
    <mergeCell ref="H192:I192"/>
    <mergeCell ref="D193:E193"/>
    <mergeCell ref="F196:G196"/>
    <mergeCell ref="H196:I196"/>
    <mergeCell ref="D194:E194"/>
    <mergeCell ref="F194:G194"/>
    <mergeCell ref="H194:I194"/>
    <mergeCell ref="D195:E195"/>
    <mergeCell ref="F195:G195"/>
    <mergeCell ref="H195:I195"/>
    <mergeCell ref="D196:E196"/>
    <mergeCell ref="F187:G187"/>
    <mergeCell ref="H187:I187"/>
    <mergeCell ref="D185:E185"/>
    <mergeCell ref="F185:G185"/>
    <mergeCell ref="H185:I185"/>
    <mergeCell ref="D186:E186"/>
    <mergeCell ref="F186:G186"/>
    <mergeCell ref="H186:I186"/>
    <mergeCell ref="D187:E187"/>
    <mergeCell ref="F190:G190"/>
    <mergeCell ref="H190:I190"/>
    <mergeCell ref="D188:E188"/>
    <mergeCell ref="F188:G188"/>
    <mergeCell ref="H188:I188"/>
    <mergeCell ref="D189:E189"/>
    <mergeCell ref="F189:G189"/>
    <mergeCell ref="H189:I189"/>
    <mergeCell ref="D190:E190"/>
    <mergeCell ref="F181:G181"/>
    <mergeCell ref="H181:I181"/>
    <mergeCell ref="D179:E179"/>
    <mergeCell ref="F179:G179"/>
    <mergeCell ref="H179:I179"/>
    <mergeCell ref="D180:E180"/>
    <mergeCell ref="F180:G180"/>
    <mergeCell ref="H180:I180"/>
    <mergeCell ref="D181:E181"/>
    <mergeCell ref="F184:G184"/>
    <mergeCell ref="H184:I184"/>
    <mergeCell ref="D182:E182"/>
    <mergeCell ref="F182:G182"/>
    <mergeCell ref="H182:I182"/>
    <mergeCell ref="D183:E183"/>
    <mergeCell ref="F183:G183"/>
    <mergeCell ref="H183:I183"/>
    <mergeCell ref="D184:E184"/>
    <mergeCell ref="F175:G175"/>
    <mergeCell ref="H175:I175"/>
    <mergeCell ref="D173:E173"/>
    <mergeCell ref="F173:G173"/>
    <mergeCell ref="H173:I173"/>
    <mergeCell ref="D174:E174"/>
    <mergeCell ref="F174:G174"/>
    <mergeCell ref="H174:I174"/>
    <mergeCell ref="D175:E175"/>
    <mergeCell ref="F178:G178"/>
    <mergeCell ref="H178:I178"/>
    <mergeCell ref="D176:E176"/>
    <mergeCell ref="F176:G176"/>
    <mergeCell ref="H176:I176"/>
    <mergeCell ref="D177:E177"/>
    <mergeCell ref="F177:G177"/>
    <mergeCell ref="H177:I177"/>
    <mergeCell ref="D178:E178"/>
    <mergeCell ref="F169:G169"/>
    <mergeCell ref="H169:I169"/>
    <mergeCell ref="D167:E167"/>
    <mergeCell ref="F167:G167"/>
    <mergeCell ref="H167:I167"/>
    <mergeCell ref="D168:E168"/>
    <mergeCell ref="F168:G168"/>
    <mergeCell ref="H168:I168"/>
    <mergeCell ref="D169:E169"/>
    <mergeCell ref="F172:G172"/>
    <mergeCell ref="H172:I172"/>
    <mergeCell ref="D170:E170"/>
    <mergeCell ref="F170:G170"/>
    <mergeCell ref="H170:I170"/>
    <mergeCell ref="D171:E171"/>
    <mergeCell ref="F171:G171"/>
    <mergeCell ref="H171:I171"/>
    <mergeCell ref="D172:E172"/>
    <mergeCell ref="F163:G163"/>
    <mergeCell ref="H163:I163"/>
    <mergeCell ref="D161:E161"/>
    <mergeCell ref="F161:G161"/>
    <mergeCell ref="H161:I161"/>
    <mergeCell ref="D162:E162"/>
    <mergeCell ref="F162:G162"/>
    <mergeCell ref="H162:I162"/>
    <mergeCell ref="D163:E163"/>
    <mergeCell ref="F166:G166"/>
    <mergeCell ref="H166:I166"/>
    <mergeCell ref="D164:E164"/>
    <mergeCell ref="F164:G164"/>
    <mergeCell ref="H164:I164"/>
    <mergeCell ref="D165:E165"/>
    <mergeCell ref="F165:G165"/>
    <mergeCell ref="H165:I165"/>
    <mergeCell ref="D166:E166"/>
    <mergeCell ref="F157:G157"/>
    <mergeCell ref="H157:I157"/>
    <mergeCell ref="D155:E155"/>
    <mergeCell ref="F155:G155"/>
    <mergeCell ref="H155:I155"/>
    <mergeCell ref="D156:E156"/>
    <mergeCell ref="F156:G156"/>
    <mergeCell ref="H156:I156"/>
    <mergeCell ref="D157:E157"/>
    <mergeCell ref="F160:G160"/>
    <mergeCell ref="H160:I160"/>
    <mergeCell ref="D158:E158"/>
    <mergeCell ref="F158:G158"/>
    <mergeCell ref="H158:I158"/>
    <mergeCell ref="D159:E159"/>
    <mergeCell ref="F159:G159"/>
    <mergeCell ref="H159:I159"/>
    <mergeCell ref="D160:E160"/>
    <mergeCell ref="F151:G151"/>
    <mergeCell ref="H151:I151"/>
    <mergeCell ref="D149:E149"/>
    <mergeCell ref="F149:G149"/>
    <mergeCell ref="H149:I149"/>
    <mergeCell ref="D150:E150"/>
    <mergeCell ref="F150:G150"/>
    <mergeCell ref="H150:I150"/>
    <mergeCell ref="D151:E151"/>
    <mergeCell ref="F154:G154"/>
    <mergeCell ref="H154:I154"/>
    <mergeCell ref="D152:E152"/>
    <mergeCell ref="F152:G152"/>
    <mergeCell ref="H152:I152"/>
    <mergeCell ref="D153:E153"/>
    <mergeCell ref="F153:G153"/>
    <mergeCell ref="H153:I153"/>
    <mergeCell ref="D154:E154"/>
    <mergeCell ref="F145:G145"/>
    <mergeCell ref="H145:I145"/>
    <mergeCell ref="D143:E143"/>
    <mergeCell ref="F143:G143"/>
    <mergeCell ref="H143:I143"/>
    <mergeCell ref="D144:E144"/>
    <mergeCell ref="F144:G144"/>
    <mergeCell ref="H144:I144"/>
    <mergeCell ref="D145:E145"/>
    <mergeCell ref="F148:G148"/>
    <mergeCell ref="H148:I148"/>
    <mergeCell ref="D146:E146"/>
    <mergeCell ref="F146:G146"/>
    <mergeCell ref="H146:I146"/>
    <mergeCell ref="D147:E147"/>
    <mergeCell ref="F147:G147"/>
    <mergeCell ref="H147:I147"/>
    <mergeCell ref="D148:E148"/>
    <mergeCell ref="F139:G139"/>
    <mergeCell ref="H139:I139"/>
    <mergeCell ref="D137:E137"/>
    <mergeCell ref="F137:G137"/>
    <mergeCell ref="H137:I137"/>
    <mergeCell ref="D138:E138"/>
    <mergeCell ref="F138:G138"/>
    <mergeCell ref="H138:I138"/>
    <mergeCell ref="D139:E139"/>
    <mergeCell ref="F142:G142"/>
    <mergeCell ref="H142:I142"/>
    <mergeCell ref="D140:E140"/>
    <mergeCell ref="F140:G140"/>
    <mergeCell ref="H140:I140"/>
    <mergeCell ref="D141:E141"/>
    <mergeCell ref="F141:G141"/>
    <mergeCell ref="H141:I141"/>
    <mergeCell ref="D142:E142"/>
    <mergeCell ref="F133:G133"/>
    <mergeCell ref="H133:I133"/>
    <mergeCell ref="D131:E131"/>
    <mergeCell ref="F131:G131"/>
    <mergeCell ref="H131:I131"/>
    <mergeCell ref="D132:E132"/>
    <mergeCell ref="F132:G132"/>
    <mergeCell ref="H132:I132"/>
    <mergeCell ref="D133:E133"/>
    <mergeCell ref="F136:G136"/>
    <mergeCell ref="H136:I136"/>
    <mergeCell ref="D134:E134"/>
    <mergeCell ref="F134:G134"/>
    <mergeCell ref="H134:I134"/>
    <mergeCell ref="D135:E135"/>
    <mergeCell ref="F135:G135"/>
    <mergeCell ref="H135:I135"/>
    <mergeCell ref="D136:E136"/>
    <mergeCell ref="F127:G127"/>
    <mergeCell ref="H127:I127"/>
    <mergeCell ref="D125:E125"/>
    <mergeCell ref="F125:G125"/>
    <mergeCell ref="H125:I125"/>
    <mergeCell ref="D126:E126"/>
    <mergeCell ref="F126:G126"/>
    <mergeCell ref="H126:I126"/>
    <mergeCell ref="D127:E127"/>
    <mergeCell ref="F130:G130"/>
    <mergeCell ref="H130:I130"/>
    <mergeCell ref="D128:E128"/>
    <mergeCell ref="F128:G128"/>
    <mergeCell ref="H128:I128"/>
    <mergeCell ref="D129:E129"/>
    <mergeCell ref="F129:G129"/>
    <mergeCell ref="H129:I129"/>
    <mergeCell ref="D130:E130"/>
    <mergeCell ref="F112:G112"/>
    <mergeCell ref="H112:I112"/>
    <mergeCell ref="D110:E110"/>
    <mergeCell ref="F110:G110"/>
    <mergeCell ref="H110:I110"/>
    <mergeCell ref="D111:E111"/>
    <mergeCell ref="F111:G111"/>
    <mergeCell ref="H111:I111"/>
    <mergeCell ref="D112:E112"/>
    <mergeCell ref="F115:G115"/>
    <mergeCell ref="H115:I115"/>
    <mergeCell ref="D113:E113"/>
    <mergeCell ref="F113:G113"/>
    <mergeCell ref="H113:I113"/>
    <mergeCell ref="D114:E114"/>
    <mergeCell ref="F114:G114"/>
    <mergeCell ref="H114:I114"/>
    <mergeCell ref="D115:E115"/>
    <mergeCell ref="P102:Q102"/>
    <mergeCell ref="F104:G104"/>
    <mergeCell ref="H104:I104"/>
    <mergeCell ref="D103:E103"/>
    <mergeCell ref="F103:G103"/>
    <mergeCell ref="H103:I103"/>
    <mergeCell ref="D104:E104"/>
    <mergeCell ref="D105:E105"/>
    <mergeCell ref="F105:G105"/>
    <mergeCell ref="H105:I105"/>
    <mergeCell ref="D106:E106"/>
    <mergeCell ref="F106:G106"/>
    <mergeCell ref="H106:I106"/>
    <mergeCell ref="F109:G109"/>
    <mergeCell ref="H109:I109"/>
    <mergeCell ref="D107:E107"/>
    <mergeCell ref="F107:G107"/>
    <mergeCell ref="H107:I107"/>
    <mergeCell ref="D108:E108"/>
    <mergeCell ref="F108:G108"/>
    <mergeCell ref="H108:I108"/>
    <mergeCell ref="D109:E109"/>
    <mergeCell ref="B86:K86"/>
    <mergeCell ref="C88:F88"/>
    <mergeCell ref="J88:K88"/>
    <mergeCell ref="M88:N88"/>
    <mergeCell ref="M89:O91"/>
    <mergeCell ref="B90:B91"/>
    <mergeCell ref="C90:K91"/>
    <mergeCell ref="B93:K93"/>
    <mergeCell ref="B95:B96"/>
    <mergeCell ref="C95:F98"/>
    <mergeCell ref="G95:G96"/>
    <mergeCell ref="H95:K98"/>
    <mergeCell ref="M95:N98"/>
    <mergeCell ref="B101:K101"/>
    <mergeCell ref="L101:O101"/>
    <mergeCell ref="D102:E102"/>
    <mergeCell ref="F102:G102"/>
    <mergeCell ref="H102:I102"/>
    <mergeCell ref="L102:N102"/>
    <mergeCell ref="M53:N58"/>
    <mergeCell ref="C54:F54"/>
    <mergeCell ref="H65:I65"/>
    <mergeCell ref="J65:K65"/>
    <mergeCell ref="M65:O66"/>
    <mergeCell ref="H66:I66"/>
    <mergeCell ref="J66:K66"/>
    <mergeCell ref="B77:C77"/>
    <mergeCell ref="B78:C78"/>
    <mergeCell ref="D78:E78"/>
    <mergeCell ref="F78:G78"/>
    <mergeCell ref="H78:I78"/>
    <mergeCell ref="J78:K78"/>
    <mergeCell ref="C80:F80"/>
    <mergeCell ref="F83:G83"/>
    <mergeCell ref="H83:I83"/>
    <mergeCell ref="B82:C82"/>
    <mergeCell ref="D82:E82"/>
    <mergeCell ref="F82:G82"/>
    <mergeCell ref="H82:I82"/>
    <mergeCell ref="J82:K82"/>
    <mergeCell ref="B83:C83"/>
    <mergeCell ref="D83:E83"/>
    <mergeCell ref="J83:K83"/>
    <mergeCell ref="C75:F75"/>
    <mergeCell ref="D77:E77"/>
    <mergeCell ref="F77:G77"/>
    <mergeCell ref="H77:I77"/>
    <mergeCell ref="J77:K77"/>
    <mergeCell ref="J53:K53"/>
    <mergeCell ref="J54:K54"/>
    <mergeCell ref="C55:F55"/>
    <mergeCell ref="J55:K55"/>
    <mergeCell ref="C56:F56"/>
    <mergeCell ref="J56:K56"/>
    <mergeCell ref="C57:F57"/>
    <mergeCell ref="J57:K57"/>
    <mergeCell ref="B43:K43"/>
    <mergeCell ref="C45:K46"/>
    <mergeCell ref="B48:K48"/>
    <mergeCell ref="B50:K50"/>
    <mergeCell ref="C53:F53"/>
    <mergeCell ref="B63:K63"/>
    <mergeCell ref="B65:C65"/>
    <mergeCell ref="D65:E65"/>
    <mergeCell ref="F65:G65"/>
    <mergeCell ref="B66:C66"/>
    <mergeCell ref="D66:E66"/>
    <mergeCell ref="F66:G66"/>
    <mergeCell ref="B68:I68"/>
    <mergeCell ref="J68:K68"/>
    <mergeCell ref="C70:F70"/>
    <mergeCell ref="I70:K70"/>
    <mergeCell ref="B72:C72"/>
    <mergeCell ref="D72:E72"/>
    <mergeCell ref="F72:G72"/>
    <mergeCell ref="H72:I72"/>
    <mergeCell ref="J72:K72"/>
    <mergeCell ref="B73:C73"/>
    <mergeCell ref="D73:E73"/>
    <mergeCell ref="J73:K73"/>
    <mergeCell ref="F73:G73"/>
    <mergeCell ref="H73:I73"/>
    <mergeCell ref="A1:F5"/>
    <mergeCell ref="G2:H2"/>
    <mergeCell ref="G3:H3"/>
    <mergeCell ref="B6:F7"/>
    <mergeCell ref="C9:E9"/>
    <mergeCell ref="B13:I13"/>
    <mergeCell ref="K13:O15"/>
    <mergeCell ref="F15:G15"/>
    <mergeCell ref="H15:I15"/>
    <mergeCell ref="B17:I17"/>
    <mergeCell ref="J17:K17"/>
    <mergeCell ref="J19:K19"/>
    <mergeCell ref="M19:N22"/>
    <mergeCell ref="C21:D21"/>
    <mergeCell ref="E21:K22"/>
    <mergeCell ref="B24:I24"/>
    <mergeCell ref="J24:K24"/>
    <mergeCell ref="L241:N241"/>
    <mergeCell ref="L242:N242"/>
    <mergeCell ref="L243:N243"/>
    <mergeCell ref="P237:Q237"/>
    <mergeCell ref="P238:Q238"/>
    <mergeCell ref="L239:N239"/>
    <mergeCell ref="P239:Q239"/>
    <mergeCell ref="L240:N240"/>
    <mergeCell ref="P240:Q240"/>
    <mergeCell ref="P241:Q241"/>
    <mergeCell ref="B14:C14"/>
    <mergeCell ref="D14:E14"/>
    <mergeCell ref="F14:G14"/>
    <mergeCell ref="H14:I14"/>
    <mergeCell ref="B15:C15"/>
    <mergeCell ref="D15:E15"/>
    <mergeCell ref="B19:C19"/>
    <mergeCell ref="D19:G19"/>
    <mergeCell ref="C26:F26"/>
    <mergeCell ref="I26:K26"/>
    <mergeCell ref="M26:N29"/>
    <mergeCell ref="C28:K29"/>
    <mergeCell ref="B31:K31"/>
    <mergeCell ref="B33:C33"/>
    <mergeCell ref="D33:F33"/>
    <mergeCell ref="M33:N36"/>
    <mergeCell ref="C35:K36"/>
    <mergeCell ref="B38:K38"/>
    <mergeCell ref="C40:K41"/>
    <mergeCell ref="C58:F58"/>
    <mergeCell ref="J58:K58"/>
    <mergeCell ref="C60:K61"/>
    <mergeCell ref="L231:N231"/>
    <mergeCell ref="L232:N232"/>
    <mergeCell ref="L233:N233"/>
    <mergeCell ref="P227:Q227"/>
    <mergeCell ref="P228:Q228"/>
    <mergeCell ref="L229:N229"/>
    <mergeCell ref="P229:Q229"/>
    <mergeCell ref="L230:N230"/>
    <mergeCell ref="P230:Q230"/>
    <mergeCell ref="P231:Q231"/>
    <mergeCell ref="L236:N236"/>
    <mergeCell ref="L237:N237"/>
    <mergeCell ref="L238:N238"/>
    <mergeCell ref="P232:Q232"/>
    <mergeCell ref="P233:Q233"/>
    <mergeCell ref="L234:N234"/>
    <mergeCell ref="P234:Q234"/>
    <mergeCell ref="L235:N235"/>
    <mergeCell ref="P235:Q235"/>
    <mergeCell ref="P236:Q236"/>
    <mergeCell ref="P222:Q222"/>
    <mergeCell ref="P223:Q223"/>
    <mergeCell ref="P215:Q215"/>
    <mergeCell ref="P216:Q216"/>
    <mergeCell ref="P217:Q217"/>
    <mergeCell ref="P218:Q218"/>
    <mergeCell ref="P219:Q219"/>
    <mergeCell ref="P220:Q220"/>
    <mergeCell ref="P221:Q221"/>
    <mergeCell ref="L226:N226"/>
    <mergeCell ref="L227:N227"/>
    <mergeCell ref="L228:N228"/>
    <mergeCell ref="L222:N222"/>
    <mergeCell ref="L223:N223"/>
    <mergeCell ref="L224:N224"/>
    <mergeCell ref="P224:Q224"/>
    <mergeCell ref="L225:N225"/>
    <mergeCell ref="P225:Q225"/>
    <mergeCell ref="P226:Q226"/>
    <mergeCell ref="L215:N215"/>
    <mergeCell ref="L216:N216"/>
    <mergeCell ref="L217:N217"/>
    <mergeCell ref="L218:N218"/>
    <mergeCell ref="L219:N219"/>
    <mergeCell ref="L220:N220"/>
    <mergeCell ref="L221:N221"/>
    <mergeCell ref="P247:Q247"/>
    <mergeCell ref="P248:Q248"/>
    <mergeCell ref="L177:N177"/>
    <mergeCell ref="L178:N178"/>
    <mergeCell ref="L179:N179"/>
    <mergeCell ref="P173:Q173"/>
    <mergeCell ref="P174:Q174"/>
    <mergeCell ref="L175:N175"/>
    <mergeCell ref="P175:Q175"/>
    <mergeCell ref="L176:N176"/>
    <mergeCell ref="P176:Q176"/>
    <mergeCell ref="P177:Q177"/>
    <mergeCell ref="P192:Q192"/>
    <mergeCell ref="P193:Q193"/>
    <mergeCell ref="P194:Q194"/>
    <mergeCell ref="P195:Q195"/>
    <mergeCell ref="P196:Q196"/>
    <mergeCell ref="P197:Q197"/>
    <mergeCell ref="P198:Q198"/>
    <mergeCell ref="P199:Q199"/>
    <mergeCell ref="P200:Q200"/>
    <mergeCell ref="P201:Q201"/>
    <mergeCell ref="P202:Q202"/>
    <mergeCell ref="P203:Q203"/>
    <mergeCell ref="P204:Q204"/>
    <mergeCell ref="L246:N246"/>
    <mergeCell ref="L247:N247"/>
    <mergeCell ref="L248:N248"/>
    <mergeCell ref="P242:Q242"/>
    <mergeCell ref="P243:Q243"/>
    <mergeCell ref="L244:N244"/>
    <mergeCell ref="P244:Q244"/>
    <mergeCell ref="L245:N245"/>
    <mergeCell ref="P245:Q245"/>
    <mergeCell ref="P246:Q246"/>
    <mergeCell ref="P178:Q178"/>
    <mergeCell ref="P179:Q179"/>
    <mergeCell ref="L180:N180"/>
    <mergeCell ref="P180:Q180"/>
    <mergeCell ref="L181:N181"/>
    <mergeCell ref="P181:Q181"/>
    <mergeCell ref="P182:Q182"/>
    <mergeCell ref="P186:Q186"/>
    <mergeCell ref="P187:Q187"/>
    <mergeCell ref="L182:N182"/>
    <mergeCell ref="L183:N183"/>
    <mergeCell ref="L184:N184"/>
    <mergeCell ref="L185:N185"/>
    <mergeCell ref="P185:Q185"/>
    <mergeCell ref="L186:N186"/>
    <mergeCell ref="L187:N187"/>
    <mergeCell ref="L188:N188"/>
    <mergeCell ref="P188:Q188"/>
    <mergeCell ref="L189:N189"/>
    <mergeCell ref="P189:Q189"/>
    <mergeCell ref="L190:N190"/>
    <mergeCell ref="P190:Q190"/>
    <mergeCell ref="L212:N212"/>
    <mergeCell ref="L213:N213"/>
    <mergeCell ref="L214:N214"/>
    <mergeCell ref="L205:N205"/>
    <mergeCell ref="L206:N206"/>
    <mergeCell ref="L207:N207"/>
    <mergeCell ref="L208:N208"/>
    <mergeCell ref="L209:N209"/>
    <mergeCell ref="L210:N210"/>
    <mergeCell ref="L211:N211"/>
    <mergeCell ref="P213:Q213"/>
    <mergeCell ref="P214:Q214"/>
    <mergeCell ref="P206:Q206"/>
    <mergeCell ref="P207:Q207"/>
    <mergeCell ref="P208:Q208"/>
    <mergeCell ref="P209:Q209"/>
    <mergeCell ref="P210:Q210"/>
    <mergeCell ref="P211:Q211"/>
    <mergeCell ref="P212:Q212"/>
    <mergeCell ref="P205:Q205"/>
    <mergeCell ref="L172:N172"/>
    <mergeCell ref="L173:N173"/>
    <mergeCell ref="L174:N174"/>
    <mergeCell ref="P168:Q168"/>
    <mergeCell ref="P169:Q169"/>
    <mergeCell ref="L170:N170"/>
    <mergeCell ref="P170:Q170"/>
    <mergeCell ref="L171:N171"/>
    <mergeCell ref="P171:Q171"/>
    <mergeCell ref="P172:Q172"/>
    <mergeCell ref="L198:N198"/>
    <mergeCell ref="L199:N199"/>
    <mergeCell ref="L200:N200"/>
    <mergeCell ref="L201:N201"/>
    <mergeCell ref="L202:N202"/>
    <mergeCell ref="L203:N203"/>
    <mergeCell ref="L204:N204"/>
    <mergeCell ref="P191:Q191"/>
    <mergeCell ref="L191:N191"/>
    <mergeCell ref="L192:N192"/>
    <mergeCell ref="L193:N193"/>
    <mergeCell ref="L194:N194"/>
    <mergeCell ref="L195:N195"/>
    <mergeCell ref="L196:N196"/>
    <mergeCell ref="L197:N197"/>
    <mergeCell ref="L157:N157"/>
    <mergeCell ref="L158:N158"/>
    <mergeCell ref="L162:N162"/>
    <mergeCell ref="L163:N163"/>
    <mergeCell ref="L164:N164"/>
    <mergeCell ref="L159:N159"/>
    <mergeCell ref="P159:Q159"/>
    <mergeCell ref="L160:N160"/>
    <mergeCell ref="P160:Q160"/>
    <mergeCell ref="L161:N161"/>
    <mergeCell ref="P161:Q161"/>
    <mergeCell ref="P162:Q162"/>
    <mergeCell ref="L167:N167"/>
    <mergeCell ref="L168:N168"/>
    <mergeCell ref="L169:N169"/>
    <mergeCell ref="P163:Q163"/>
    <mergeCell ref="P164:Q164"/>
    <mergeCell ref="L165:N165"/>
    <mergeCell ref="P165:Q165"/>
    <mergeCell ref="L166:N166"/>
    <mergeCell ref="P166:Q166"/>
    <mergeCell ref="P167:Q167"/>
    <mergeCell ref="L143:N143"/>
    <mergeCell ref="P143:Q143"/>
    <mergeCell ref="L144:N144"/>
    <mergeCell ref="P144:Q144"/>
    <mergeCell ref="L145:N145"/>
    <mergeCell ref="P145:Q145"/>
    <mergeCell ref="P146:Q146"/>
    <mergeCell ref="L146:N146"/>
    <mergeCell ref="L147:N147"/>
    <mergeCell ref="L148:N148"/>
    <mergeCell ref="L149:N149"/>
    <mergeCell ref="L150:N150"/>
    <mergeCell ref="L151:N151"/>
    <mergeCell ref="L152:N152"/>
    <mergeCell ref="P183:Q183"/>
    <mergeCell ref="P184:Q184"/>
    <mergeCell ref="P154:Q154"/>
    <mergeCell ref="P155:Q155"/>
    <mergeCell ref="P147:Q147"/>
    <mergeCell ref="P148:Q148"/>
    <mergeCell ref="P149:Q149"/>
    <mergeCell ref="P150:Q150"/>
    <mergeCell ref="P151:Q151"/>
    <mergeCell ref="P152:Q152"/>
    <mergeCell ref="P153:Q153"/>
    <mergeCell ref="P157:Q157"/>
    <mergeCell ref="P158:Q158"/>
    <mergeCell ref="L153:N153"/>
    <mergeCell ref="L154:N154"/>
    <mergeCell ref="L155:N155"/>
    <mergeCell ref="L156:N156"/>
    <mergeCell ref="P156:Q156"/>
    <mergeCell ref="L129:N129"/>
    <mergeCell ref="L130:N130"/>
    <mergeCell ref="L131:N131"/>
    <mergeCell ref="L132:N132"/>
    <mergeCell ref="L133:N133"/>
    <mergeCell ref="L134:N134"/>
    <mergeCell ref="L135:N135"/>
    <mergeCell ref="L136:N136"/>
    <mergeCell ref="P141:Q141"/>
    <mergeCell ref="P142:Q142"/>
    <mergeCell ref="L137:N137"/>
    <mergeCell ref="L138:N138"/>
    <mergeCell ref="L139:N139"/>
    <mergeCell ref="L140:N140"/>
    <mergeCell ref="P140:Q140"/>
    <mergeCell ref="L141:N141"/>
    <mergeCell ref="L142:N142"/>
    <mergeCell ref="P138:Q138"/>
    <mergeCell ref="P139:Q139"/>
    <mergeCell ref="P131:Q131"/>
    <mergeCell ref="P132:Q132"/>
    <mergeCell ref="P133:Q133"/>
    <mergeCell ref="P134:Q134"/>
    <mergeCell ref="P135:Q135"/>
    <mergeCell ref="P136:Q136"/>
    <mergeCell ref="P137:Q137"/>
    <mergeCell ref="P123:Q123"/>
    <mergeCell ref="P124:Q124"/>
    <mergeCell ref="P125:Q125"/>
    <mergeCell ref="P126:Q126"/>
    <mergeCell ref="P127:Q127"/>
    <mergeCell ref="P128:Q128"/>
    <mergeCell ref="P129:Q129"/>
    <mergeCell ref="P130:Q130"/>
    <mergeCell ref="L103:N103"/>
    <mergeCell ref="P103:Q103"/>
    <mergeCell ref="L104:N104"/>
    <mergeCell ref="L105:N105"/>
    <mergeCell ref="L106:N106"/>
    <mergeCell ref="P105:Q105"/>
    <mergeCell ref="P106:Q106"/>
    <mergeCell ref="P104:Q104"/>
    <mergeCell ref="P108:Q108"/>
    <mergeCell ref="P107:Q107"/>
    <mergeCell ref="L110:N110"/>
    <mergeCell ref="L111:N111"/>
    <mergeCell ref="L112:N112"/>
    <mergeCell ref="L107:N107"/>
    <mergeCell ref="L108:N108"/>
    <mergeCell ref="L109:N109"/>
    <mergeCell ref="P109:Q109"/>
    <mergeCell ref="P110:Q110"/>
    <mergeCell ref="L123:N123"/>
    <mergeCell ref="L124:N124"/>
    <mergeCell ref="L125:N125"/>
    <mergeCell ref="L126:N126"/>
    <mergeCell ref="L127:N127"/>
    <mergeCell ref="L128:N128"/>
    <mergeCell ref="P111:Q111"/>
    <mergeCell ref="P112:Q112"/>
    <mergeCell ref="L113:N113"/>
    <mergeCell ref="P113:Q113"/>
    <mergeCell ref="L114:N114"/>
    <mergeCell ref="P114:Q114"/>
    <mergeCell ref="L115:N115"/>
    <mergeCell ref="P115:Q115"/>
    <mergeCell ref="P116:Q116"/>
    <mergeCell ref="L116:N116"/>
    <mergeCell ref="L117:N117"/>
    <mergeCell ref="L118:N118"/>
    <mergeCell ref="L119:N119"/>
    <mergeCell ref="L120:N120"/>
    <mergeCell ref="L121:N121"/>
    <mergeCell ref="L122:N122"/>
    <mergeCell ref="P117:Q117"/>
    <mergeCell ref="P118:Q118"/>
    <mergeCell ref="P119:Q119"/>
    <mergeCell ref="P120:Q120"/>
    <mergeCell ref="P121:Q121"/>
    <mergeCell ref="P122:Q122"/>
  </mergeCells>
  <conditionalFormatting sqref="G2:I3">
    <cfRule type="expression" dxfId="1" priority="1">
      <formula>$M$2="*"</formula>
    </cfRule>
  </conditionalFormatting>
  <conditionalFormatting sqref="I4">
    <cfRule type="expression" dxfId="0" priority="2">
      <formula>$M$2="*"</formula>
    </cfRule>
  </conditionalFormatting>
  <dataValidations count="1">
    <dataValidation type="list" allowBlank="1" showErrorMessage="1" sqref="P103:P468" xr:uid="{00000000-0002-0000-0100-000003000000}">
      <formula1>$V$101:$V$104</formula1>
    </dataValidation>
  </dataValidations>
  <hyperlinks>
    <hyperlink ref="H15" r:id="rId1" xr:uid="{00000000-0004-0000-0100-000000000000}"/>
  </hyperlinks>
  <pageMargins left="0.7" right="0.7" top="0.75" bottom="0.75" header="0" footer="0"/>
  <pageSetup orientation="portrait"/>
  <drawing r:id="rId2"/>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reglas!$E$3:$E$7</xm:f>
          </x14:formula1>
          <xm:sqref>D15 D66 D73 D78 D83 D103:D468</xm:sqref>
        </x14:dataValidation>
        <x14:dataValidation type="list" allowBlank="1" showErrorMessage="1" xr:uid="{00000000-0002-0000-0100-000001000000}">
          <x14:formula1>
            <xm:f>reglas!$E$19:$E$22</xm:f>
          </x14:formula1>
          <xm:sqref>C70 C75 C80</xm:sqref>
        </x14:dataValidation>
        <x14:dataValidation type="list" allowBlank="1" showErrorMessage="1" xr:uid="{00000000-0002-0000-0100-000002000000}">
          <x14:formula1>
            <xm:f>reglas!$G$19:$G$21</xm:f>
          </x14:formula1>
          <xm:sqref>C88</xm:sqref>
        </x14:dataValidation>
        <x14:dataValidation type="list" allowBlank="1" showErrorMessage="1" xr:uid="{00000000-0002-0000-0100-000004000000}">
          <x14:formula1>
            <xm:f>reglas!$G$14:$G$17</xm:f>
          </x14:formula1>
          <xm:sqref>C26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sheetViews>
  <sheetFormatPr baseColWidth="10" defaultColWidth="14.44140625" defaultRowHeight="15" customHeight="1" x14ac:dyDescent="0.3"/>
  <cols>
    <col min="1" max="1" width="11.44140625" customWidth="1"/>
    <col min="2" max="2" width="28.33203125" customWidth="1"/>
    <col min="3" max="3" width="25.109375" customWidth="1"/>
    <col min="4" max="26" width="11.44140625" customWidth="1"/>
  </cols>
  <sheetData>
    <row r="1" spans="1:10" ht="14.25" customHeight="1" x14ac:dyDescent="0.3">
      <c r="A1" s="1" t="s">
        <v>96</v>
      </c>
      <c r="J1" s="50"/>
    </row>
    <row r="2" spans="1:10" ht="14.25" customHeight="1" x14ac:dyDescent="0.3">
      <c r="J2" s="50"/>
    </row>
    <row r="3" spans="1:10" ht="14.25" customHeight="1" x14ac:dyDescent="0.3">
      <c r="B3" s="1" t="s">
        <v>33</v>
      </c>
      <c r="C3" s="1" t="s">
        <v>97</v>
      </c>
      <c r="E3" s="1" t="s">
        <v>33</v>
      </c>
      <c r="G3" s="1" t="s">
        <v>33</v>
      </c>
      <c r="J3" s="50"/>
    </row>
    <row r="4" spans="1:10" ht="14.25" customHeight="1" x14ac:dyDescent="0.3">
      <c r="A4" s="1">
        <v>1</v>
      </c>
      <c r="B4" s="1" t="s">
        <v>98</v>
      </c>
      <c r="C4" s="1">
        <v>1301</v>
      </c>
      <c r="E4" s="51" t="s">
        <v>86</v>
      </c>
      <c r="G4" s="1" t="s">
        <v>99</v>
      </c>
      <c r="J4" s="50"/>
    </row>
    <row r="5" spans="1:10" ht="14.25" customHeight="1" x14ac:dyDescent="0.3">
      <c r="A5" s="1">
        <v>2</v>
      </c>
      <c r="B5" s="1" t="s">
        <v>100</v>
      </c>
      <c r="C5" s="1">
        <v>1505</v>
      </c>
      <c r="E5" s="51" t="s">
        <v>24</v>
      </c>
      <c r="G5" s="1" t="s">
        <v>101</v>
      </c>
      <c r="J5" s="50"/>
    </row>
    <row r="6" spans="1:10" ht="14.25" customHeight="1" x14ac:dyDescent="0.3">
      <c r="A6" s="1">
        <f t="shared" ref="A6:A20" si="0">+A5+1</f>
        <v>3</v>
      </c>
      <c r="B6" s="1" t="s">
        <v>102</v>
      </c>
      <c r="C6" s="1">
        <v>1501</v>
      </c>
      <c r="E6" s="51" t="s">
        <v>103</v>
      </c>
      <c r="G6" s="1" t="s">
        <v>104</v>
      </c>
      <c r="J6" s="50"/>
    </row>
    <row r="7" spans="1:10" ht="14.25" customHeight="1" x14ac:dyDescent="0.3">
      <c r="A7" s="1">
        <f t="shared" si="0"/>
        <v>4</v>
      </c>
      <c r="B7" s="1" t="s">
        <v>105</v>
      </c>
      <c r="C7" s="1">
        <v>1101</v>
      </c>
      <c r="E7" s="51" t="s">
        <v>106</v>
      </c>
      <c r="J7" s="50"/>
    </row>
    <row r="8" spans="1:10" ht="14.25" customHeight="1" x14ac:dyDescent="0.3">
      <c r="A8" s="1">
        <f t="shared" si="0"/>
        <v>5</v>
      </c>
      <c r="B8" s="1" t="s">
        <v>107</v>
      </c>
      <c r="C8" s="1">
        <v>1201</v>
      </c>
      <c r="J8" s="50"/>
    </row>
    <row r="9" spans="1:10" ht="14.25" customHeight="1" x14ac:dyDescent="0.3">
      <c r="A9" s="1">
        <f t="shared" si="0"/>
        <v>6</v>
      </c>
      <c r="B9" s="1" t="s">
        <v>108</v>
      </c>
      <c r="C9" s="1">
        <v>1402</v>
      </c>
      <c r="E9" s="1" t="s">
        <v>33</v>
      </c>
      <c r="G9" s="1" t="s">
        <v>33</v>
      </c>
      <c r="J9" s="50"/>
    </row>
    <row r="10" spans="1:10" ht="14.25" customHeight="1" x14ac:dyDescent="0.3">
      <c r="A10" s="1">
        <f t="shared" si="0"/>
        <v>7</v>
      </c>
      <c r="B10" s="1" t="s">
        <v>109</v>
      </c>
      <c r="C10" s="1">
        <v>1601</v>
      </c>
      <c r="E10" s="51" t="s">
        <v>110</v>
      </c>
      <c r="G10" s="1" t="s">
        <v>111</v>
      </c>
      <c r="J10" s="50"/>
    </row>
    <row r="11" spans="1:10" ht="14.25" customHeight="1" x14ac:dyDescent="0.3">
      <c r="A11" s="1">
        <f t="shared" si="0"/>
        <v>8</v>
      </c>
      <c r="B11" s="1" t="s">
        <v>112</v>
      </c>
      <c r="C11" s="1">
        <v>3003</v>
      </c>
      <c r="E11" s="51" t="s">
        <v>113</v>
      </c>
      <c r="G11" s="1" t="s">
        <v>114</v>
      </c>
      <c r="J11" s="50"/>
    </row>
    <row r="12" spans="1:10" ht="14.25" customHeight="1" x14ac:dyDescent="0.3">
      <c r="A12" s="1">
        <f t="shared" si="0"/>
        <v>9</v>
      </c>
      <c r="B12" s="1" t="s">
        <v>115</v>
      </c>
      <c r="C12" s="1">
        <v>3001</v>
      </c>
      <c r="J12" s="50"/>
    </row>
    <row r="13" spans="1:10" ht="14.25" customHeight="1" x14ac:dyDescent="0.3">
      <c r="A13" s="1">
        <f t="shared" si="0"/>
        <v>10</v>
      </c>
      <c r="B13" s="1" t="s">
        <v>116</v>
      </c>
      <c r="C13" s="1">
        <v>3002</v>
      </c>
      <c r="E13" s="1" t="s">
        <v>33</v>
      </c>
      <c r="J13" s="50"/>
    </row>
    <row r="14" spans="1:10" ht="14.25" customHeight="1" x14ac:dyDescent="0.3">
      <c r="A14" s="1">
        <f t="shared" si="0"/>
        <v>11</v>
      </c>
      <c r="B14" s="1" t="s">
        <v>116</v>
      </c>
      <c r="C14" s="1">
        <v>3002</v>
      </c>
      <c r="E14" s="1" t="s">
        <v>117</v>
      </c>
      <c r="G14" s="1" t="s">
        <v>33</v>
      </c>
      <c r="J14" s="50"/>
    </row>
    <row r="15" spans="1:10" ht="14.25" customHeight="1" x14ac:dyDescent="0.3">
      <c r="A15" s="1">
        <f t="shared" si="0"/>
        <v>12</v>
      </c>
      <c r="B15" s="1" t="s">
        <v>118</v>
      </c>
      <c r="C15" s="1">
        <v>3301</v>
      </c>
      <c r="E15" s="1" t="s">
        <v>119</v>
      </c>
      <c r="G15" s="1" t="s">
        <v>64</v>
      </c>
      <c r="J15" s="50"/>
    </row>
    <row r="16" spans="1:10" ht="14.25" customHeight="1" x14ac:dyDescent="0.3">
      <c r="A16" s="1">
        <f t="shared" si="0"/>
        <v>13</v>
      </c>
      <c r="B16" s="1" t="s">
        <v>120</v>
      </c>
      <c r="C16" s="1">
        <v>3311</v>
      </c>
      <c r="E16" s="1" t="s">
        <v>121</v>
      </c>
      <c r="G16" s="1" t="s">
        <v>15</v>
      </c>
      <c r="J16" s="50"/>
    </row>
    <row r="17" spans="1:14" ht="14.25" customHeight="1" x14ac:dyDescent="0.3">
      <c r="A17" s="1">
        <f t="shared" si="0"/>
        <v>14</v>
      </c>
      <c r="B17" s="1" t="s">
        <v>122</v>
      </c>
      <c r="C17" s="1">
        <v>3321</v>
      </c>
      <c r="E17" s="1" t="s">
        <v>123</v>
      </c>
      <c r="G17" s="1" t="s">
        <v>124</v>
      </c>
      <c r="J17" s="50"/>
    </row>
    <row r="18" spans="1:14" ht="14.25" customHeight="1" x14ac:dyDescent="0.3">
      <c r="A18" s="1">
        <f t="shared" si="0"/>
        <v>15</v>
      </c>
      <c r="B18" s="1" t="s">
        <v>125</v>
      </c>
      <c r="C18" s="1">
        <v>3341</v>
      </c>
      <c r="J18" s="50"/>
      <c r="L18" s="1">
        <v>897</v>
      </c>
      <c r="N18" s="52">
        <f>L18/8</f>
        <v>112.125</v>
      </c>
    </row>
    <row r="19" spans="1:14" ht="14.25" customHeight="1" x14ac:dyDescent="0.3">
      <c r="A19" s="1">
        <f t="shared" si="0"/>
        <v>16</v>
      </c>
      <c r="B19" s="1" t="s">
        <v>126</v>
      </c>
      <c r="C19" s="1">
        <v>3331</v>
      </c>
      <c r="E19" s="1" t="s">
        <v>33</v>
      </c>
      <c r="G19" s="1" t="s">
        <v>33</v>
      </c>
      <c r="J19" s="50"/>
    </row>
    <row r="20" spans="1:14" ht="14.25" customHeight="1" x14ac:dyDescent="0.3">
      <c r="A20" s="1">
        <f t="shared" si="0"/>
        <v>17</v>
      </c>
      <c r="B20" s="1" t="s">
        <v>127</v>
      </c>
      <c r="C20" s="1">
        <v>3351</v>
      </c>
      <c r="E20" s="1" t="s">
        <v>128</v>
      </c>
      <c r="G20" s="1" t="s">
        <v>129</v>
      </c>
      <c r="J20" s="50"/>
    </row>
    <row r="21" spans="1:14" ht="14.25" customHeight="1" x14ac:dyDescent="0.3">
      <c r="A21" s="1">
        <v>18</v>
      </c>
      <c r="B21" s="1" t="s">
        <v>130</v>
      </c>
      <c r="C21" s="1">
        <v>1338</v>
      </c>
      <c r="E21" s="1" t="s">
        <v>131</v>
      </c>
      <c r="G21" s="1" t="s">
        <v>64</v>
      </c>
      <c r="J21" s="50"/>
    </row>
    <row r="22" spans="1:14" ht="14.25" customHeight="1" x14ac:dyDescent="0.3">
      <c r="E22" s="1" t="s">
        <v>17</v>
      </c>
      <c r="J22" s="50"/>
    </row>
    <row r="23" spans="1:14" ht="14.25" customHeight="1" x14ac:dyDescent="0.3">
      <c r="J23" s="50"/>
    </row>
    <row r="24" spans="1:14" ht="14.25" customHeight="1" x14ac:dyDescent="0.3">
      <c r="E24" s="1" t="s">
        <v>33</v>
      </c>
      <c r="G24" s="1" t="s">
        <v>33</v>
      </c>
      <c r="J24" s="50"/>
    </row>
    <row r="25" spans="1:14" ht="14.25" customHeight="1" x14ac:dyDescent="0.3">
      <c r="B25" s="1" t="s">
        <v>33</v>
      </c>
      <c r="E25" s="1" t="s">
        <v>132</v>
      </c>
      <c r="G25" s="1" t="s">
        <v>133</v>
      </c>
      <c r="J25" s="50"/>
    </row>
    <row r="26" spans="1:14" ht="14.25" customHeight="1" x14ac:dyDescent="0.3">
      <c r="B26" s="1" t="s">
        <v>134</v>
      </c>
      <c r="E26" s="1" t="s">
        <v>135</v>
      </c>
      <c r="G26" s="1" t="s">
        <v>136</v>
      </c>
      <c r="J26" s="50"/>
    </row>
    <row r="27" spans="1:14" ht="14.25" customHeight="1" x14ac:dyDescent="0.3">
      <c r="B27" s="1" t="s">
        <v>137</v>
      </c>
      <c r="E27" s="1" t="s">
        <v>138</v>
      </c>
      <c r="J27" s="50"/>
    </row>
    <row r="28" spans="1:14" ht="14.25" customHeight="1" x14ac:dyDescent="0.3">
      <c r="B28" s="1" t="s">
        <v>139</v>
      </c>
      <c r="E28" s="1" t="s">
        <v>140</v>
      </c>
      <c r="J28" s="50"/>
    </row>
    <row r="29" spans="1:14" ht="14.25" customHeight="1" x14ac:dyDescent="0.3">
      <c r="E29" s="1" t="s">
        <v>141</v>
      </c>
      <c r="G29" s="1" t="s">
        <v>33</v>
      </c>
      <c r="J29" s="50"/>
    </row>
    <row r="30" spans="1:14" ht="14.25" customHeight="1" x14ac:dyDescent="0.3">
      <c r="G30" s="1" t="s">
        <v>142</v>
      </c>
      <c r="J30" s="50"/>
    </row>
    <row r="31" spans="1:14" ht="14.25" customHeight="1" x14ac:dyDescent="0.3">
      <c r="G31" s="1" t="s">
        <v>15</v>
      </c>
      <c r="J31" s="50"/>
    </row>
    <row r="32" spans="1:14" ht="14.25" customHeight="1" x14ac:dyDescent="0.3">
      <c r="C32" s="1" t="s">
        <v>33</v>
      </c>
      <c r="D32" s="1" t="s">
        <v>97</v>
      </c>
      <c r="E32" s="1" t="s">
        <v>143</v>
      </c>
      <c r="J32" s="50"/>
    </row>
    <row r="33" spans="2:10" ht="14.25" customHeight="1" x14ac:dyDescent="0.3">
      <c r="C33" s="1" t="s">
        <v>144</v>
      </c>
      <c r="D33" s="1">
        <v>2101</v>
      </c>
      <c r="E33" s="1" t="s">
        <v>145</v>
      </c>
      <c r="G33" s="1" t="s">
        <v>33</v>
      </c>
      <c r="J33" s="50"/>
    </row>
    <row r="34" spans="2:10" ht="14.25" customHeight="1" x14ac:dyDescent="0.3">
      <c r="B34" s="1" t="s">
        <v>146</v>
      </c>
      <c r="C34" s="50" t="s">
        <v>147</v>
      </c>
      <c r="D34" s="50">
        <v>2010</v>
      </c>
      <c r="E34" s="50" t="s">
        <v>148</v>
      </c>
      <c r="G34" s="1" t="s">
        <v>149</v>
      </c>
      <c r="J34" s="50"/>
    </row>
    <row r="35" spans="2:10" ht="14.25" customHeight="1" x14ac:dyDescent="0.3">
      <c r="B35" s="1" t="s">
        <v>150</v>
      </c>
      <c r="C35" s="1" t="s">
        <v>151</v>
      </c>
      <c r="D35" s="1">
        <v>2016</v>
      </c>
      <c r="E35" s="1" t="s">
        <v>152</v>
      </c>
      <c r="G35" s="1" t="s">
        <v>15</v>
      </c>
      <c r="J35" s="50"/>
    </row>
    <row r="36" spans="2:10" ht="14.25" customHeight="1" x14ac:dyDescent="0.3">
      <c r="B36" s="1" t="s">
        <v>153</v>
      </c>
      <c r="C36" s="1" t="s">
        <v>154</v>
      </c>
      <c r="D36" s="1">
        <v>2014</v>
      </c>
      <c r="E36" s="1" t="s">
        <v>155</v>
      </c>
      <c r="J36" s="50"/>
    </row>
    <row r="37" spans="2:10" ht="14.25" customHeight="1" x14ac:dyDescent="0.3">
      <c r="C37" s="1" t="s">
        <v>156</v>
      </c>
      <c r="D37" s="1">
        <v>2015</v>
      </c>
      <c r="E37" s="1" t="s">
        <v>157</v>
      </c>
      <c r="J37" s="50"/>
    </row>
    <row r="38" spans="2:10" ht="14.25" customHeight="1" x14ac:dyDescent="0.3">
      <c r="J38" s="50"/>
    </row>
    <row r="39" spans="2:10" ht="14.25" customHeight="1" x14ac:dyDescent="0.3">
      <c r="J39" s="50"/>
    </row>
    <row r="40" spans="2:10" ht="14.25" customHeight="1" x14ac:dyDescent="0.3">
      <c r="C40" s="1" t="s">
        <v>33</v>
      </c>
      <c r="D40" s="1" t="s">
        <v>97</v>
      </c>
      <c r="J40" s="50"/>
    </row>
    <row r="41" spans="2:10" ht="14.25" customHeight="1" x14ac:dyDescent="0.3">
      <c r="C41" s="1" t="s">
        <v>144</v>
      </c>
      <c r="D41" s="1">
        <v>2101</v>
      </c>
      <c r="J41" s="50"/>
    </row>
    <row r="42" spans="2:10" ht="14.25" customHeight="1" x14ac:dyDescent="0.3">
      <c r="C42" s="1" t="s">
        <v>151</v>
      </c>
      <c r="D42" s="1">
        <v>2016</v>
      </c>
      <c r="J42" s="50"/>
    </row>
    <row r="43" spans="2:10" ht="14.25" customHeight="1" x14ac:dyDescent="0.3">
      <c r="J43" s="50"/>
    </row>
    <row r="44" spans="2:10" ht="14.25" customHeight="1" x14ac:dyDescent="0.3">
      <c r="B44" s="53"/>
      <c r="C44" s="54"/>
      <c r="J44" s="50"/>
    </row>
    <row r="45" spans="2:10" ht="14.25" customHeight="1" x14ac:dyDescent="0.3">
      <c r="B45" s="53"/>
      <c r="C45" s="54"/>
      <c r="J45" s="50"/>
    </row>
    <row r="46" spans="2:10" ht="14.25" customHeight="1" x14ac:dyDescent="0.3">
      <c r="B46" s="53"/>
      <c r="C46" s="54"/>
      <c r="J46" s="50"/>
    </row>
    <row r="47" spans="2:10" ht="14.25" customHeight="1" x14ac:dyDescent="0.3">
      <c r="B47" s="53"/>
      <c r="C47" s="54"/>
      <c r="J47" s="50"/>
    </row>
    <row r="48" spans="2:10" ht="14.25" customHeight="1" x14ac:dyDescent="0.3">
      <c r="B48" s="53"/>
      <c r="C48" s="54"/>
      <c r="J48" s="50"/>
    </row>
    <row r="49" spans="2:10" ht="14.25" customHeight="1" x14ac:dyDescent="0.3">
      <c r="B49" s="53"/>
      <c r="C49" s="54"/>
      <c r="J49" s="50"/>
    </row>
    <row r="50" spans="2:10" ht="14.25" customHeight="1" x14ac:dyDescent="0.3">
      <c r="B50" s="53"/>
      <c r="C50" s="54"/>
      <c r="J50" s="50"/>
    </row>
    <row r="51" spans="2:10" ht="14.25" customHeight="1" x14ac:dyDescent="0.3">
      <c r="B51" s="53"/>
      <c r="C51" s="54"/>
      <c r="J51" s="50"/>
    </row>
    <row r="52" spans="2:10" ht="14.25" customHeight="1" x14ac:dyDescent="0.3">
      <c r="B52" s="53"/>
      <c r="C52" s="54"/>
      <c r="J52" s="50"/>
    </row>
    <row r="53" spans="2:10" ht="14.25" customHeight="1" x14ac:dyDescent="0.3">
      <c r="B53" s="53"/>
      <c r="C53" s="54"/>
      <c r="J53" s="50"/>
    </row>
    <row r="54" spans="2:10" ht="14.25" customHeight="1" x14ac:dyDescent="0.3">
      <c r="B54" s="53"/>
      <c r="C54" s="54"/>
      <c r="J54" s="50"/>
    </row>
    <row r="55" spans="2:10" ht="14.25" customHeight="1" x14ac:dyDescent="0.3">
      <c r="B55" s="53"/>
      <c r="C55" s="54"/>
      <c r="J55" s="50"/>
    </row>
    <row r="56" spans="2:10" ht="14.25" customHeight="1" x14ac:dyDescent="0.3">
      <c r="B56" s="53"/>
      <c r="C56" s="54"/>
      <c r="J56" s="50"/>
    </row>
    <row r="57" spans="2:10" ht="14.25" customHeight="1" x14ac:dyDescent="0.3">
      <c r="B57" s="53"/>
      <c r="C57" s="54"/>
      <c r="J57" s="50"/>
    </row>
    <row r="58" spans="2:10" ht="14.25" customHeight="1" x14ac:dyDescent="0.3">
      <c r="B58" s="53"/>
      <c r="C58" s="54"/>
      <c r="J58" s="50"/>
    </row>
    <row r="59" spans="2:10" ht="14.25" customHeight="1" x14ac:dyDescent="0.3">
      <c r="B59" s="53"/>
      <c r="C59" s="54"/>
      <c r="J59" s="50"/>
    </row>
    <row r="60" spans="2:10" ht="14.25" customHeight="1" x14ac:dyDescent="0.3">
      <c r="B60" s="53"/>
      <c r="C60" s="54"/>
      <c r="J60" s="50"/>
    </row>
    <row r="61" spans="2:10" ht="14.25" customHeight="1" x14ac:dyDescent="0.3">
      <c r="B61" s="53"/>
      <c r="C61" s="54"/>
      <c r="J61" s="50"/>
    </row>
    <row r="62" spans="2:10" ht="14.25" customHeight="1" x14ac:dyDescent="0.3">
      <c r="B62" s="53"/>
      <c r="C62" s="54"/>
      <c r="J62" s="50"/>
    </row>
    <row r="63" spans="2:10" ht="14.25" customHeight="1" x14ac:dyDescent="0.3">
      <c r="B63" s="53"/>
      <c r="C63" s="54"/>
      <c r="J63" s="50"/>
    </row>
    <row r="64" spans="2:10" ht="14.25" customHeight="1" x14ac:dyDescent="0.3">
      <c r="B64" s="53"/>
      <c r="C64" s="54"/>
      <c r="J64" s="50"/>
    </row>
    <row r="65" spans="2:10" ht="14.25" customHeight="1" x14ac:dyDescent="0.3">
      <c r="B65" s="53"/>
      <c r="C65" s="54"/>
      <c r="J65" s="50"/>
    </row>
    <row r="66" spans="2:10" ht="14.25" customHeight="1" x14ac:dyDescent="0.3">
      <c r="B66" s="53"/>
      <c r="C66" s="54"/>
      <c r="J66" s="50"/>
    </row>
    <row r="67" spans="2:10" ht="14.25" customHeight="1" x14ac:dyDescent="0.3">
      <c r="J67" s="50"/>
    </row>
    <row r="68" spans="2:10" ht="14.25" customHeight="1" x14ac:dyDescent="0.3">
      <c r="J68" s="50"/>
    </row>
    <row r="69" spans="2:10" ht="14.25" customHeight="1" x14ac:dyDescent="0.3">
      <c r="J69" s="50"/>
    </row>
    <row r="70" spans="2:10" ht="14.25" customHeight="1" x14ac:dyDescent="0.3">
      <c r="J70" s="50"/>
    </row>
    <row r="71" spans="2:10" ht="14.25" customHeight="1" x14ac:dyDescent="0.3">
      <c r="J71" s="50"/>
    </row>
    <row r="72" spans="2:10" ht="14.25" customHeight="1" x14ac:dyDescent="0.3">
      <c r="J72" s="50"/>
    </row>
    <row r="73" spans="2:10" ht="14.25" customHeight="1" x14ac:dyDescent="0.3">
      <c r="J73" s="50"/>
    </row>
    <row r="74" spans="2:10" ht="14.25" customHeight="1" x14ac:dyDescent="0.3">
      <c r="J74" s="50"/>
    </row>
    <row r="75" spans="2:10" ht="14.25" customHeight="1" x14ac:dyDescent="0.3">
      <c r="J75" s="50"/>
    </row>
    <row r="76" spans="2:10" ht="14.25" customHeight="1" x14ac:dyDescent="0.3">
      <c r="J76" s="50"/>
    </row>
    <row r="77" spans="2:10" ht="14.25" customHeight="1" x14ac:dyDescent="0.3">
      <c r="J77" s="50"/>
    </row>
    <row r="78" spans="2:10" ht="14.25" customHeight="1" x14ac:dyDescent="0.3">
      <c r="J78" s="50"/>
    </row>
    <row r="79" spans="2:10" ht="14.25" customHeight="1" x14ac:dyDescent="0.3">
      <c r="J79" s="50"/>
    </row>
    <row r="80" spans="2:10" ht="14.25" customHeight="1" x14ac:dyDescent="0.3">
      <c r="J80" s="50"/>
    </row>
    <row r="81" spans="10:10" ht="14.25" customHeight="1" x14ac:dyDescent="0.3">
      <c r="J81" s="50"/>
    </row>
    <row r="82" spans="10:10" ht="14.25" customHeight="1" x14ac:dyDescent="0.3">
      <c r="J82" s="50"/>
    </row>
    <row r="83" spans="10:10" ht="14.25" customHeight="1" x14ac:dyDescent="0.3">
      <c r="J83" s="50"/>
    </row>
    <row r="84" spans="10:10" ht="14.25" customHeight="1" x14ac:dyDescent="0.3">
      <c r="J84" s="50"/>
    </row>
    <row r="85" spans="10:10" ht="14.25" customHeight="1" x14ac:dyDescent="0.3">
      <c r="J85" s="50"/>
    </row>
    <row r="86" spans="10:10" ht="14.25" customHeight="1" x14ac:dyDescent="0.3">
      <c r="J86" s="50"/>
    </row>
    <row r="87" spans="10:10" ht="14.25" customHeight="1" x14ac:dyDescent="0.3">
      <c r="J87" s="50"/>
    </row>
    <row r="88" spans="10:10" ht="14.25" customHeight="1" x14ac:dyDescent="0.3">
      <c r="J88" s="50"/>
    </row>
    <row r="89" spans="10:10" ht="14.25" customHeight="1" x14ac:dyDescent="0.3">
      <c r="J89" s="50"/>
    </row>
    <row r="90" spans="10:10" ht="14.25" customHeight="1" x14ac:dyDescent="0.3">
      <c r="J90" s="50"/>
    </row>
    <row r="91" spans="10:10" ht="14.25" customHeight="1" x14ac:dyDescent="0.3">
      <c r="J91" s="50"/>
    </row>
    <row r="92" spans="10:10" ht="14.25" customHeight="1" x14ac:dyDescent="0.3">
      <c r="J92" s="50"/>
    </row>
    <row r="93" spans="10:10" ht="14.25" customHeight="1" x14ac:dyDescent="0.3">
      <c r="J93" s="50"/>
    </row>
    <row r="94" spans="10:10" ht="14.25" customHeight="1" x14ac:dyDescent="0.3">
      <c r="J94" s="50"/>
    </row>
    <row r="95" spans="10:10" ht="14.25" customHeight="1" x14ac:dyDescent="0.3">
      <c r="J95" s="50"/>
    </row>
    <row r="96" spans="10:10" ht="14.25" customHeight="1" x14ac:dyDescent="0.3">
      <c r="J96" s="50"/>
    </row>
    <row r="97" spans="10:10" ht="14.25" customHeight="1" x14ac:dyDescent="0.3">
      <c r="J97" s="50"/>
    </row>
    <row r="98" spans="10:10" ht="14.25" customHeight="1" x14ac:dyDescent="0.3">
      <c r="J98" s="50"/>
    </row>
    <row r="99" spans="10:10" ht="14.25" customHeight="1" x14ac:dyDescent="0.3">
      <c r="J99" s="50"/>
    </row>
    <row r="100" spans="10:10" ht="14.25" customHeight="1" x14ac:dyDescent="0.3">
      <c r="J100" s="50"/>
    </row>
    <row r="101" spans="10:10" ht="14.25" customHeight="1" x14ac:dyDescent="0.3">
      <c r="J101" s="50"/>
    </row>
    <row r="102" spans="10:10" ht="14.25" customHeight="1" x14ac:dyDescent="0.3">
      <c r="J102" s="50"/>
    </row>
    <row r="103" spans="10:10" ht="14.25" customHeight="1" x14ac:dyDescent="0.3">
      <c r="J103" s="50"/>
    </row>
    <row r="104" spans="10:10" ht="14.25" customHeight="1" x14ac:dyDescent="0.3">
      <c r="J104" s="50"/>
    </row>
    <row r="105" spans="10:10" ht="14.25" customHeight="1" x14ac:dyDescent="0.3">
      <c r="J105" s="50"/>
    </row>
    <row r="106" spans="10:10" ht="14.25" customHeight="1" x14ac:dyDescent="0.3">
      <c r="J106" s="50"/>
    </row>
    <row r="107" spans="10:10" ht="14.25" customHeight="1" x14ac:dyDescent="0.3">
      <c r="J107" s="50"/>
    </row>
    <row r="108" spans="10:10" ht="14.25" customHeight="1" x14ac:dyDescent="0.3">
      <c r="J108" s="50"/>
    </row>
    <row r="109" spans="10:10" ht="14.25" customHeight="1" x14ac:dyDescent="0.3">
      <c r="J109" s="50"/>
    </row>
    <row r="110" spans="10:10" ht="14.25" customHeight="1" x14ac:dyDescent="0.3">
      <c r="J110" s="50"/>
    </row>
    <row r="111" spans="10:10" ht="14.25" customHeight="1" x14ac:dyDescent="0.3">
      <c r="J111" s="50"/>
    </row>
    <row r="112" spans="10:10" ht="14.25" customHeight="1" x14ac:dyDescent="0.3">
      <c r="J112" s="50"/>
    </row>
    <row r="113" spans="10:10" ht="14.25" customHeight="1" x14ac:dyDescent="0.3">
      <c r="J113" s="50"/>
    </row>
    <row r="114" spans="10:10" ht="14.25" customHeight="1" x14ac:dyDescent="0.3">
      <c r="J114" s="50"/>
    </row>
    <row r="115" spans="10:10" ht="14.25" customHeight="1" x14ac:dyDescent="0.3">
      <c r="J115" s="50"/>
    </row>
    <row r="116" spans="10:10" ht="14.25" customHeight="1" x14ac:dyDescent="0.3">
      <c r="J116" s="50"/>
    </row>
    <row r="117" spans="10:10" ht="14.25" customHeight="1" x14ac:dyDescent="0.3">
      <c r="J117" s="50"/>
    </row>
    <row r="118" spans="10:10" ht="14.25" customHeight="1" x14ac:dyDescent="0.3">
      <c r="J118" s="50"/>
    </row>
    <row r="119" spans="10:10" ht="14.25" customHeight="1" x14ac:dyDescent="0.3">
      <c r="J119" s="50"/>
    </row>
    <row r="120" spans="10:10" ht="14.25" customHeight="1" x14ac:dyDescent="0.3">
      <c r="J120" s="50"/>
    </row>
    <row r="121" spans="10:10" ht="14.25" customHeight="1" x14ac:dyDescent="0.3">
      <c r="J121" s="50"/>
    </row>
    <row r="122" spans="10:10" ht="14.25" customHeight="1" x14ac:dyDescent="0.3">
      <c r="J122" s="50"/>
    </row>
    <row r="123" spans="10:10" ht="14.25" customHeight="1" x14ac:dyDescent="0.3">
      <c r="J123" s="50"/>
    </row>
    <row r="124" spans="10:10" ht="14.25" customHeight="1" x14ac:dyDescent="0.3">
      <c r="J124" s="50"/>
    </row>
    <row r="125" spans="10:10" ht="14.25" customHeight="1" x14ac:dyDescent="0.3">
      <c r="J125" s="50"/>
    </row>
    <row r="126" spans="10:10" ht="14.25" customHeight="1" x14ac:dyDescent="0.3">
      <c r="J126" s="50"/>
    </row>
    <row r="127" spans="10:10" ht="14.25" customHeight="1" x14ac:dyDescent="0.3">
      <c r="J127" s="50"/>
    </row>
    <row r="128" spans="10:10" ht="14.25" customHeight="1" x14ac:dyDescent="0.3">
      <c r="J128" s="50"/>
    </row>
    <row r="129" spans="10:10" ht="14.25" customHeight="1" x14ac:dyDescent="0.3">
      <c r="J129" s="50"/>
    </row>
    <row r="130" spans="10:10" ht="14.25" customHeight="1" x14ac:dyDescent="0.3">
      <c r="J130" s="50"/>
    </row>
    <row r="131" spans="10:10" ht="14.25" customHeight="1" x14ac:dyDescent="0.3">
      <c r="J131" s="50"/>
    </row>
    <row r="132" spans="10:10" ht="14.25" customHeight="1" x14ac:dyDescent="0.3">
      <c r="J132" s="50"/>
    </row>
    <row r="133" spans="10:10" ht="14.25" customHeight="1" x14ac:dyDescent="0.3">
      <c r="J133" s="50"/>
    </row>
    <row r="134" spans="10:10" ht="14.25" customHeight="1" x14ac:dyDescent="0.3">
      <c r="J134" s="50"/>
    </row>
    <row r="135" spans="10:10" ht="14.25" customHeight="1" x14ac:dyDescent="0.3">
      <c r="J135" s="50"/>
    </row>
    <row r="136" spans="10:10" ht="14.25" customHeight="1" x14ac:dyDescent="0.3">
      <c r="J136" s="50"/>
    </row>
    <row r="137" spans="10:10" ht="14.25" customHeight="1" x14ac:dyDescent="0.3">
      <c r="J137" s="50"/>
    </row>
    <row r="138" spans="10:10" ht="14.25" customHeight="1" x14ac:dyDescent="0.3">
      <c r="J138" s="50"/>
    </row>
    <row r="139" spans="10:10" ht="14.25" customHeight="1" x14ac:dyDescent="0.3">
      <c r="J139" s="50"/>
    </row>
    <row r="140" spans="10:10" ht="14.25" customHeight="1" x14ac:dyDescent="0.3">
      <c r="J140" s="50"/>
    </row>
    <row r="141" spans="10:10" ht="14.25" customHeight="1" x14ac:dyDescent="0.3">
      <c r="J141" s="50"/>
    </row>
    <row r="142" spans="10:10" ht="14.25" customHeight="1" x14ac:dyDescent="0.3">
      <c r="J142" s="50"/>
    </row>
    <row r="143" spans="10:10" ht="14.25" customHeight="1" x14ac:dyDescent="0.3">
      <c r="J143" s="50"/>
    </row>
    <row r="144" spans="10:10" ht="14.25" customHeight="1" x14ac:dyDescent="0.3">
      <c r="J144" s="50"/>
    </row>
    <row r="145" spans="10:10" ht="14.25" customHeight="1" x14ac:dyDescent="0.3">
      <c r="J145" s="50"/>
    </row>
    <row r="146" spans="10:10" ht="14.25" customHeight="1" x14ac:dyDescent="0.3">
      <c r="J146" s="50"/>
    </row>
    <row r="147" spans="10:10" ht="14.25" customHeight="1" x14ac:dyDescent="0.3">
      <c r="J147" s="50"/>
    </row>
    <row r="148" spans="10:10" ht="14.25" customHeight="1" x14ac:dyDescent="0.3">
      <c r="J148" s="50"/>
    </row>
    <row r="149" spans="10:10" ht="14.25" customHeight="1" x14ac:dyDescent="0.3">
      <c r="J149" s="50"/>
    </row>
    <row r="150" spans="10:10" ht="14.25" customHeight="1" x14ac:dyDescent="0.3">
      <c r="J150" s="50"/>
    </row>
    <row r="151" spans="10:10" ht="14.25" customHeight="1" x14ac:dyDescent="0.3">
      <c r="J151" s="50"/>
    </row>
    <row r="152" spans="10:10" ht="14.25" customHeight="1" x14ac:dyDescent="0.3">
      <c r="J152" s="50"/>
    </row>
    <row r="153" spans="10:10" ht="14.25" customHeight="1" x14ac:dyDescent="0.3">
      <c r="J153" s="50"/>
    </row>
    <row r="154" spans="10:10" ht="14.25" customHeight="1" x14ac:dyDescent="0.3">
      <c r="J154" s="50"/>
    </row>
    <row r="155" spans="10:10" ht="14.25" customHeight="1" x14ac:dyDescent="0.3">
      <c r="J155" s="50"/>
    </row>
    <row r="156" spans="10:10" ht="14.25" customHeight="1" x14ac:dyDescent="0.3">
      <c r="J156" s="50"/>
    </row>
    <row r="157" spans="10:10" ht="14.25" customHeight="1" x14ac:dyDescent="0.3">
      <c r="J157" s="50"/>
    </row>
    <row r="158" spans="10:10" ht="14.25" customHeight="1" x14ac:dyDescent="0.3">
      <c r="J158" s="50"/>
    </row>
    <row r="159" spans="10:10" ht="14.25" customHeight="1" x14ac:dyDescent="0.3">
      <c r="J159" s="50"/>
    </row>
    <row r="160" spans="10:10" ht="14.25" customHeight="1" x14ac:dyDescent="0.3">
      <c r="J160" s="50"/>
    </row>
    <row r="161" spans="10:10" ht="14.25" customHeight="1" x14ac:dyDescent="0.3">
      <c r="J161" s="50"/>
    </row>
    <row r="162" spans="10:10" ht="14.25" customHeight="1" x14ac:dyDescent="0.3">
      <c r="J162" s="50"/>
    </row>
    <row r="163" spans="10:10" ht="14.25" customHeight="1" x14ac:dyDescent="0.3">
      <c r="J163" s="50"/>
    </row>
    <row r="164" spans="10:10" ht="14.25" customHeight="1" x14ac:dyDescent="0.3">
      <c r="J164" s="50"/>
    </row>
    <row r="165" spans="10:10" ht="14.25" customHeight="1" x14ac:dyDescent="0.3">
      <c r="J165" s="50"/>
    </row>
    <row r="166" spans="10:10" ht="14.25" customHeight="1" x14ac:dyDescent="0.3">
      <c r="J166" s="50"/>
    </row>
    <row r="167" spans="10:10" ht="14.25" customHeight="1" x14ac:dyDescent="0.3">
      <c r="J167" s="50"/>
    </row>
    <row r="168" spans="10:10" ht="14.25" customHeight="1" x14ac:dyDescent="0.3">
      <c r="J168" s="50"/>
    </row>
    <row r="169" spans="10:10" ht="14.25" customHeight="1" x14ac:dyDescent="0.3">
      <c r="J169" s="50"/>
    </row>
    <row r="170" spans="10:10" ht="14.25" customHeight="1" x14ac:dyDescent="0.3">
      <c r="J170" s="50"/>
    </row>
    <row r="171" spans="10:10" ht="14.25" customHeight="1" x14ac:dyDescent="0.3">
      <c r="J171" s="50"/>
    </row>
    <row r="172" spans="10:10" ht="14.25" customHeight="1" x14ac:dyDescent="0.3">
      <c r="J172" s="50"/>
    </row>
    <row r="173" spans="10:10" ht="14.25" customHeight="1" x14ac:dyDescent="0.3">
      <c r="J173" s="50"/>
    </row>
    <row r="174" spans="10:10" ht="14.25" customHeight="1" x14ac:dyDescent="0.3">
      <c r="J174" s="50"/>
    </row>
    <row r="175" spans="10:10" ht="14.25" customHeight="1" x14ac:dyDescent="0.3">
      <c r="J175" s="50"/>
    </row>
    <row r="176" spans="10:10" ht="14.25" customHeight="1" x14ac:dyDescent="0.3">
      <c r="J176" s="50"/>
    </row>
    <row r="177" spans="10:10" ht="14.25" customHeight="1" x14ac:dyDescent="0.3">
      <c r="J177" s="50"/>
    </row>
    <row r="178" spans="10:10" ht="14.25" customHeight="1" x14ac:dyDescent="0.3">
      <c r="J178" s="50"/>
    </row>
    <row r="179" spans="10:10" ht="14.25" customHeight="1" x14ac:dyDescent="0.3">
      <c r="J179" s="50"/>
    </row>
    <row r="180" spans="10:10" ht="14.25" customHeight="1" x14ac:dyDescent="0.3">
      <c r="J180" s="50"/>
    </row>
    <row r="181" spans="10:10" ht="14.25" customHeight="1" x14ac:dyDescent="0.3">
      <c r="J181" s="50"/>
    </row>
    <row r="182" spans="10:10" ht="14.25" customHeight="1" x14ac:dyDescent="0.3">
      <c r="J182" s="50"/>
    </row>
    <row r="183" spans="10:10" ht="14.25" customHeight="1" x14ac:dyDescent="0.3">
      <c r="J183" s="50"/>
    </row>
    <row r="184" spans="10:10" ht="14.25" customHeight="1" x14ac:dyDescent="0.3">
      <c r="J184" s="50"/>
    </row>
    <row r="185" spans="10:10" ht="14.25" customHeight="1" x14ac:dyDescent="0.3">
      <c r="J185" s="50"/>
    </row>
    <row r="186" spans="10:10" ht="14.25" customHeight="1" x14ac:dyDescent="0.3">
      <c r="J186" s="50"/>
    </row>
    <row r="187" spans="10:10" ht="14.25" customHeight="1" x14ac:dyDescent="0.3">
      <c r="J187" s="50"/>
    </row>
    <row r="188" spans="10:10" ht="14.25" customHeight="1" x14ac:dyDescent="0.3">
      <c r="J188" s="50"/>
    </row>
    <row r="189" spans="10:10" ht="14.25" customHeight="1" x14ac:dyDescent="0.3">
      <c r="J189" s="50"/>
    </row>
    <row r="190" spans="10:10" ht="14.25" customHeight="1" x14ac:dyDescent="0.3">
      <c r="J190" s="50"/>
    </row>
    <row r="191" spans="10:10" ht="14.25" customHeight="1" x14ac:dyDescent="0.3">
      <c r="J191" s="50"/>
    </row>
    <row r="192" spans="10:10" ht="14.25" customHeight="1" x14ac:dyDescent="0.3">
      <c r="J192" s="50"/>
    </row>
    <row r="193" spans="10:10" ht="14.25" customHeight="1" x14ac:dyDescent="0.3">
      <c r="J193" s="50"/>
    </row>
    <row r="194" spans="10:10" ht="14.25" customHeight="1" x14ac:dyDescent="0.3">
      <c r="J194" s="50"/>
    </row>
    <row r="195" spans="10:10" ht="14.25" customHeight="1" x14ac:dyDescent="0.3">
      <c r="J195" s="50"/>
    </row>
    <row r="196" spans="10:10" ht="14.25" customHeight="1" x14ac:dyDescent="0.3">
      <c r="J196" s="50"/>
    </row>
    <row r="197" spans="10:10" ht="14.25" customHeight="1" x14ac:dyDescent="0.3">
      <c r="J197" s="50"/>
    </row>
    <row r="198" spans="10:10" ht="14.25" customHeight="1" x14ac:dyDescent="0.3">
      <c r="J198" s="50"/>
    </row>
    <row r="199" spans="10:10" ht="14.25" customHeight="1" x14ac:dyDescent="0.3">
      <c r="J199" s="50"/>
    </row>
    <row r="200" spans="10:10" ht="14.25" customHeight="1" x14ac:dyDescent="0.3">
      <c r="J200" s="50"/>
    </row>
    <row r="201" spans="10:10" ht="14.25" customHeight="1" x14ac:dyDescent="0.3">
      <c r="J201" s="50"/>
    </row>
    <row r="202" spans="10:10" ht="14.25" customHeight="1" x14ac:dyDescent="0.3">
      <c r="J202" s="50"/>
    </row>
    <row r="203" spans="10:10" ht="14.25" customHeight="1" x14ac:dyDescent="0.3">
      <c r="J203" s="50"/>
    </row>
    <row r="204" spans="10:10" ht="14.25" customHeight="1" x14ac:dyDescent="0.3">
      <c r="J204" s="50"/>
    </row>
    <row r="205" spans="10:10" ht="14.25" customHeight="1" x14ac:dyDescent="0.3">
      <c r="J205" s="50"/>
    </row>
    <row r="206" spans="10:10" ht="14.25" customHeight="1" x14ac:dyDescent="0.3">
      <c r="J206" s="50"/>
    </row>
    <row r="207" spans="10:10" ht="14.25" customHeight="1" x14ac:dyDescent="0.3">
      <c r="J207" s="50"/>
    </row>
    <row r="208" spans="10:10" ht="14.25" customHeight="1" x14ac:dyDescent="0.3">
      <c r="J208" s="50"/>
    </row>
    <row r="209" spans="10:10" ht="14.25" customHeight="1" x14ac:dyDescent="0.3">
      <c r="J209" s="50"/>
    </row>
    <row r="210" spans="10:10" ht="14.25" customHeight="1" x14ac:dyDescent="0.3">
      <c r="J210" s="50"/>
    </row>
    <row r="211" spans="10:10" ht="14.25" customHeight="1" x14ac:dyDescent="0.3">
      <c r="J211" s="50"/>
    </row>
    <row r="212" spans="10:10" ht="14.25" customHeight="1" x14ac:dyDescent="0.3">
      <c r="J212" s="50"/>
    </row>
    <row r="213" spans="10:10" ht="14.25" customHeight="1" x14ac:dyDescent="0.3">
      <c r="J213" s="50"/>
    </row>
    <row r="214" spans="10:10" ht="14.25" customHeight="1" x14ac:dyDescent="0.3">
      <c r="J214" s="50"/>
    </row>
    <row r="215" spans="10:10" ht="14.25" customHeight="1" x14ac:dyDescent="0.3">
      <c r="J215" s="50"/>
    </row>
    <row r="216" spans="10:10" ht="14.25" customHeight="1" x14ac:dyDescent="0.3">
      <c r="J216" s="50"/>
    </row>
    <row r="217" spans="10:10" ht="14.25" customHeight="1" x14ac:dyDescent="0.3">
      <c r="J217" s="50"/>
    </row>
    <row r="218" spans="10:10" ht="14.25" customHeight="1" x14ac:dyDescent="0.3">
      <c r="J218" s="50"/>
    </row>
    <row r="219" spans="10:10" ht="14.25" customHeight="1" x14ac:dyDescent="0.3">
      <c r="J219" s="50"/>
    </row>
    <row r="220" spans="10:10" ht="14.25" customHeight="1" x14ac:dyDescent="0.3">
      <c r="J220" s="50"/>
    </row>
    <row r="221" spans="10:10" ht="14.25" customHeight="1" x14ac:dyDescent="0.3">
      <c r="J221" s="50"/>
    </row>
    <row r="222" spans="10:10" ht="14.25" customHeight="1" x14ac:dyDescent="0.3">
      <c r="J222" s="50"/>
    </row>
    <row r="223" spans="10:10" ht="14.25" customHeight="1" x14ac:dyDescent="0.3">
      <c r="J223" s="50"/>
    </row>
    <row r="224" spans="10:10" ht="14.25" customHeight="1" x14ac:dyDescent="0.3">
      <c r="J224" s="50"/>
    </row>
    <row r="225" spans="10:10" ht="14.25" customHeight="1" x14ac:dyDescent="0.3">
      <c r="J225" s="50"/>
    </row>
    <row r="226" spans="10:10" ht="14.25" customHeight="1" x14ac:dyDescent="0.3">
      <c r="J226" s="50"/>
    </row>
    <row r="227" spans="10:10" ht="14.25" customHeight="1" x14ac:dyDescent="0.3">
      <c r="J227" s="50"/>
    </row>
    <row r="228" spans="10:10" ht="14.25" customHeight="1" x14ac:dyDescent="0.3">
      <c r="J228" s="50"/>
    </row>
    <row r="229" spans="10:10" ht="14.25" customHeight="1" x14ac:dyDescent="0.3">
      <c r="J229" s="50"/>
    </row>
    <row r="230" spans="10:10" ht="14.25" customHeight="1" x14ac:dyDescent="0.3">
      <c r="J230" s="50"/>
    </row>
    <row r="231" spans="10:10" ht="14.25" customHeight="1" x14ac:dyDescent="0.3">
      <c r="J231" s="50"/>
    </row>
    <row r="232" spans="10:10" ht="14.25" customHeight="1" x14ac:dyDescent="0.3">
      <c r="J232" s="50"/>
    </row>
    <row r="233" spans="10:10" ht="14.25" customHeight="1" x14ac:dyDescent="0.3">
      <c r="J233" s="50"/>
    </row>
    <row r="234" spans="10:10" ht="14.25" customHeight="1" x14ac:dyDescent="0.3">
      <c r="J234" s="50"/>
    </row>
    <row r="235" spans="10:10" ht="14.25" customHeight="1" x14ac:dyDescent="0.3">
      <c r="J235" s="50"/>
    </row>
    <row r="236" spans="10:10" ht="14.25" customHeight="1" x14ac:dyDescent="0.3">
      <c r="J236" s="50"/>
    </row>
    <row r="237" spans="10:10" ht="14.25" customHeight="1" x14ac:dyDescent="0.3">
      <c r="J237" s="50"/>
    </row>
    <row r="238" spans="10:10" ht="14.25" customHeight="1" x14ac:dyDescent="0.3">
      <c r="J238" s="50"/>
    </row>
    <row r="239" spans="10:10" ht="14.25" customHeight="1" x14ac:dyDescent="0.3">
      <c r="J239" s="50"/>
    </row>
    <row r="240" spans="10:10" ht="14.25" customHeight="1" x14ac:dyDescent="0.3">
      <c r="J240" s="50"/>
    </row>
    <row r="241" spans="10:10" ht="14.25" customHeight="1" x14ac:dyDescent="0.3">
      <c r="J241" s="50"/>
    </row>
    <row r="242" spans="10:10" ht="14.25" customHeight="1" x14ac:dyDescent="0.3">
      <c r="J242" s="50"/>
    </row>
    <row r="243" spans="10:10" ht="14.25" customHeight="1" x14ac:dyDescent="0.3">
      <c r="J243" s="50"/>
    </row>
    <row r="244" spans="10:10" ht="14.25" customHeight="1" x14ac:dyDescent="0.3">
      <c r="J244" s="50"/>
    </row>
    <row r="245" spans="10:10" ht="14.25" customHeight="1" x14ac:dyDescent="0.3">
      <c r="J245" s="50"/>
    </row>
    <row r="246" spans="10:10" ht="14.25" customHeight="1" x14ac:dyDescent="0.3">
      <c r="J246" s="50"/>
    </row>
    <row r="247" spans="10:10" ht="14.25" customHeight="1" x14ac:dyDescent="0.3">
      <c r="J247" s="50"/>
    </row>
    <row r="248" spans="10:10" ht="14.25" customHeight="1" x14ac:dyDescent="0.3">
      <c r="J248" s="50"/>
    </row>
    <row r="249" spans="10:10" ht="14.25" customHeight="1" x14ac:dyDescent="0.3">
      <c r="J249" s="50"/>
    </row>
    <row r="250" spans="10:10" ht="14.25" customHeight="1" x14ac:dyDescent="0.3">
      <c r="J250" s="50"/>
    </row>
    <row r="251" spans="10:10" ht="14.25" customHeight="1" x14ac:dyDescent="0.3">
      <c r="J251" s="50"/>
    </row>
    <row r="252" spans="10:10" ht="14.25" customHeight="1" x14ac:dyDescent="0.3">
      <c r="J252" s="50"/>
    </row>
    <row r="253" spans="10:10" ht="14.25" customHeight="1" x14ac:dyDescent="0.3">
      <c r="J253" s="50"/>
    </row>
    <row r="254" spans="10:10" ht="14.25" customHeight="1" x14ac:dyDescent="0.3">
      <c r="J254" s="50"/>
    </row>
    <row r="255" spans="10:10" ht="14.25" customHeight="1" x14ac:dyDescent="0.3">
      <c r="J255" s="50"/>
    </row>
    <row r="256" spans="10:10" ht="14.25" customHeight="1" x14ac:dyDescent="0.3">
      <c r="J256" s="50"/>
    </row>
    <row r="257" spans="10:10" ht="14.25" customHeight="1" x14ac:dyDescent="0.3">
      <c r="J257" s="50"/>
    </row>
    <row r="258" spans="10:10" ht="14.25" customHeight="1" x14ac:dyDescent="0.3">
      <c r="J258" s="50"/>
    </row>
    <row r="259" spans="10:10" ht="14.25" customHeight="1" x14ac:dyDescent="0.3">
      <c r="J259" s="50"/>
    </row>
    <row r="260" spans="10:10" ht="14.25" customHeight="1" x14ac:dyDescent="0.3">
      <c r="J260" s="50"/>
    </row>
    <row r="261" spans="10:10" ht="14.25" customHeight="1" x14ac:dyDescent="0.3">
      <c r="J261" s="50"/>
    </row>
    <row r="262" spans="10:10" ht="14.25" customHeight="1" x14ac:dyDescent="0.3">
      <c r="J262" s="50"/>
    </row>
    <row r="263" spans="10:10" ht="14.25" customHeight="1" x14ac:dyDescent="0.3">
      <c r="J263" s="50"/>
    </row>
    <row r="264" spans="10:10" ht="14.25" customHeight="1" x14ac:dyDescent="0.3">
      <c r="J264" s="50"/>
    </row>
    <row r="265" spans="10:10" ht="14.25" customHeight="1" x14ac:dyDescent="0.3">
      <c r="J265" s="50"/>
    </row>
    <row r="266" spans="10:10" ht="14.25" customHeight="1" x14ac:dyDescent="0.3">
      <c r="J266" s="50"/>
    </row>
    <row r="267" spans="10:10" ht="14.25" customHeight="1" x14ac:dyDescent="0.3">
      <c r="J267" s="50"/>
    </row>
    <row r="268" spans="10:10" ht="14.25" customHeight="1" x14ac:dyDescent="0.3">
      <c r="J268" s="50"/>
    </row>
    <row r="269" spans="10:10" ht="14.25" customHeight="1" x14ac:dyDescent="0.3">
      <c r="J269" s="50"/>
    </row>
    <row r="270" spans="10:10" ht="14.25" customHeight="1" x14ac:dyDescent="0.3">
      <c r="J270" s="50"/>
    </row>
    <row r="271" spans="10:10" ht="14.25" customHeight="1" x14ac:dyDescent="0.3">
      <c r="J271" s="50"/>
    </row>
    <row r="272" spans="10:10" ht="14.25" customHeight="1" x14ac:dyDescent="0.3">
      <c r="J272" s="50"/>
    </row>
    <row r="273" spans="10:10" ht="14.25" customHeight="1" x14ac:dyDescent="0.3">
      <c r="J273" s="50"/>
    </row>
    <row r="274" spans="10:10" ht="14.25" customHeight="1" x14ac:dyDescent="0.3">
      <c r="J274" s="50"/>
    </row>
    <row r="275" spans="10:10" ht="14.25" customHeight="1" x14ac:dyDescent="0.3">
      <c r="J275" s="50"/>
    </row>
    <row r="276" spans="10:10" ht="14.25" customHeight="1" x14ac:dyDescent="0.3">
      <c r="J276" s="50"/>
    </row>
    <row r="277" spans="10:10" ht="14.25" customHeight="1" x14ac:dyDescent="0.3">
      <c r="J277" s="50"/>
    </row>
    <row r="278" spans="10:10" ht="14.25" customHeight="1" x14ac:dyDescent="0.3">
      <c r="J278" s="50"/>
    </row>
    <row r="279" spans="10:10" ht="14.25" customHeight="1" x14ac:dyDescent="0.3">
      <c r="J279" s="50"/>
    </row>
    <row r="280" spans="10:10" ht="14.25" customHeight="1" x14ac:dyDescent="0.3">
      <c r="J280" s="50"/>
    </row>
    <row r="281" spans="10:10" ht="14.25" customHeight="1" x14ac:dyDescent="0.3">
      <c r="J281" s="50"/>
    </row>
    <row r="282" spans="10:10" ht="14.25" customHeight="1" x14ac:dyDescent="0.3">
      <c r="J282" s="50"/>
    </row>
    <row r="283" spans="10:10" ht="14.25" customHeight="1" x14ac:dyDescent="0.3">
      <c r="J283" s="50"/>
    </row>
    <row r="284" spans="10:10" ht="14.25" customHeight="1" x14ac:dyDescent="0.3">
      <c r="J284" s="50"/>
    </row>
    <row r="285" spans="10:10" ht="14.25" customHeight="1" x14ac:dyDescent="0.3">
      <c r="J285" s="50"/>
    </row>
    <row r="286" spans="10:10" ht="14.25" customHeight="1" x14ac:dyDescent="0.3">
      <c r="J286" s="50"/>
    </row>
    <row r="287" spans="10:10" ht="14.25" customHeight="1" x14ac:dyDescent="0.3">
      <c r="J287" s="50"/>
    </row>
    <row r="288" spans="10:10" ht="14.25" customHeight="1" x14ac:dyDescent="0.3">
      <c r="J288" s="50"/>
    </row>
    <row r="289" spans="10:10" ht="14.25" customHeight="1" x14ac:dyDescent="0.3">
      <c r="J289" s="50"/>
    </row>
    <row r="290" spans="10:10" ht="14.25" customHeight="1" x14ac:dyDescent="0.3">
      <c r="J290" s="50"/>
    </row>
    <row r="291" spans="10:10" ht="14.25" customHeight="1" x14ac:dyDescent="0.3">
      <c r="J291" s="50"/>
    </row>
    <row r="292" spans="10:10" ht="14.25" customHeight="1" x14ac:dyDescent="0.3">
      <c r="J292" s="50"/>
    </row>
    <row r="293" spans="10:10" ht="14.25" customHeight="1" x14ac:dyDescent="0.3">
      <c r="J293" s="50"/>
    </row>
    <row r="294" spans="10:10" ht="14.25" customHeight="1" x14ac:dyDescent="0.3">
      <c r="J294" s="50"/>
    </row>
    <row r="295" spans="10:10" ht="14.25" customHeight="1" x14ac:dyDescent="0.3">
      <c r="J295" s="50"/>
    </row>
    <row r="296" spans="10:10" ht="14.25" customHeight="1" x14ac:dyDescent="0.3">
      <c r="J296" s="50"/>
    </row>
    <row r="297" spans="10:10" ht="14.25" customHeight="1" x14ac:dyDescent="0.3">
      <c r="J297" s="50"/>
    </row>
    <row r="298" spans="10:10" ht="14.25" customHeight="1" x14ac:dyDescent="0.3">
      <c r="J298" s="50"/>
    </row>
    <row r="299" spans="10:10" ht="14.25" customHeight="1" x14ac:dyDescent="0.3">
      <c r="J299" s="50"/>
    </row>
    <row r="300" spans="10:10" ht="14.25" customHeight="1" x14ac:dyDescent="0.3">
      <c r="J300" s="50"/>
    </row>
    <row r="301" spans="10:10" ht="14.25" customHeight="1" x14ac:dyDescent="0.3">
      <c r="J301" s="50"/>
    </row>
    <row r="302" spans="10:10" ht="14.25" customHeight="1" x14ac:dyDescent="0.3">
      <c r="J302" s="50"/>
    </row>
    <row r="303" spans="10:10" ht="14.25" customHeight="1" x14ac:dyDescent="0.3">
      <c r="J303" s="50"/>
    </row>
    <row r="304" spans="10:10" ht="14.25" customHeight="1" x14ac:dyDescent="0.3">
      <c r="J304" s="50"/>
    </row>
    <row r="305" spans="10:10" ht="14.25" customHeight="1" x14ac:dyDescent="0.3">
      <c r="J305" s="50"/>
    </row>
    <row r="306" spans="10:10" ht="14.25" customHeight="1" x14ac:dyDescent="0.3">
      <c r="J306" s="50"/>
    </row>
    <row r="307" spans="10:10" ht="14.25" customHeight="1" x14ac:dyDescent="0.3">
      <c r="J307" s="50"/>
    </row>
    <row r="308" spans="10:10" ht="14.25" customHeight="1" x14ac:dyDescent="0.3">
      <c r="J308" s="50"/>
    </row>
    <row r="309" spans="10:10" ht="14.25" customHeight="1" x14ac:dyDescent="0.3">
      <c r="J309" s="50"/>
    </row>
    <row r="310" spans="10:10" ht="14.25" customHeight="1" x14ac:dyDescent="0.3">
      <c r="J310" s="50"/>
    </row>
    <row r="311" spans="10:10" ht="14.25" customHeight="1" x14ac:dyDescent="0.3">
      <c r="J311" s="50"/>
    </row>
    <row r="312" spans="10:10" ht="14.25" customHeight="1" x14ac:dyDescent="0.3">
      <c r="J312" s="50"/>
    </row>
    <row r="313" spans="10:10" ht="14.25" customHeight="1" x14ac:dyDescent="0.3">
      <c r="J313" s="50"/>
    </row>
    <row r="314" spans="10:10" ht="14.25" customHeight="1" x14ac:dyDescent="0.3">
      <c r="J314" s="50"/>
    </row>
    <row r="315" spans="10:10" ht="14.25" customHeight="1" x14ac:dyDescent="0.3">
      <c r="J315" s="50"/>
    </row>
    <row r="316" spans="10:10" ht="14.25" customHeight="1" x14ac:dyDescent="0.3">
      <c r="J316" s="50"/>
    </row>
    <row r="317" spans="10:10" ht="14.25" customHeight="1" x14ac:dyDescent="0.3">
      <c r="J317" s="50"/>
    </row>
    <row r="318" spans="10:10" ht="14.25" customHeight="1" x14ac:dyDescent="0.3">
      <c r="J318" s="50"/>
    </row>
    <row r="319" spans="10:10" ht="14.25" customHeight="1" x14ac:dyDescent="0.3">
      <c r="J319" s="50"/>
    </row>
    <row r="320" spans="10:10" ht="14.25" customHeight="1" x14ac:dyDescent="0.3">
      <c r="J320" s="50"/>
    </row>
    <row r="321" spans="10:10" ht="14.25" customHeight="1" x14ac:dyDescent="0.3">
      <c r="J321" s="50"/>
    </row>
    <row r="322" spans="10:10" ht="14.25" customHeight="1" x14ac:dyDescent="0.3">
      <c r="J322" s="50"/>
    </row>
    <row r="323" spans="10:10" ht="14.25" customHeight="1" x14ac:dyDescent="0.3">
      <c r="J323" s="50"/>
    </row>
    <row r="324" spans="10:10" ht="14.25" customHeight="1" x14ac:dyDescent="0.3">
      <c r="J324" s="50"/>
    </row>
    <row r="325" spans="10:10" ht="14.25" customHeight="1" x14ac:dyDescent="0.3">
      <c r="J325" s="50"/>
    </row>
    <row r="326" spans="10:10" ht="14.25" customHeight="1" x14ac:dyDescent="0.3">
      <c r="J326" s="50"/>
    </row>
    <row r="327" spans="10:10" ht="14.25" customHeight="1" x14ac:dyDescent="0.3">
      <c r="J327" s="50"/>
    </row>
    <row r="328" spans="10:10" ht="14.25" customHeight="1" x14ac:dyDescent="0.3">
      <c r="J328" s="50"/>
    </row>
    <row r="329" spans="10:10" ht="14.25" customHeight="1" x14ac:dyDescent="0.3">
      <c r="J329" s="50"/>
    </row>
    <row r="330" spans="10:10" ht="14.25" customHeight="1" x14ac:dyDescent="0.3">
      <c r="J330" s="50"/>
    </row>
    <row r="331" spans="10:10" ht="14.25" customHeight="1" x14ac:dyDescent="0.3">
      <c r="J331" s="50"/>
    </row>
    <row r="332" spans="10:10" ht="14.25" customHeight="1" x14ac:dyDescent="0.3">
      <c r="J332" s="50"/>
    </row>
    <row r="333" spans="10:10" ht="14.25" customHeight="1" x14ac:dyDescent="0.3">
      <c r="J333" s="50"/>
    </row>
    <row r="334" spans="10:10" ht="14.25" customHeight="1" x14ac:dyDescent="0.3">
      <c r="J334" s="50"/>
    </row>
    <row r="335" spans="10:10" ht="14.25" customHeight="1" x14ac:dyDescent="0.3">
      <c r="J335" s="50"/>
    </row>
    <row r="336" spans="10:10" ht="14.25" customHeight="1" x14ac:dyDescent="0.3">
      <c r="J336" s="50"/>
    </row>
    <row r="337" spans="10:10" ht="14.25" customHeight="1" x14ac:dyDescent="0.3">
      <c r="J337" s="50"/>
    </row>
    <row r="338" spans="10:10" ht="14.25" customHeight="1" x14ac:dyDescent="0.3">
      <c r="J338" s="50"/>
    </row>
    <row r="339" spans="10:10" ht="14.25" customHeight="1" x14ac:dyDescent="0.3">
      <c r="J339" s="50"/>
    </row>
    <row r="340" spans="10:10" ht="14.25" customHeight="1" x14ac:dyDescent="0.3">
      <c r="J340" s="50"/>
    </row>
    <row r="341" spans="10:10" ht="14.25" customHeight="1" x14ac:dyDescent="0.3">
      <c r="J341" s="50"/>
    </row>
    <row r="342" spans="10:10" ht="14.25" customHeight="1" x14ac:dyDescent="0.3">
      <c r="J342" s="50"/>
    </row>
    <row r="343" spans="10:10" ht="14.25" customHeight="1" x14ac:dyDescent="0.3">
      <c r="J343" s="50"/>
    </row>
    <row r="344" spans="10:10" ht="14.25" customHeight="1" x14ac:dyDescent="0.3">
      <c r="J344" s="50"/>
    </row>
    <row r="345" spans="10:10" ht="14.25" customHeight="1" x14ac:dyDescent="0.3">
      <c r="J345" s="50"/>
    </row>
    <row r="346" spans="10:10" ht="14.25" customHeight="1" x14ac:dyDescent="0.3">
      <c r="J346" s="50"/>
    </row>
    <row r="347" spans="10:10" ht="14.25" customHeight="1" x14ac:dyDescent="0.3">
      <c r="J347" s="50"/>
    </row>
    <row r="348" spans="10:10" ht="14.25" customHeight="1" x14ac:dyDescent="0.3">
      <c r="J348" s="50"/>
    </row>
    <row r="349" spans="10:10" ht="14.25" customHeight="1" x14ac:dyDescent="0.3">
      <c r="J349" s="50"/>
    </row>
    <row r="350" spans="10:10" ht="14.25" customHeight="1" x14ac:dyDescent="0.3">
      <c r="J350" s="50"/>
    </row>
    <row r="351" spans="10:10" ht="14.25" customHeight="1" x14ac:dyDescent="0.3">
      <c r="J351" s="50"/>
    </row>
    <row r="352" spans="10:10" ht="14.25" customHeight="1" x14ac:dyDescent="0.3">
      <c r="J352" s="50"/>
    </row>
    <row r="353" spans="10:10" ht="14.25" customHeight="1" x14ac:dyDescent="0.3">
      <c r="J353" s="50"/>
    </row>
    <row r="354" spans="10:10" ht="14.25" customHeight="1" x14ac:dyDescent="0.3">
      <c r="J354" s="50"/>
    </row>
    <row r="355" spans="10:10" ht="14.25" customHeight="1" x14ac:dyDescent="0.3">
      <c r="J355" s="50"/>
    </row>
    <row r="356" spans="10:10" ht="14.25" customHeight="1" x14ac:dyDescent="0.3">
      <c r="J356" s="50"/>
    </row>
    <row r="357" spans="10:10" ht="14.25" customHeight="1" x14ac:dyDescent="0.3">
      <c r="J357" s="50"/>
    </row>
    <row r="358" spans="10:10" ht="14.25" customHeight="1" x14ac:dyDescent="0.3">
      <c r="J358" s="50"/>
    </row>
    <row r="359" spans="10:10" ht="14.25" customHeight="1" x14ac:dyDescent="0.3">
      <c r="J359" s="50"/>
    </row>
    <row r="360" spans="10:10" ht="14.25" customHeight="1" x14ac:dyDescent="0.3">
      <c r="J360" s="50"/>
    </row>
    <row r="361" spans="10:10" ht="14.25" customHeight="1" x14ac:dyDescent="0.3">
      <c r="J361" s="50"/>
    </row>
    <row r="362" spans="10:10" ht="14.25" customHeight="1" x14ac:dyDescent="0.3">
      <c r="J362" s="50"/>
    </row>
    <row r="363" spans="10:10" ht="14.25" customHeight="1" x14ac:dyDescent="0.3">
      <c r="J363" s="50"/>
    </row>
    <row r="364" spans="10:10" ht="14.25" customHeight="1" x14ac:dyDescent="0.3">
      <c r="J364" s="50"/>
    </row>
    <row r="365" spans="10:10" ht="14.25" customHeight="1" x14ac:dyDescent="0.3">
      <c r="J365" s="50"/>
    </row>
    <row r="366" spans="10:10" ht="14.25" customHeight="1" x14ac:dyDescent="0.3">
      <c r="J366" s="50"/>
    </row>
    <row r="367" spans="10:10" ht="14.25" customHeight="1" x14ac:dyDescent="0.3">
      <c r="J367" s="50"/>
    </row>
    <row r="368" spans="10:10" ht="14.25" customHeight="1" x14ac:dyDescent="0.3">
      <c r="J368" s="50"/>
    </row>
    <row r="369" spans="10:10" ht="14.25" customHeight="1" x14ac:dyDescent="0.3">
      <c r="J369" s="50"/>
    </row>
    <row r="370" spans="10:10" ht="14.25" customHeight="1" x14ac:dyDescent="0.3">
      <c r="J370" s="50"/>
    </row>
    <row r="371" spans="10:10" ht="14.25" customHeight="1" x14ac:dyDescent="0.3">
      <c r="J371" s="50"/>
    </row>
    <row r="372" spans="10:10" ht="14.25" customHeight="1" x14ac:dyDescent="0.3">
      <c r="J372" s="50"/>
    </row>
    <row r="373" spans="10:10" ht="14.25" customHeight="1" x14ac:dyDescent="0.3">
      <c r="J373" s="50"/>
    </row>
    <row r="374" spans="10:10" ht="14.25" customHeight="1" x14ac:dyDescent="0.3">
      <c r="J374" s="50"/>
    </row>
    <row r="375" spans="10:10" ht="14.25" customHeight="1" x14ac:dyDescent="0.3">
      <c r="J375" s="50"/>
    </row>
    <row r="376" spans="10:10" ht="14.25" customHeight="1" x14ac:dyDescent="0.3">
      <c r="J376" s="50"/>
    </row>
    <row r="377" spans="10:10" ht="14.25" customHeight="1" x14ac:dyDescent="0.3">
      <c r="J377" s="50"/>
    </row>
    <row r="378" spans="10:10" ht="14.25" customHeight="1" x14ac:dyDescent="0.3">
      <c r="J378" s="50"/>
    </row>
    <row r="379" spans="10:10" ht="14.25" customHeight="1" x14ac:dyDescent="0.3">
      <c r="J379" s="50"/>
    </row>
    <row r="380" spans="10:10" ht="14.25" customHeight="1" x14ac:dyDescent="0.3">
      <c r="J380" s="50"/>
    </row>
    <row r="381" spans="10:10" ht="14.25" customHeight="1" x14ac:dyDescent="0.3">
      <c r="J381" s="50"/>
    </row>
    <row r="382" spans="10:10" ht="14.25" customHeight="1" x14ac:dyDescent="0.3">
      <c r="J382" s="50"/>
    </row>
    <row r="383" spans="10:10" ht="14.25" customHeight="1" x14ac:dyDescent="0.3">
      <c r="J383" s="50"/>
    </row>
    <row r="384" spans="10:10" ht="14.25" customHeight="1" x14ac:dyDescent="0.3">
      <c r="J384" s="50"/>
    </row>
    <row r="385" spans="10:10" ht="14.25" customHeight="1" x14ac:dyDescent="0.3">
      <c r="J385" s="50"/>
    </row>
    <row r="386" spans="10:10" ht="14.25" customHeight="1" x14ac:dyDescent="0.3">
      <c r="J386" s="50"/>
    </row>
    <row r="387" spans="10:10" ht="14.25" customHeight="1" x14ac:dyDescent="0.3">
      <c r="J387" s="50"/>
    </row>
    <row r="388" spans="10:10" ht="14.25" customHeight="1" x14ac:dyDescent="0.3">
      <c r="J388" s="50"/>
    </row>
    <row r="389" spans="10:10" ht="14.25" customHeight="1" x14ac:dyDescent="0.3">
      <c r="J389" s="50"/>
    </row>
    <row r="390" spans="10:10" ht="14.25" customHeight="1" x14ac:dyDescent="0.3">
      <c r="J390" s="50"/>
    </row>
    <row r="391" spans="10:10" ht="14.25" customHeight="1" x14ac:dyDescent="0.3">
      <c r="J391" s="50"/>
    </row>
    <row r="392" spans="10:10" ht="14.25" customHeight="1" x14ac:dyDescent="0.3">
      <c r="J392" s="50"/>
    </row>
    <row r="393" spans="10:10" ht="14.25" customHeight="1" x14ac:dyDescent="0.3">
      <c r="J393" s="50"/>
    </row>
    <row r="394" spans="10:10" ht="14.25" customHeight="1" x14ac:dyDescent="0.3">
      <c r="J394" s="50"/>
    </row>
    <row r="395" spans="10:10" ht="14.25" customHeight="1" x14ac:dyDescent="0.3">
      <c r="J395" s="50"/>
    </row>
    <row r="396" spans="10:10" ht="14.25" customHeight="1" x14ac:dyDescent="0.3">
      <c r="J396" s="50"/>
    </row>
    <row r="397" spans="10:10" ht="14.25" customHeight="1" x14ac:dyDescent="0.3">
      <c r="J397" s="50"/>
    </row>
    <row r="398" spans="10:10" ht="14.25" customHeight="1" x14ac:dyDescent="0.3">
      <c r="J398" s="50"/>
    </row>
    <row r="399" spans="10:10" ht="14.25" customHeight="1" x14ac:dyDescent="0.3">
      <c r="J399" s="50"/>
    </row>
    <row r="400" spans="10:10" ht="14.25" customHeight="1" x14ac:dyDescent="0.3">
      <c r="J400" s="50"/>
    </row>
    <row r="401" spans="10:10" ht="14.25" customHeight="1" x14ac:dyDescent="0.3">
      <c r="J401" s="50"/>
    </row>
    <row r="402" spans="10:10" ht="14.25" customHeight="1" x14ac:dyDescent="0.3">
      <c r="J402" s="50"/>
    </row>
    <row r="403" spans="10:10" ht="14.25" customHeight="1" x14ac:dyDescent="0.3">
      <c r="J403" s="50"/>
    </row>
    <row r="404" spans="10:10" ht="14.25" customHeight="1" x14ac:dyDescent="0.3">
      <c r="J404" s="50"/>
    </row>
    <row r="405" spans="10:10" ht="14.25" customHeight="1" x14ac:dyDescent="0.3">
      <c r="J405" s="50"/>
    </row>
    <row r="406" spans="10:10" ht="14.25" customHeight="1" x14ac:dyDescent="0.3">
      <c r="J406" s="50"/>
    </row>
    <row r="407" spans="10:10" ht="14.25" customHeight="1" x14ac:dyDescent="0.3">
      <c r="J407" s="50"/>
    </row>
    <row r="408" spans="10:10" ht="14.25" customHeight="1" x14ac:dyDescent="0.3">
      <c r="J408" s="50"/>
    </row>
    <row r="409" spans="10:10" ht="14.25" customHeight="1" x14ac:dyDescent="0.3">
      <c r="J409" s="50"/>
    </row>
    <row r="410" spans="10:10" ht="14.25" customHeight="1" x14ac:dyDescent="0.3">
      <c r="J410" s="50"/>
    </row>
    <row r="411" spans="10:10" ht="14.25" customHeight="1" x14ac:dyDescent="0.3">
      <c r="J411" s="50"/>
    </row>
    <row r="412" spans="10:10" ht="14.25" customHeight="1" x14ac:dyDescent="0.3">
      <c r="J412" s="50"/>
    </row>
    <row r="413" spans="10:10" ht="14.25" customHeight="1" x14ac:dyDescent="0.3">
      <c r="J413" s="50"/>
    </row>
    <row r="414" spans="10:10" ht="14.25" customHeight="1" x14ac:dyDescent="0.3">
      <c r="J414" s="50"/>
    </row>
    <row r="415" spans="10:10" ht="14.25" customHeight="1" x14ac:dyDescent="0.3">
      <c r="J415" s="50"/>
    </row>
    <row r="416" spans="10:10" ht="14.25" customHeight="1" x14ac:dyDescent="0.3">
      <c r="J416" s="50"/>
    </row>
    <row r="417" spans="10:10" ht="14.25" customHeight="1" x14ac:dyDescent="0.3">
      <c r="J417" s="50"/>
    </row>
    <row r="418" spans="10:10" ht="14.25" customHeight="1" x14ac:dyDescent="0.3">
      <c r="J418" s="50"/>
    </row>
    <row r="419" spans="10:10" ht="14.25" customHeight="1" x14ac:dyDescent="0.3">
      <c r="J419" s="50"/>
    </row>
    <row r="420" spans="10:10" ht="14.25" customHeight="1" x14ac:dyDescent="0.3">
      <c r="J420" s="50"/>
    </row>
    <row r="421" spans="10:10" ht="14.25" customHeight="1" x14ac:dyDescent="0.3">
      <c r="J421" s="50"/>
    </row>
    <row r="422" spans="10:10" ht="14.25" customHeight="1" x14ac:dyDescent="0.3">
      <c r="J422" s="50"/>
    </row>
    <row r="423" spans="10:10" ht="14.25" customHeight="1" x14ac:dyDescent="0.3">
      <c r="J423" s="50"/>
    </row>
    <row r="424" spans="10:10" ht="14.25" customHeight="1" x14ac:dyDescent="0.3">
      <c r="J424" s="50"/>
    </row>
    <row r="425" spans="10:10" ht="14.25" customHeight="1" x14ac:dyDescent="0.3">
      <c r="J425" s="50"/>
    </row>
    <row r="426" spans="10:10" ht="14.25" customHeight="1" x14ac:dyDescent="0.3">
      <c r="J426" s="50"/>
    </row>
    <row r="427" spans="10:10" ht="14.25" customHeight="1" x14ac:dyDescent="0.3">
      <c r="J427" s="50"/>
    </row>
    <row r="428" spans="10:10" ht="14.25" customHeight="1" x14ac:dyDescent="0.3">
      <c r="J428" s="50"/>
    </row>
    <row r="429" spans="10:10" ht="14.25" customHeight="1" x14ac:dyDescent="0.3">
      <c r="J429" s="50"/>
    </row>
    <row r="430" spans="10:10" ht="14.25" customHeight="1" x14ac:dyDescent="0.3">
      <c r="J430" s="50"/>
    </row>
    <row r="431" spans="10:10" ht="14.25" customHeight="1" x14ac:dyDescent="0.3">
      <c r="J431" s="50"/>
    </row>
    <row r="432" spans="10:10" ht="14.25" customHeight="1" x14ac:dyDescent="0.3">
      <c r="J432" s="50"/>
    </row>
    <row r="433" spans="10:10" ht="14.25" customHeight="1" x14ac:dyDescent="0.3">
      <c r="J433" s="50"/>
    </row>
    <row r="434" spans="10:10" ht="14.25" customHeight="1" x14ac:dyDescent="0.3">
      <c r="J434" s="50"/>
    </row>
    <row r="435" spans="10:10" ht="14.25" customHeight="1" x14ac:dyDescent="0.3">
      <c r="J435" s="50"/>
    </row>
    <row r="436" spans="10:10" ht="14.25" customHeight="1" x14ac:dyDescent="0.3">
      <c r="J436" s="50"/>
    </row>
    <row r="437" spans="10:10" ht="14.25" customHeight="1" x14ac:dyDescent="0.3">
      <c r="J437" s="50"/>
    </row>
    <row r="438" spans="10:10" ht="14.25" customHeight="1" x14ac:dyDescent="0.3">
      <c r="J438" s="50"/>
    </row>
    <row r="439" spans="10:10" ht="14.25" customHeight="1" x14ac:dyDescent="0.3">
      <c r="J439" s="50"/>
    </row>
    <row r="440" spans="10:10" ht="14.25" customHeight="1" x14ac:dyDescent="0.3">
      <c r="J440" s="50"/>
    </row>
    <row r="441" spans="10:10" ht="14.25" customHeight="1" x14ac:dyDescent="0.3">
      <c r="J441" s="50"/>
    </row>
    <row r="442" spans="10:10" ht="14.25" customHeight="1" x14ac:dyDescent="0.3">
      <c r="J442" s="50"/>
    </row>
    <row r="443" spans="10:10" ht="14.25" customHeight="1" x14ac:dyDescent="0.3">
      <c r="J443" s="50"/>
    </row>
    <row r="444" spans="10:10" ht="14.25" customHeight="1" x14ac:dyDescent="0.3">
      <c r="J444" s="50"/>
    </row>
    <row r="445" spans="10:10" ht="14.25" customHeight="1" x14ac:dyDescent="0.3">
      <c r="J445" s="50"/>
    </row>
    <row r="446" spans="10:10" ht="14.25" customHeight="1" x14ac:dyDescent="0.3">
      <c r="J446" s="50"/>
    </row>
    <row r="447" spans="10:10" ht="14.25" customHeight="1" x14ac:dyDescent="0.3">
      <c r="J447" s="50"/>
    </row>
    <row r="448" spans="10:10" ht="14.25" customHeight="1" x14ac:dyDescent="0.3">
      <c r="J448" s="50"/>
    </row>
    <row r="449" spans="10:10" ht="14.25" customHeight="1" x14ac:dyDescent="0.3">
      <c r="J449" s="50"/>
    </row>
    <row r="450" spans="10:10" ht="14.25" customHeight="1" x14ac:dyDescent="0.3">
      <c r="J450" s="50"/>
    </row>
    <row r="451" spans="10:10" ht="14.25" customHeight="1" x14ac:dyDescent="0.3">
      <c r="J451" s="50"/>
    </row>
    <row r="452" spans="10:10" ht="14.25" customHeight="1" x14ac:dyDescent="0.3">
      <c r="J452" s="50"/>
    </row>
    <row r="453" spans="10:10" ht="14.25" customHeight="1" x14ac:dyDescent="0.3">
      <c r="J453" s="50"/>
    </row>
    <row r="454" spans="10:10" ht="14.25" customHeight="1" x14ac:dyDescent="0.3">
      <c r="J454" s="50"/>
    </row>
    <row r="455" spans="10:10" ht="14.25" customHeight="1" x14ac:dyDescent="0.3">
      <c r="J455" s="50"/>
    </row>
    <row r="456" spans="10:10" ht="14.25" customHeight="1" x14ac:dyDescent="0.3">
      <c r="J456" s="50"/>
    </row>
    <row r="457" spans="10:10" ht="14.25" customHeight="1" x14ac:dyDescent="0.3">
      <c r="J457" s="50"/>
    </row>
    <row r="458" spans="10:10" ht="14.25" customHeight="1" x14ac:dyDescent="0.3">
      <c r="J458" s="50"/>
    </row>
    <row r="459" spans="10:10" ht="14.25" customHeight="1" x14ac:dyDescent="0.3">
      <c r="J459" s="50"/>
    </row>
    <row r="460" spans="10:10" ht="14.25" customHeight="1" x14ac:dyDescent="0.3">
      <c r="J460" s="50"/>
    </row>
    <row r="461" spans="10:10" ht="14.25" customHeight="1" x14ac:dyDescent="0.3">
      <c r="J461" s="50"/>
    </row>
    <row r="462" spans="10:10" ht="14.25" customHeight="1" x14ac:dyDescent="0.3">
      <c r="J462" s="50"/>
    </row>
    <row r="463" spans="10:10" ht="14.25" customHeight="1" x14ac:dyDescent="0.3">
      <c r="J463" s="50"/>
    </row>
    <row r="464" spans="10:10" ht="14.25" customHeight="1" x14ac:dyDescent="0.3">
      <c r="J464" s="50"/>
    </row>
    <row r="465" spans="10:10" ht="14.25" customHeight="1" x14ac:dyDescent="0.3">
      <c r="J465" s="50"/>
    </row>
    <row r="466" spans="10:10" ht="14.25" customHeight="1" x14ac:dyDescent="0.3">
      <c r="J466" s="50"/>
    </row>
    <row r="467" spans="10:10" ht="14.25" customHeight="1" x14ac:dyDescent="0.3">
      <c r="J467" s="50"/>
    </row>
    <row r="468" spans="10:10" ht="14.25" customHeight="1" x14ac:dyDescent="0.3">
      <c r="J468" s="50"/>
    </row>
    <row r="469" spans="10:10" ht="14.25" customHeight="1" x14ac:dyDescent="0.3">
      <c r="J469" s="50"/>
    </row>
    <row r="470" spans="10:10" ht="14.25" customHeight="1" x14ac:dyDescent="0.3">
      <c r="J470" s="50"/>
    </row>
    <row r="471" spans="10:10" ht="14.25" customHeight="1" x14ac:dyDescent="0.3">
      <c r="J471" s="50"/>
    </row>
    <row r="472" spans="10:10" ht="14.25" customHeight="1" x14ac:dyDescent="0.3">
      <c r="J472" s="50"/>
    </row>
    <row r="473" spans="10:10" ht="14.25" customHeight="1" x14ac:dyDescent="0.3">
      <c r="J473" s="50"/>
    </row>
    <row r="474" spans="10:10" ht="14.25" customHeight="1" x14ac:dyDescent="0.3">
      <c r="J474" s="50"/>
    </row>
    <row r="475" spans="10:10" ht="14.25" customHeight="1" x14ac:dyDescent="0.3">
      <c r="J475" s="50"/>
    </row>
    <row r="476" spans="10:10" ht="14.25" customHeight="1" x14ac:dyDescent="0.3">
      <c r="J476" s="50"/>
    </row>
    <row r="477" spans="10:10" ht="14.25" customHeight="1" x14ac:dyDescent="0.3">
      <c r="J477" s="50"/>
    </row>
    <row r="478" spans="10:10" ht="14.25" customHeight="1" x14ac:dyDescent="0.3">
      <c r="J478" s="50"/>
    </row>
    <row r="479" spans="10:10" ht="14.25" customHeight="1" x14ac:dyDescent="0.3">
      <c r="J479" s="50"/>
    </row>
    <row r="480" spans="10:10" ht="14.25" customHeight="1" x14ac:dyDescent="0.3">
      <c r="J480" s="50"/>
    </row>
    <row r="481" spans="10:10" ht="14.25" customHeight="1" x14ac:dyDescent="0.3">
      <c r="J481" s="50"/>
    </row>
    <row r="482" spans="10:10" ht="14.25" customHeight="1" x14ac:dyDescent="0.3">
      <c r="J482" s="50"/>
    </row>
    <row r="483" spans="10:10" ht="14.25" customHeight="1" x14ac:dyDescent="0.3">
      <c r="J483" s="50"/>
    </row>
    <row r="484" spans="10:10" ht="14.25" customHeight="1" x14ac:dyDescent="0.3">
      <c r="J484" s="50"/>
    </row>
    <row r="485" spans="10:10" ht="14.25" customHeight="1" x14ac:dyDescent="0.3">
      <c r="J485" s="50"/>
    </row>
    <row r="486" spans="10:10" ht="14.25" customHeight="1" x14ac:dyDescent="0.3">
      <c r="J486" s="50"/>
    </row>
    <row r="487" spans="10:10" ht="14.25" customHeight="1" x14ac:dyDescent="0.3">
      <c r="J487" s="50"/>
    </row>
    <row r="488" spans="10:10" ht="14.25" customHeight="1" x14ac:dyDescent="0.3">
      <c r="J488" s="50"/>
    </row>
    <row r="489" spans="10:10" ht="14.25" customHeight="1" x14ac:dyDescent="0.3">
      <c r="J489" s="50"/>
    </row>
    <row r="490" spans="10:10" ht="14.25" customHeight="1" x14ac:dyDescent="0.3">
      <c r="J490" s="50"/>
    </row>
    <row r="491" spans="10:10" ht="14.25" customHeight="1" x14ac:dyDescent="0.3">
      <c r="J491" s="50"/>
    </row>
    <row r="492" spans="10:10" ht="14.25" customHeight="1" x14ac:dyDescent="0.3">
      <c r="J492" s="50"/>
    </row>
    <row r="493" spans="10:10" ht="14.25" customHeight="1" x14ac:dyDescent="0.3">
      <c r="J493" s="50"/>
    </row>
    <row r="494" spans="10:10" ht="14.25" customHeight="1" x14ac:dyDescent="0.3">
      <c r="J494" s="50"/>
    </row>
    <row r="495" spans="10:10" ht="14.25" customHeight="1" x14ac:dyDescent="0.3">
      <c r="J495" s="50"/>
    </row>
    <row r="496" spans="10:10" ht="14.25" customHeight="1" x14ac:dyDescent="0.3">
      <c r="J496" s="50"/>
    </row>
    <row r="497" spans="10:10" ht="14.25" customHeight="1" x14ac:dyDescent="0.3">
      <c r="J497" s="50"/>
    </row>
    <row r="498" spans="10:10" ht="14.25" customHeight="1" x14ac:dyDescent="0.3">
      <c r="J498" s="50"/>
    </row>
    <row r="499" spans="10:10" ht="14.25" customHeight="1" x14ac:dyDescent="0.3">
      <c r="J499" s="50"/>
    </row>
    <row r="500" spans="10:10" ht="14.25" customHeight="1" x14ac:dyDescent="0.3">
      <c r="J500" s="50"/>
    </row>
    <row r="501" spans="10:10" ht="14.25" customHeight="1" x14ac:dyDescent="0.3">
      <c r="J501" s="50"/>
    </row>
    <row r="502" spans="10:10" ht="14.25" customHeight="1" x14ac:dyDescent="0.3">
      <c r="J502" s="50"/>
    </row>
    <row r="503" spans="10:10" ht="14.25" customHeight="1" x14ac:dyDescent="0.3">
      <c r="J503" s="50"/>
    </row>
    <row r="504" spans="10:10" ht="14.25" customHeight="1" x14ac:dyDescent="0.3">
      <c r="J504" s="50"/>
    </row>
    <row r="505" spans="10:10" ht="14.25" customHeight="1" x14ac:dyDescent="0.3">
      <c r="J505" s="50"/>
    </row>
    <row r="506" spans="10:10" ht="14.25" customHeight="1" x14ac:dyDescent="0.3">
      <c r="J506" s="50"/>
    </row>
    <row r="507" spans="10:10" ht="14.25" customHeight="1" x14ac:dyDescent="0.3">
      <c r="J507" s="50"/>
    </row>
    <row r="508" spans="10:10" ht="14.25" customHeight="1" x14ac:dyDescent="0.3">
      <c r="J508" s="50"/>
    </row>
    <row r="509" spans="10:10" ht="14.25" customHeight="1" x14ac:dyDescent="0.3">
      <c r="J509" s="50"/>
    </row>
    <row r="510" spans="10:10" ht="14.25" customHeight="1" x14ac:dyDescent="0.3">
      <c r="J510" s="50"/>
    </row>
    <row r="511" spans="10:10" ht="14.25" customHeight="1" x14ac:dyDescent="0.3">
      <c r="J511" s="50"/>
    </row>
    <row r="512" spans="10:10" ht="14.25" customHeight="1" x14ac:dyDescent="0.3">
      <c r="J512" s="50"/>
    </row>
    <row r="513" spans="10:10" ht="14.25" customHeight="1" x14ac:dyDescent="0.3">
      <c r="J513" s="50"/>
    </row>
    <row r="514" spans="10:10" ht="14.25" customHeight="1" x14ac:dyDescent="0.3">
      <c r="J514" s="50"/>
    </row>
    <row r="515" spans="10:10" ht="14.25" customHeight="1" x14ac:dyDescent="0.3">
      <c r="J515" s="50"/>
    </row>
    <row r="516" spans="10:10" ht="14.25" customHeight="1" x14ac:dyDescent="0.3">
      <c r="J516" s="50"/>
    </row>
    <row r="517" spans="10:10" ht="14.25" customHeight="1" x14ac:dyDescent="0.3">
      <c r="J517" s="50"/>
    </row>
    <row r="518" spans="10:10" ht="14.25" customHeight="1" x14ac:dyDescent="0.3">
      <c r="J518" s="50"/>
    </row>
    <row r="519" spans="10:10" ht="14.25" customHeight="1" x14ac:dyDescent="0.3">
      <c r="J519" s="50"/>
    </row>
    <row r="520" spans="10:10" ht="14.25" customHeight="1" x14ac:dyDescent="0.3">
      <c r="J520" s="50"/>
    </row>
    <row r="521" spans="10:10" ht="14.25" customHeight="1" x14ac:dyDescent="0.3">
      <c r="J521" s="50"/>
    </row>
    <row r="522" spans="10:10" ht="14.25" customHeight="1" x14ac:dyDescent="0.3">
      <c r="J522" s="50"/>
    </row>
    <row r="523" spans="10:10" ht="14.25" customHeight="1" x14ac:dyDescent="0.3">
      <c r="J523" s="50"/>
    </row>
    <row r="524" spans="10:10" ht="14.25" customHeight="1" x14ac:dyDescent="0.3">
      <c r="J524" s="50"/>
    </row>
    <row r="525" spans="10:10" ht="14.25" customHeight="1" x14ac:dyDescent="0.3">
      <c r="J525" s="50"/>
    </row>
    <row r="526" spans="10:10" ht="14.25" customHeight="1" x14ac:dyDescent="0.3">
      <c r="J526" s="50"/>
    </row>
    <row r="527" spans="10:10" ht="14.25" customHeight="1" x14ac:dyDescent="0.3">
      <c r="J527" s="50"/>
    </row>
    <row r="528" spans="10:10" ht="14.25" customHeight="1" x14ac:dyDescent="0.3">
      <c r="J528" s="50"/>
    </row>
    <row r="529" spans="10:10" ht="14.25" customHeight="1" x14ac:dyDescent="0.3">
      <c r="J529" s="50"/>
    </row>
    <row r="530" spans="10:10" ht="14.25" customHeight="1" x14ac:dyDescent="0.3">
      <c r="J530" s="50"/>
    </row>
    <row r="531" spans="10:10" ht="14.25" customHeight="1" x14ac:dyDescent="0.3">
      <c r="J531" s="50"/>
    </row>
    <row r="532" spans="10:10" ht="14.25" customHeight="1" x14ac:dyDescent="0.3">
      <c r="J532" s="50"/>
    </row>
    <row r="533" spans="10:10" ht="14.25" customHeight="1" x14ac:dyDescent="0.3">
      <c r="J533" s="50"/>
    </row>
    <row r="534" spans="10:10" ht="14.25" customHeight="1" x14ac:dyDescent="0.3">
      <c r="J534" s="50"/>
    </row>
    <row r="535" spans="10:10" ht="14.25" customHeight="1" x14ac:dyDescent="0.3">
      <c r="J535" s="50"/>
    </row>
    <row r="536" spans="10:10" ht="14.25" customHeight="1" x14ac:dyDescent="0.3">
      <c r="J536" s="50"/>
    </row>
    <row r="537" spans="10:10" ht="14.25" customHeight="1" x14ac:dyDescent="0.3">
      <c r="J537" s="50"/>
    </row>
    <row r="538" spans="10:10" ht="14.25" customHeight="1" x14ac:dyDescent="0.3">
      <c r="J538" s="50"/>
    </row>
    <row r="539" spans="10:10" ht="14.25" customHeight="1" x14ac:dyDescent="0.3">
      <c r="J539" s="50"/>
    </row>
    <row r="540" spans="10:10" ht="14.25" customHeight="1" x14ac:dyDescent="0.3">
      <c r="J540" s="50"/>
    </row>
    <row r="541" spans="10:10" ht="14.25" customHeight="1" x14ac:dyDescent="0.3">
      <c r="J541" s="50"/>
    </row>
    <row r="542" spans="10:10" ht="14.25" customHeight="1" x14ac:dyDescent="0.3">
      <c r="J542" s="50"/>
    </row>
    <row r="543" spans="10:10" ht="14.25" customHeight="1" x14ac:dyDescent="0.3">
      <c r="J543" s="50"/>
    </row>
    <row r="544" spans="10:10" ht="14.25" customHeight="1" x14ac:dyDescent="0.3">
      <c r="J544" s="50"/>
    </row>
    <row r="545" spans="10:10" ht="14.25" customHeight="1" x14ac:dyDescent="0.3">
      <c r="J545" s="50"/>
    </row>
    <row r="546" spans="10:10" ht="14.25" customHeight="1" x14ac:dyDescent="0.3">
      <c r="J546" s="50"/>
    </row>
    <row r="547" spans="10:10" ht="14.25" customHeight="1" x14ac:dyDescent="0.3">
      <c r="J547" s="50"/>
    </row>
    <row r="548" spans="10:10" ht="14.25" customHeight="1" x14ac:dyDescent="0.3">
      <c r="J548" s="50"/>
    </row>
    <row r="549" spans="10:10" ht="14.25" customHeight="1" x14ac:dyDescent="0.3">
      <c r="J549" s="50"/>
    </row>
    <row r="550" spans="10:10" ht="14.25" customHeight="1" x14ac:dyDescent="0.3">
      <c r="J550" s="50"/>
    </row>
    <row r="551" spans="10:10" ht="14.25" customHeight="1" x14ac:dyDescent="0.3">
      <c r="J551" s="50"/>
    </row>
    <row r="552" spans="10:10" ht="14.25" customHeight="1" x14ac:dyDescent="0.3">
      <c r="J552" s="50"/>
    </row>
    <row r="553" spans="10:10" ht="14.25" customHeight="1" x14ac:dyDescent="0.3">
      <c r="J553" s="50"/>
    </row>
    <row r="554" spans="10:10" ht="14.25" customHeight="1" x14ac:dyDescent="0.3">
      <c r="J554" s="50"/>
    </row>
    <row r="555" spans="10:10" ht="14.25" customHeight="1" x14ac:dyDescent="0.3">
      <c r="J555" s="50"/>
    </row>
    <row r="556" spans="10:10" ht="14.25" customHeight="1" x14ac:dyDescent="0.3">
      <c r="J556" s="50"/>
    </row>
    <row r="557" spans="10:10" ht="14.25" customHeight="1" x14ac:dyDescent="0.3">
      <c r="J557" s="50"/>
    </row>
    <row r="558" spans="10:10" ht="14.25" customHeight="1" x14ac:dyDescent="0.3">
      <c r="J558" s="50"/>
    </row>
    <row r="559" spans="10:10" ht="14.25" customHeight="1" x14ac:dyDescent="0.3">
      <c r="J559" s="50"/>
    </row>
    <row r="560" spans="10:10" ht="14.25" customHeight="1" x14ac:dyDescent="0.3">
      <c r="J560" s="50"/>
    </row>
    <row r="561" spans="10:10" ht="14.25" customHeight="1" x14ac:dyDescent="0.3">
      <c r="J561" s="50"/>
    </row>
    <row r="562" spans="10:10" ht="14.25" customHeight="1" x14ac:dyDescent="0.3">
      <c r="J562" s="50"/>
    </row>
    <row r="563" spans="10:10" ht="14.25" customHeight="1" x14ac:dyDescent="0.3">
      <c r="J563" s="50"/>
    </row>
    <row r="564" spans="10:10" ht="14.25" customHeight="1" x14ac:dyDescent="0.3">
      <c r="J564" s="50"/>
    </row>
    <row r="565" spans="10:10" ht="14.25" customHeight="1" x14ac:dyDescent="0.3">
      <c r="J565" s="50"/>
    </row>
    <row r="566" spans="10:10" ht="14.25" customHeight="1" x14ac:dyDescent="0.3">
      <c r="J566" s="50"/>
    </row>
    <row r="567" spans="10:10" ht="14.25" customHeight="1" x14ac:dyDescent="0.3">
      <c r="J567" s="50"/>
    </row>
    <row r="568" spans="10:10" ht="14.25" customHeight="1" x14ac:dyDescent="0.3">
      <c r="J568" s="50"/>
    </row>
    <row r="569" spans="10:10" ht="14.25" customHeight="1" x14ac:dyDescent="0.3">
      <c r="J569" s="50"/>
    </row>
    <row r="570" spans="10:10" ht="14.25" customHeight="1" x14ac:dyDescent="0.3">
      <c r="J570" s="50"/>
    </row>
    <row r="571" spans="10:10" ht="14.25" customHeight="1" x14ac:dyDescent="0.3">
      <c r="J571" s="50"/>
    </row>
    <row r="572" spans="10:10" ht="14.25" customHeight="1" x14ac:dyDescent="0.3">
      <c r="J572" s="50"/>
    </row>
    <row r="573" spans="10:10" ht="14.25" customHeight="1" x14ac:dyDescent="0.3">
      <c r="J573" s="50"/>
    </row>
    <row r="574" spans="10:10" ht="14.25" customHeight="1" x14ac:dyDescent="0.3">
      <c r="J574" s="50"/>
    </row>
    <row r="575" spans="10:10" ht="14.25" customHeight="1" x14ac:dyDescent="0.3">
      <c r="J575" s="50"/>
    </row>
    <row r="576" spans="10:10" ht="14.25" customHeight="1" x14ac:dyDescent="0.3">
      <c r="J576" s="50"/>
    </row>
    <row r="577" spans="10:10" ht="14.25" customHeight="1" x14ac:dyDescent="0.3">
      <c r="J577" s="50"/>
    </row>
    <row r="578" spans="10:10" ht="14.25" customHeight="1" x14ac:dyDescent="0.3">
      <c r="J578" s="50"/>
    </row>
    <row r="579" spans="10:10" ht="14.25" customHeight="1" x14ac:dyDescent="0.3">
      <c r="J579" s="50"/>
    </row>
    <row r="580" spans="10:10" ht="14.25" customHeight="1" x14ac:dyDescent="0.3">
      <c r="J580" s="50"/>
    </row>
    <row r="581" spans="10:10" ht="14.25" customHeight="1" x14ac:dyDescent="0.3">
      <c r="J581" s="50"/>
    </row>
    <row r="582" spans="10:10" ht="14.25" customHeight="1" x14ac:dyDescent="0.3">
      <c r="J582" s="50"/>
    </row>
    <row r="583" spans="10:10" ht="14.25" customHeight="1" x14ac:dyDescent="0.3">
      <c r="J583" s="50"/>
    </row>
    <row r="584" spans="10:10" ht="14.25" customHeight="1" x14ac:dyDescent="0.3">
      <c r="J584" s="50"/>
    </row>
    <row r="585" spans="10:10" ht="14.25" customHeight="1" x14ac:dyDescent="0.3">
      <c r="J585" s="50"/>
    </row>
    <row r="586" spans="10:10" ht="14.25" customHeight="1" x14ac:dyDescent="0.3">
      <c r="J586" s="50"/>
    </row>
    <row r="587" spans="10:10" ht="14.25" customHeight="1" x14ac:dyDescent="0.3">
      <c r="J587" s="50"/>
    </row>
    <row r="588" spans="10:10" ht="14.25" customHeight="1" x14ac:dyDescent="0.3">
      <c r="J588" s="50"/>
    </row>
    <row r="589" spans="10:10" ht="14.25" customHeight="1" x14ac:dyDescent="0.3">
      <c r="J589" s="50"/>
    </row>
    <row r="590" spans="10:10" ht="14.25" customHeight="1" x14ac:dyDescent="0.3">
      <c r="J590" s="50"/>
    </row>
    <row r="591" spans="10:10" ht="14.25" customHeight="1" x14ac:dyDescent="0.3">
      <c r="J591" s="50"/>
    </row>
    <row r="592" spans="10:10" ht="14.25" customHeight="1" x14ac:dyDescent="0.3">
      <c r="J592" s="50"/>
    </row>
    <row r="593" spans="10:10" ht="14.25" customHeight="1" x14ac:dyDescent="0.3">
      <c r="J593" s="50"/>
    </row>
    <row r="594" spans="10:10" ht="14.25" customHeight="1" x14ac:dyDescent="0.3">
      <c r="J594" s="50"/>
    </row>
    <row r="595" spans="10:10" ht="14.25" customHeight="1" x14ac:dyDescent="0.3">
      <c r="J595" s="50"/>
    </row>
    <row r="596" spans="10:10" ht="14.25" customHeight="1" x14ac:dyDescent="0.3">
      <c r="J596" s="50"/>
    </row>
    <row r="597" spans="10:10" ht="14.25" customHeight="1" x14ac:dyDescent="0.3">
      <c r="J597" s="50"/>
    </row>
    <row r="598" spans="10:10" ht="14.25" customHeight="1" x14ac:dyDescent="0.3">
      <c r="J598" s="50"/>
    </row>
    <row r="599" spans="10:10" ht="14.25" customHeight="1" x14ac:dyDescent="0.3">
      <c r="J599" s="50"/>
    </row>
    <row r="600" spans="10:10" ht="14.25" customHeight="1" x14ac:dyDescent="0.3">
      <c r="J600" s="50"/>
    </row>
    <row r="601" spans="10:10" ht="14.25" customHeight="1" x14ac:dyDescent="0.3">
      <c r="J601" s="50"/>
    </row>
    <row r="602" spans="10:10" ht="14.25" customHeight="1" x14ac:dyDescent="0.3">
      <c r="J602" s="50"/>
    </row>
    <row r="603" spans="10:10" ht="14.25" customHeight="1" x14ac:dyDescent="0.3">
      <c r="J603" s="50"/>
    </row>
    <row r="604" spans="10:10" ht="14.25" customHeight="1" x14ac:dyDescent="0.3">
      <c r="J604" s="50"/>
    </row>
    <row r="605" spans="10:10" ht="14.25" customHeight="1" x14ac:dyDescent="0.3">
      <c r="J605" s="50"/>
    </row>
    <row r="606" spans="10:10" ht="14.25" customHeight="1" x14ac:dyDescent="0.3">
      <c r="J606" s="50"/>
    </row>
    <row r="607" spans="10:10" ht="14.25" customHeight="1" x14ac:dyDescent="0.3">
      <c r="J607" s="50"/>
    </row>
    <row r="608" spans="10:10" ht="14.25" customHeight="1" x14ac:dyDescent="0.3">
      <c r="J608" s="50"/>
    </row>
    <row r="609" spans="10:10" ht="14.25" customHeight="1" x14ac:dyDescent="0.3">
      <c r="J609" s="50"/>
    </row>
    <row r="610" spans="10:10" ht="14.25" customHeight="1" x14ac:dyDescent="0.3">
      <c r="J610" s="50"/>
    </row>
    <row r="611" spans="10:10" ht="14.25" customHeight="1" x14ac:dyDescent="0.3">
      <c r="J611" s="50"/>
    </row>
    <row r="612" spans="10:10" ht="14.25" customHeight="1" x14ac:dyDescent="0.3">
      <c r="J612" s="50"/>
    </row>
    <row r="613" spans="10:10" ht="14.25" customHeight="1" x14ac:dyDescent="0.3">
      <c r="J613" s="50"/>
    </row>
    <row r="614" spans="10:10" ht="14.25" customHeight="1" x14ac:dyDescent="0.3">
      <c r="J614" s="50"/>
    </row>
    <row r="615" spans="10:10" ht="14.25" customHeight="1" x14ac:dyDescent="0.3">
      <c r="J615" s="50"/>
    </row>
    <row r="616" spans="10:10" ht="14.25" customHeight="1" x14ac:dyDescent="0.3">
      <c r="J616" s="50"/>
    </row>
    <row r="617" spans="10:10" ht="14.25" customHeight="1" x14ac:dyDescent="0.3">
      <c r="J617" s="50"/>
    </row>
    <row r="618" spans="10:10" ht="14.25" customHeight="1" x14ac:dyDescent="0.3">
      <c r="J618" s="50"/>
    </row>
    <row r="619" spans="10:10" ht="14.25" customHeight="1" x14ac:dyDescent="0.3">
      <c r="J619" s="50"/>
    </row>
    <row r="620" spans="10:10" ht="14.25" customHeight="1" x14ac:dyDescent="0.3">
      <c r="J620" s="50"/>
    </row>
    <row r="621" spans="10:10" ht="14.25" customHeight="1" x14ac:dyDescent="0.3">
      <c r="J621" s="50"/>
    </row>
    <row r="622" spans="10:10" ht="14.25" customHeight="1" x14ac:dyDescent="0.3">
      <c r="J622" s="50"/>
    </row>
    <row r="623" spans="10:10" ht="14.25" customHeight="1" x14ac:dyDescent="0.3">
      <c r="J623" s="50"/>
    </row>
    <row r="624" spans="10:10" ht="14.25" customHeight="1" x14ac:dyDescent="0.3">
      <c r="J624" s="50"/>
    </row>
    <row r="625" spans="10:10" ht="14.25" customHeight="1" x14ac:dyDescent="0.3">
      <c r="J625" s="50"/>
    </row>
    <row r="626" spans="10:10" ht="14.25" customHeight="1" x14ac:dyDescent="0.3">
      <c r="J626" s="50"/>
    </row>
    <row r="627" spans="10:10" ht="14.25" customHeight="1" x14ac:dyDescent="0.3">
      <c r="J627" s="50"/>
    </row>
    <row r="628" spans="10:10" ht="14.25" customHeight="1" x14ac:dyDescent="0.3">
      <c r="J628" s="50"/>
    </row>
    <row r="629" spans="10:10" ht="14.25" customHeight="1" x14ac:dyDescent="0.3">
      <c r="J629" s="50"/>
    </row>
    <row r="630" spans="10:10" ht="14.25" customHeight="1" x14ac:dyDescent="0.3">
      <c r="J630" s="50"/>
    </row>
    <row r="631" spans="10:10" ht="14.25" customHeight="1" x14ac:dyDescent="0.3">
      <c r="J631" s="50"/>
    </row>
    <row r="632" spans="10:10" ht="14.25" customHeight="1" x14ac:dyDescent="0.3">
      <c r="J632" s="50"/>
    </row>
    <row r="633" spans="10:10" ht="14.25" customHeight="1" x14ac:dyDescent="0.3">
      <c r="J633" s="50"/>
    </row>
    <row r="634" spans="10:10" ht="14.25" customHeight="1" x14ac:dyDescent="0.3">
      <c r="J634" s="50"/>
    </row>
    <row r="635" spans="10:10" ht="14.25" customHeight="1" x14ac:dyDescent="0.3">
      <c r="J635" s="50"/>
    </row>
    <row r="636" spans="10:10" ht="14.25" customHeight="1" x14ac:dyDescent="0.3">
      <c r="J636" s="50"/>
    </row>
    <row r="637" spans="10:10" ht="14.25" customHeight="1" x14ac:dyDescent="0.3">
      <c r="J637" s="50"/>
    </row>
    <row r="638" spans="10:10" ht="14.25" customHeight="1" x14ac:dyDescent="0.3">
      <c r="J638" s="50"/>
    </row>
    <row r="639" spans="10:10" ht="14.25" customHeight="1" x14ac:dyDescent="0.3">
      <c r="J639" s="50"/>
    </row>
    <row r="640" spans="10:10" ht="14.25" customHeight="1" x14ac:dyDescent="0.3">
      <c r="J640" s="50"/>
    </row>
    <row r="641" spans="10:10" ht="14.25" customHeight="1" x14ac:dyDescent="0.3">
      <c r="J641" s="50"/>
    </row>
    <row r="642" spans="10:10" ht="14.25" customHeight="1" x14ac:dyDescent="0.3">
      <c r="J642" s="50"/>
    </row>
    <row r="643" spans="10:10" ht="14.25" customHeight="1" x14ac:dyDescent="0.3">
      <c r="J643" s="50"/>
    </row>
    <row r="644" spans="10:10" ht="14.25" customHeight="1" x14ac:dyDescent="0.3">
      <c r="J644" s="50"/>
    </row>
    <row r="645" spans="10:10" ht="14.25" customHeight="1" x14ac:dyDescent="0.3">
      <c r="J645" s="50"/>
    </row>
    <row r="646" spans="10:10" ht="14.25" customHeight="1" x14ac:dyDescent="0.3">
      <c r="J646" s="50"/>
    </row>
    <row r="647" spans="10:10" ht="14.25" customHeight="1" x14ac:dyDescent="0.3">
      <c r="J647" s="50"/>
    </row>
    <row r="648" spans="10:10" ht="14.25" customHeight="1" x14ac:dyDescent="0.3">
      <c r="J648" s="50"/>
    </row>
    <row r="649" spans="10:10" ht="14.25" customHeight="1" x14ac:dyDescent="0.3">
      <c r="J649" s="50"/>
    </row>
    <row r="650" spans="10:10" ht="14.25" customHeight="1" x14ac:dyDescent="0.3">
      <c r="J650" s="50"/>
    </row>
    <row r="651" spans="10:10" ht="14.25" customHeight="1" x14ac:dyDescent="0.3">
      <c r="J651" s="50"/>
    </row>
    <row r="652" spans="10:10" ht="14.25" customHeight="1" x14ac:dyDescent="0.3">
      <c r="J652" s="50"/>
    </row>
    <row r="653" spans="10:10" ht="14.25" customHeight="1" x14ac:dyDescent="0.3">
      <c r="J653" s="50"/>
    </row>
    <row r="654" spans="10:10" ht="14.25" customHeight="1" x14ac:dyDescent="0.3">
      <c r="J654" s="50"/>
    </row>
    <row r="655" spans="10:10" ht="14.25" customHeight="1" x14ac:dyDescent="0.3">
      <c r="J655" s="50"/>
    </row>
    <row r="656" spans="10:10" ht="14.25" customHeight="1" x14ac:dyDescent="0.3">
      <c r="J656" s="50"/>
    </row>
    <row r="657" spans="10:10" ht="14.25" customHeight="1" x14ac:dyDescent="0.3">
      <c r="J657" s="50"/>
    </row>
    <row r="658" spans="10:10" ht="14.25" customHeight="1" x14ac:dyDescent="0.3">
      <c r="J658" s="50"/>
    </row>
    <row r="659" spans="10:10" ht="14.25" customHeight="1" x14ac:dyDescent="0.3">
      <c r="J659" s="50"/>
    </row>
    <row r="660" spans="10:10" ht="14.25" customHeight="1" x14ac:dyDescent="0.3">
      <c r="J660" s="50"/>
    </row>
    <row r="661" spans="10:10" ht="14.25" customHeight="1" x14ac:dyDescent="0.3">
      <c r="J661" s="50"/>
    </row>
    <row r="662" spans="10:10" ht="14.25" customHeight="1" x14ac:dyDescent="0.3">
      <c r="J662" s="50"/>
    </row>
    <row r="663" spans="10:10" ht="14.25" customHeight="1" x14ac:dyDescent="0.3">
      <c r="J663" s="50"/>
    </row>
    <row r="664" spans="10:10" ht="14.25" customHeight="1" x14ac:dyDescent="0.3">
      <c r="J664" s="50"/>
    </row>
    <row r="665" spans="10:10" ht="14.25" customHeight="1" x14ac:dyDescent="0.3">
      <c r="J665" s="50"/>
    </row>
    <row r="666" spans="10:10" ht="14.25" customHeight="1" x14ac:dyDescent="0.3">
      <c r="J666" s="50"/>
    </row>
    <row r="667" spans="10:10" ht="14.25" customHeight="1" x14ac:dyDescent="0.3">
      <c r="J667" s="50"/>
    </row>
    <row r="668" spans="10:10" ht="14.25" customHeight="1" x14ac:dyDescent="0.3">
      <c r="J668" s="50"/>
    </row>
    <row r="669" spans="10:10" ht="14.25" customHeight="1" x14ac:dyDescent="0.3">
      <c r="J669" s="50"/>
    </row>
    <row r="670" spans="10:10" ht="14.25" customHeight="1" x14ac:dyDescent="0.3">
      <c r="J670" s="50"/>
    </row>
    <row r="671" spans="10:10" ht="14.25" customHeight="1" x14ac:dyDescent="0.3">
      <c r="J671" s="50"/>
    </row>
    <row r="672" spans="10:10" ht="14.25" customHeight="1" x14ac:dyDescent="0.3">
      <c r="J672" s="50"/>
    </row>
    <row r="673" spans="10:10" ht="14.25" customHeight="1" x14ac:dyDescent="0.3">
      <c r="J673" s="50"/>
    </row>
    <row r="674" spans="10:10" ht="14.25" customHeight="1" x14ac:dyDescent="0.3">
      <c r="J674" s="50"/>
    </row>
    <row r="675" spans="10:10" ht="14.25" customHeight="1" x14ac:dyDescent="0.3">
      <c r="J675" s="50"/>
    </row>
    <row r="676" spans="10:10" ht="14.25" customHeight="1" x14ac:dyDescent="0.3">
      <c r="J676" s="50"/>
    </row>
    <row r="677" spans="10:10" ht="14.25" customHeight="1" x14ac:dyDescent="0.3">
      <c r="J677" s="50"/>
    </row>
    <row r="678" spans="10:10" ht="14.25" customHeight="1" x14ac:dyDescent="0.3">
      <c r="J678" s="50"/>
    </row>
    <row r="679" spans="10:10" ht="14.25" customHeight="1" x14ac:dyDescent="0.3">
      <c r="J679" s="50"/>
    </row>
    <row r="680" spans="10:10" ht="14.25" customHeight="1" x14ac:dyDescent="0.3">
      <c r="J680" s="50"/>
    </row>
    <row r="681" spans="10:10" ht="14.25" customHeight="1" x14ac:dyDescent="0.3">
      <c r="J681" s="50"/>
    </row>
    <row r="682" spans="10:10" ht="14.25" customHeight="1" x14ac:dyDescent="0.3">
      <c r="J682" s="50"/>
    </row>
    <row r="683" spans="10:10" ht="14.25" customHeight="1" x14ac:dyDescent="0.3">
      <c r="J683" s="50"/>
    </row>
    <row r="684" spans="10:10" ht="14.25" customHeight="1" x14ac:dyDescent="0.3">
      <c r="J684" s="50"/>
    </row>
    <row r="685" spans="10:10" ht="14.25" customHeight="1" x14ac:dyDescent="0.3">
      <c r="J685" s="50"/>
    </row>
    <row r="686" spans="10:10" ht="14.25" customHeight="1" x14ac:dyDescent="0.3">
      <c r="J686" s="50"/>
    </row>
    <row r="687" spans="10:10" ht="14.25" customHeight="1" x14ac:dyDescent="0.3">
      <c r="J687" s="50"/>
    </row>
    <row r="688" spans="10:10" ht="14.25" customHeight="1" x14ac:dyDescent="0.3">
      <c r="J688" s="50"/>
    </row>
    <row r="689" spans="10:10" ht="14.25" customHeight="1" x14ac:dyDescent="0.3">
      <c r="J689" s="50"/>
    </row>
    <row r="690" spans="10:10" ht="14.25" customHeight="1" x14ac:dyDescent="0.3">
      <c r="J690" s="50"/>
    </row>
    <row r="691" spans="10:10" ht="14.25" customHeight="1" x14ac:dyDescent="0.3">
      <c r="J691" s="50"/>
    </row>
    <row r="692" spans="10:10" ht="14.25" customHeight="1" x14ac:dyDescent="0.3">
      <c r="J692" s="50"/>
    </row>
    <row r="693" spans="10:10" ht="14.25" customHeight="1" x14ac:dyDescent="0.3">
      <c r="J693" s="50"/>
    </row>
    <row r="694" spans="10:10" ht="14.25" customHeight="1" x14ac:dyDescent="0.3">
      <c r="J694" s="50"/>
    </row>
    <row r="695" spans="10:10" ht="14.25" customHeight="1" x14ac:dyDescent="0.3">
      <c r="J695" s="50"/>
    </row>
    <row r="696" spans="10:10" ht="14.25" customHeight="1" x14ac:dyDescent="0.3">
      <c r="J696" s="50"/>
    </row>
    <row r="697" spans="10:10" ht="14.25" customHeight="1" x14ac:dyDescent="0.3">
      <c r="J697" s="50"/>
    </row>
    <row r="698" spans="10:10" ht="14.25" customHeight="1" x14ac:dyDescent="0.3">
      <c r="J698" s="50"/>
    </row>
    <row r="699" spans="10:10" ht="14.25" customHeight="1" x14ac:dyDescent="0.3">
      <c r="J699" s="50"/>
    </row>
    <row r="700" spans="10:10" ht="14.25" customHeight="1" x14ac:dyDescent="0.3">
      <c r="J700" s="50"/>
    </row>
    <row r="701" spans="10:10" ht="14.25" customHeight="1" x14ac:dyDescent="0.3">
      <c r="J701" s="50"/>
    </row>
    <row r="702" spans="10:10" ht="14.25" customHeight="1" x14ac:dyDescent="0.3">
      <c r="J702" s="50"/>
    </row>
    <row r="703" spans="10:10" ht="14.25" customHeight="1" x14ac:dyDescent="0.3">
      <c r="J703" s="50"/>
    </row>
    <row r="704" spans="10:10" ht="14.25" customHeight="1" x14ac:dyDescent="0.3">
      <c r="J704" s="50"/>
    </row>
    <row r="705" spans="10:10" ht="14.25" customHeight="1" x14ac:dyDescent="0.3">
      <c r="J705" s="50"/>
    </row>
    <row r="706" spans="10:10" ht="14.25" customHeight="1" x14ac:dyDescent="0.3">
      <c r="J706" s="50"/>
    </row>
    <row r="707" spans="10:10" ht="14.25" customHeight="1" x14ac:dyDescent="0.3">
      <c r="J707" s="50"/>
    </row>
    <row r="708" spans="10:10" ht="14.25" customHeight="1" x14ac:dyDescent="0.3">
      <c r="J708" s="50"/>
    </row>
    <row r="709" spans="10:10" ht="14.25" customHeight="1" x14ac:dyDescent="0.3">
      <c r="J709" s="50"/>
    </row>
    <row r="710" spans="10:10" ht="14.25" customHeight="1" x14ac:dyDescent="0.3">
      <c r="J710" s="50"/>
    </row>
    <row r="711" spans="10:10" ht="14.25" customHeight="1" x14ac:dyDescent="0.3">
      <c r="J711" s="50"/>
    </row>
    <row r="712" spans="10:10" ht="14.25" customHeight="1" x14ac:dyDescent="0.3">
      <c r="J712" s="50"/>
    </row>
    <row r="713" spans="10:10" ht="14.25" customHeight="1" x14ac:dyDescent="0.3">
      <c r="J713" s="50"/>
    </row>
    <row r="714" spans="10:10" ht="14.25" customHeight="1" x14ac:dyDescent="0.3">
      <c r="J714" s="50"/>
    </row>
    <row r="715" spans="10:10" ht="14.25" customHeight="1" x14ac:dyDescent="0.3">
      <c r="J715" s="50"/>
    </row>
    <row r="716" spans="10:10" ht="14.25" customHeight="1" x14ac:dyDescent="0.3">
      <c r="J716" s="50"/>
    </row>
    <row r="717" spans="10:10" ht="14.25" customHeight="1" x14ac:dyDescent="0.3">
      <c r="J717" s="50"/>
    </row>
    <row r="718" spans="10:10" ht="14.25" customHeight="1" x14ac:dyDescent="0.3">
      <c r="J718" s="50"/>
    </row>
    <row r="719" spans="10:10" ht="14.25" customHeight="1" x14ac:dyDescent="0.3">
      <c r="J719" s="50"/>
    </row>
    <row r="720" spans="10:10" ht="14.25" customHeight="1" x14ac:dyDescent="0.3">
      <c r="J720" s="50"/>
    </row>
    <row r="721" spans="10:10" ht="14.25" customHeight="1" x14ac:dyDescent="0.3">
      <c r="J721" s="50"/>
    </row>
    <row r="722" spans="10:10" ht="14.25" customHeight="1" x14ac:dyDescent="0.3">
      <c r="J722" s="50"/>
    </row>
    <row r="723" spans="10:10" ht="14.25" customHeight="1" x14ac:dyDescent="0.3">
      <c r="J723" s="50"/>
    </row>
    <row r="724" spans="10:10" ht="14.25" customHeight="1" x14ac:dyDescent="0.3">
      <c r="J724" s="50"/>
    </row>
    <row r="725" spans="10:10" ht="14.25" customHeight="1" x14ac:dyDescent="0.3">
      <c r="J725" s="50"/>
    </row>
    <row r="726" spans="10:10" ht="14.25" customHeight="1" x14ac:dyDescent="0.3">
      <c r="J726" s="50"/>
    </row>
    <row r="727" spans="10:10" ht="14.25" customHeight="1" x14ac:dyDescent="0.3">
      <c r="J727" s="50"/>
    </row>
    <row r="728" spans="10:10" ht="14.25" customHeight="1" x14ac:dyDescent="0.3">
      <c r="J728" s="50"/>
    </row>
    <row r="729" spans="10:10" ht="14.25" customHeight="1" x14ac:dyDescent="0.3">
      <c r="J729" s="50"/>
    </row>
    <row r="730" spans="10:10" ht="14.25" customHeight="1" x14ac:dyDescent="0.3">
      <c r="J730" s="50"/>
    </row>
    <row r="731" spans="10:10" ht="14.25" customHeight="1" x14ac:dyDescent="0.3">
      <c r="J731" s="50"/>
    </row>
    <row r="732" spans="10:10" ht="14.25" customHeight="1" x14ac:dyDescent="0.3">
      <c r="J732" s="50"/>
    </row>
    <row r="733" spans="10:10" ht="14.25" customHeight="1" x14ac:dyDescent="0.3">
      <c r="J733" s="50"/>
    </row>
    <row r="734" spans="10:10" ht="14.25" customHeight="1" x14ac:dyDescent="0.3">
      <c r="J734" s="50"/>
    </row>
    <row r="735" spans="10:10" ht="14.25" customHeight="1" x14ac:dyDescent="0.3">
      <c r="J735" s="50"/>
    </row>
    <row r="736" spans="10:10" ht="14.25" customHeight="1" x14ac:dyDescent="0.3">
      <c r="J736" s="50"/>
    </row>
    <row r="737" spans="10:10" ht="14.25" customHeight="1" x14ac:dyDescent="0.3">
      <c r="J737" s="50"/>
    </row>
    <row r="738" spans="10:10" ht="14.25" customHeight="1" x14ac:dyDescent="0.3">
      <c r="J738" s="50"/>
    </row>
    <row r="739" spans="10:10" ht="14.25" customHeight="1" x14ac:dyDescent="0.3">
      <c r="J739" s="50"/>
    </row>
    <row r="740" spans="10:10" ht="14.25" customHeight="1" x14ac:dyDescent="0.3">
      <c r="J740" s="50"/>
    </row>
    <row r="741" spans="10:10" ht="14.25" customHeight="1" x14ac:dyDescent="0.3">
      <c r="J741" s="50"/>
    </row>
    <row r="742" spans="10:10" ht="14.25" customHeight="1" x14ac:dyDescent="0.3">
      <c r="J742" s="50"/>
    </row>
    <row r="743" spans="10:10" ht="14.25" customHeight="1" x14ac:dyDescent="0.3">
      <c r="J743" s="50"/>
    </row>
    <row r="744" spans="10:10" ht="14.25" customHeight="1" x14ac:dyDescent="0.3">
      <c r="J744" s="50"/>
    </row>
    <row r="745" spans="10:10" ht="14.25" customHeight="1" x14ac:dyDescent="0.3">
      <c r="J745" s="50"/>
    </row>
    <row r="746" spans="10:10" ht="14.25" customHeight="1" x14ac:dyDescent="0.3">
      <c r="J746" s="50"/>
    </row>
    <row r="747" spans="10:10" ht="14.25" customHeight="1" x14ac:dyDescent="0.3">
      <c r="J747" s="50"/>
    </row>
    <row r="748" spans="10:10" ht="14.25" customHeight="1" x14ac:dyDescent="0.3">
      <c r="J748" s="50"/>
    </row>
    <row r="749" spans="10:10" ht="14.25" customHeight="1" x14ac:dyDescent="0.3">
      <c r="J749" s="50"/>
    </row>
    <row r="750" spans="10:10" ht="14.25" customHeight="1" x14ac:dyDescent="0.3">
      <c r="J750" s="50"/>
    </row>
    <row r="751" spans="10:10" ht="14.25" customHeight="1" x14ac:dyDescent="0.3">
      <c r="J751" s="50"/>
    </row>
    <row r="752" spans="10:10" ht="14.25" customHeight="1" x14ac:dyDescent="0.3">
      <c r="J752" s="50"/>
    </row>
    <row r="753" spans="10:10" ht="14.25" customHeight="1" x14ac:dyDescent="0.3">
      <c r="J753" s="50"/>
    </row>
    <row r="754" spans="10:10" ht="14.25" customHeight="1" x14ac:dyDescent="0.3">
      <c r="J754" s="50"/>
    </row>
    <row r="755" spans="10:10" ht="14.25" customHeight="1" x14ac:dyDescent="0.3">
      <c r="J755" s="50"/>
    </row>
    <row r="756" spans="10:10" ht="14.25" customHeight="1" x14ac:dyDescent="0.3">
      <c r="J756" s="50"/>
    </row>
    <row r="757" spans="10:10" ht="14.25" customHeight="1" x14ac:dyDescent="0.3">
      <c r="J757" s="50"/>
    </row>
    <row r="758" spans="10:10" ht="14.25" customHeight="1" x14ac:dyDescent="0.3">
      <c r="J758" s="50"/>
    </row>
    <row r="759" spans="10:10" ht="14.25" customHeight="1" x14ac:dyDescent="0.3">
      <c r="J759" s="50"/>
    </row>
    <row r="760" spans="10:10" ht="14.25" customHeight="1" x14ac:dyDescent="0.3">
      <c r="J760" s="50"/>
    </row>
    <row r="761" spans="10:10" ht="14.25" customHeight="1" x14ac:dyDescent="0.3">
      <c r="J761" s="50"/>
    </row>
    <row r="762" spans="10:10" ht="14.25" customHeight="1" x14ac:dyDescent="0.3">
      <c r="J762" s="50"/>
    </row>
    <row r="763" spans="10:10" ht="14.25" customHeight="1" x14ac:dyDescent="0.3">
      <c r="J763" s="50"/>
    </row>
    <row r="764" spans="10:10" ht="14.25" customHeight="1" x14ac:dyDescent="0.3">
      <c r="J764" s="50"/>
    </row>
    <row r="765" spans="10:10" ht="14.25" customHeight="1" x14ac:dyDescent="0.3">
      <c r="J765" s="50"/>
    </row>
    <row r="766" spans="10:10" ht="14.25" customHeight="1" x14ac:dyDescent="0.3">
      <c r="J766" s="50"/>
    </row>
    <row r="767" spans="10:10" ht="14.25" customHeight="1" x14ac:dyDescent="0.3">
      <c r="J767" s="50"/>
    </row>
    <row r="768" spans="10:10" ht="14.25" customHeight="1" x14ac:dyDescent="0.3">
      <c r="J768" s="50"/>
    </row>
    <row r="769" spans="10:10" ht="14.25" customHeight="1" x14ac:dyDescent="0.3">
      <c r="J769" s="50"/>
    </row>
    <row r="770" spans="10:10" ht="14.25" customHeight="1" x14ac:dyDescent="0.3">
      <c r="J770" s="50"/>
    </row>
    <row r="771" spans="10:10" ht="14.25" customHeight="1" x14ac:dyDescent="0.3">
      <c r="J771" s="50"/>
    </row>
    <row r="772" spans="10:10" ht="14.25" customHeight="1" x14ac:dyDescent="0.3">
      <c r="J772" s="50"/>
    </row>
    <row r="773" spans="10:10" ht="14.25" customHeight="1" x14ac:dyDescent="0.3">
      <c r="J773" s="50"/>
    </row>
    <row r="774" spans="10:10" ht="14.25" customHeight="1" x14ac:dyDescent="0.3">
      <c r="J774" s="50"/>
    </row>
    <row r="775" spans="10:10" ht="14.25" customHeight="1" x14ac:dyDescent="0.3">
      <c r="J775" s="50"/>
    </row>
    <row r="776" spans="10:10" ht="14.25" customHeight="1" x14ac:dyDescent="0.3">
      <c r="J776" s="50"/>
    </row>
    <row r="777" spans="10:10" ht="14.25" customHeight="1" x14ac:dyDescent="0.3">
      <c r="J777" s="50"/>
    </row>
    <row r="778" spans="10:10" ht="14.25" customHeight="1" x14ac:dyDescent="0.3">
      <c r="J778" s="50"/>
    </row>
    <row r="779" spans="10:10" ht="14.25" customHeight="1" x14ac:dyDescent="0.3">
      <c r="J779" s="50"/>
    </row>
    <row r="780" spans="10:10" ht="14.25" customHeight="1" x14ac:dyDescent="0.3">
      <c r="J780" s="50"/>
    </row>
    <row r="781" spans="10:10" ht="14.25" customHeight="1" x14ac:dyDescent="0.3">
      <c r="J781" s="50"/>
    </row>
    <row r="782" spans="10:10" ht="14.25" customHeight="1" x14ac:dyDescent="0.3">
      <c r="J782" s="50"/>
    </row>
    <row r="783" spans="10:10" ht="14.25" customHeight="1" x14ac:dyDescent="0.3">
      <c r="J783" s="50"/>
    </row>
    <row r="784" spans="10:10" ht="14.25" customHeight="1" x14ac:dyDescent="0.3">
      <c r="J784" s="50"/>
    </row>
    <row r="785" spans="10:10" ht="14.25" customHeight="1" x14ac:dyDescent="0.3">
      <c r="J785" s="50"/>
    </row>
    <row r="786" spans="10:10" ht="14.25" customHeight="1" x14ac:dyDescent="0.3">
      <c r="J786" s="50"/>
    </row>
    <row r="787" spans="10:10" ht="14.25" customHeight="1" x14ac:dyDescent="0.3">
      <c r="J787" s="50"/>
    </row>
    <row r="788" spans="10:10" ht="14.25" customHeight="1" x14ac:dyDescent="0.3">
      <c r="J788" s="50"/>
    </row>
    <row r="789" spans="10:10" ht="14.25" customHeight="1" x14ac:dyDescent="0.3">
      <c r="J789" s="50"/>
    </row>
    <row r="790" spans="10:10" ht="14.25" customHeight="1" x14ac:dyDescent="0.3">
      <c r="J790" s="50"/>
    </row>
    <row r="791" spans="10:10" ht="14.25" customHeight="1" x14ac:dyDescent="0.3">
      <c r="J791" s="50"/>
    </row>
    <row r="792" spans="10:10" ht="14.25" customHeight="1" x14ac:dyDescent="0.3">
      <c r="J792" s="50"/>
    </row>
    <row r="793" spans="10:10" ht="14.25" customHeight="1" x14ac:dyDescent="0.3">
      <c r="J793" s="50"/>
    </row>
    <row r="794" spans="10:10" ht="14.25" customHeight="1" x14ac:dyDescent="0.3">
      <c r="J794" s="50"/>
    </row>
    <row r="795" spans="10:10" ht="14.25" customHeight="1" x14ac:dyDescent="0.3">
      <c r="J795" s="50"/>
    </row>
    <row r="796" spans="10:10" ht="14.25" customHeight="1" x14ac:dyDescent="0.3">
      <c r="J796" s="50"/>
    </row>
    <row r="797" spans="10:10" ht="14.25" customHeight="1" x14ac:dyDescent="0.3">
      <c r="J797" s="50"/>
    </row>
    <row r="798" spans="10:10" ht="14.25" customHeight="1" x14ac:dyDescent="0.3">
      <c r="J798" s="50"/>
    </row>
    <row r="799" spans="10:10" ht="14.25" customHeight="1" x14ac:dyDescent="0.3">
      <c r="J799" s="50"/>
    </row>
    <row r="800" spans="10:10" ht="14.25" customHeight="1" x14ac:dyDescent="0.3">
      <c r="J800" s="50"/>
    </row>
    <row r="801" spans="10:10" ht="14.25" customHeight="1" x14ac:dyDescent="0.3">
      <c r="J801" s="50"/>
    </row>
    <row r="802" spans="10:10" ht="14.25" customHeight="1" x14ac:dyDescent="0.3">
      <c r="J802" s="50"/>
    </row>
    <row r="803" spans="10:10" ht="14.25" customHeight="1" x14ac:dyDescent="0.3">
      <c r="J803" s="50"/>
    </row>
    <row r="804" spans="10:10" ht="14.25" customHeight="1" x14ac:dyDescent="0.3">
      <c r="J804" s="50"/>
    </row>
    <row r="805" spans="10:10" ht="14.25" customHeight="1" x14ac:dyDescent="0.3">
      <c r="J805" s="50"/>
    </row>
    <row r="806" spans="10:10" ht="14.25" customHeight="1" x14ac:dyDescent="0.3">
      <c r="J806" s="50"/>
    </row>
    <row r="807" spans="10:10" ht="14.25" customHeight="1" x14ac:dyDescent="0.3">
      <c r="J807" s="50"/>
    </row>
    <row r="808" spans="10:10" ht="14.25" customHeight="1" x14ac:dyDescent="0.3">
      <c r="J808" s="50"/>
    </row>
    <row r="809" spans="10:10" ht="14.25" customHeight="1" x14ac:dyDescent="0.3">
      <c r="J809" s="50"/>
    </row>
    <row r="810" spans="10:10" ht="14.25" customHeight="1" x14ac:dyDescent="0.3">
      <c r="J810" s="50"/>
    </row>
    <row r="811" spans="10:10" ht="14.25" customHeight="1" x14ac:dyDescent="0.3">
      <c r="J811" s="50"/>
    </row>
    <row r="812" spans="10:10" ht="14.25" customHeight="1" x14ac:dyDescent="0.3">
      <c r="J812" s="50"/>
    </row>
    <row r="813" spans="10:10" ht="14.25" customHeight="1" x14ac:dyDescent="0.3">
      <c r="J813" s="50"/>
    </row>
    <row r="814" spans="10:10" ht="14.25" customHeight="1" x14ac:dyDescent="0.3">
      <c r="J814" s="50"/>
    </row>
    <row r="815" spans="10:10" ht="14.25" customHeight="1" x14ac:dyDescent="0.3">
      <c r="J815" s="50"/>
    </row>
    <row r="816" spans="10:10" ht="14.25" customHeight="1" x14ac:dyDescent="0.3">
      <c r="J816" s="50"/>
    </row>
    <row r="817" spans="10:10" ht="14.25" customHeight="1" x14ac:dyDescent="0.3">
      <c r="J817" s="50"/>
    </row>
    <row r="818" spans="10:10" ht="14.25" customHeight="1" x14ac:dyDescent="0.3">
      <c r="J818" s="50"/>
    </row>
    <row r="819" spans="10:10" ht="14.25" customHeight="1" x14ac:dyDescent="0.3">
      <c r="J819" s="50"/>
    </row>
    <row r="820" spans="10:10" ht="14.25" customHeight="1" x14ac:dyDescent="0.3">
      <c r="J820" s="50"/>
    </row>
    <row r="821" spans="10:10" ht="14.25" customHeight="1" x14ac:dyDescent="0.3">
      <c r="J821" s="50"/>
    </row>
    <row r="822" spans="10:10" ht="14.25" customHeight="1" x14ac:dyDescent="0.3">
      <c r="J822" s="50"/>
    </row>
    <row r="823" spans="10:10" ht="14.25" customHeight="1" x14ac:dyDescent="0.3">
      <c r="J823" s="50"/>
    </row>
    <row r="824" spans="10:10" ht="14.25" customHeight="1" x14ac:dyDescent="0.3">
      <c r="J824" s="50"/>
    </row>
    <row r="825" spans="10:10" ht="14.25" customHeight="1" x14ac:dyDescent="0.3">
      <c r="J825" s="50"/>
    </row>
    <row r="826" spans="10:10" ht="14.25" customHeight="1" x14ac:dyDescent="0.3">
      <c r="J826" s="50"/>
    </row>
    <row r="827" spans="10:10" ht="14.25" customHeight="1" x14ac:dyDescent="0.3">
      <c r="J827" s="50"/>
    </row>
    <row r="828" spans="10:10" ht="14.25" customHeight="1" x14ac:dyDescent="0.3">
      <c r="J828" s="50"/>
    </row>
    <row r="829" spans="10:10" ht="14.25" customHeight="1" x14ac:dyDescent="0.3">
      <c r="J829" s="50"/>
    </row>
    <row r="830" spans="10:10" ht="14.25" customHeight="1" x14ac:dyDescent="0.3">
      <c r="J830" s="50"/>
    </row>
    <row r="831" spans="10:10" ht="14.25" customHeight="1" x14ac:dyDescent="0.3">
      <c r="J831" s="50"/>
    </row>
    <row r="832" spans="10:10" ht="14.25" customHeight="1" x14ac:dyDescent="0.3">
      <c r="J832" s="50"/>
    </row>
    <row r="833" spans="10:10" ht="14.25" customHeight="1" x14ac:dyDescent="0.3">
      <c r="J833" s="50"/>
    </row>
    <row r="834" spans="10:10" ht="14.25" customHeight="1" x14ac:dyDescent="0.3">
      <c r="J834" s="50"/>
    </row>
    <row r="835" spans="10:10" ht="14.25" customHeight="1" x14ac:dyDescent="0.3">
      <c r="J835" s="50"/>
    </row>
    <row r="836" spans="10:10" ht="14.25" customHeight="1" x14ac:dyDescent="0.3">
      <c r="J836" s="50"/>
    </row>
    <row r="837" spans="10:10" ht="14.25" customHeight="1" x14ac:dyDescent="0.3">
      <c r="J837" s="50"/>
    </row>
    <row r="838" spans="10:10" ht="14.25" customHeight="1" x14ac:dyDescent="0.3">
      <c r="J838" s="50"/>
    </row>
    <row r="839" spans="10:10" ht="14.25" customHeight="1" x14ac:dyDescent="0.3">
      <c r="J839" s="50"/>
    </row>
    <row r="840" spans="10:10" ht="14.25" customHeight="1" x14ac:dyDescent="0.3">
      <c r="J840" s="50"/>
    </row>
    <row r="841" spans="10:10" ht="14.25" customHeight="1" x14ac:dyDescent="0.3">
      <c r="J841" s="50"/>
    </row>
    <row r="842" spans="10:10" ht="14.25" customHeight="1" x14ac:dyDescent="0.3">
      <c r="J842" s="50"/>
    </row>
    <row r="843" spans="10:10" ht="14.25" customHeight="1" x14ac:dyDescent="0.3">
      <c r="J843" s="50"/>
    </row>
    <row r="844" spans="10:10" ht="14.25" customHeight="1" x14ac:dyDescent="0.3">
      <c r="J844" s="50"/>
    </row>
    <row r="845" spans="10:10" ht="14.25" customHeight="1" x14ac:dyDescent="0.3">
      <c r="J845" s="50"/>
    </row>
    <row r="846" spans="10:10" ht="14.25" customHeight="1" x14ac:dyDescent="0.3">
      <c r="J846" s="50"/>
    </row>
    <row r="847" spans="10:10" ht="14.25" customHeight="1" x14ac:dyDescent="0.3">
      <c r="J847" s="50"/>
    </row>
    <row r="848" spans="10:10" ht="14.25" customHeight="1" x14ac:dyDescent="0.3">
      <c r="J848" s="50"/>
    </row>
    <row r="849" spans="10:10" ht="14.25" customHeight="1" x14ac:dyDescent="0.3">
      <c r="J849" s="50"/>
    </row>
    <row r="850" spans="10:10" ht="14.25" customHeight="1" x14ac:dyDescent="0.3">
      <c r="J850" s="50"/>
    </row>
    <row r="851" spans="10:10" ht="14.25" customHeight="1" x14ac:dyDescent="0.3">
      <c r="J851" s="50"/>
    </row>
    <row r="852" spans="10:10" ht="14.25" customHeight="1" x14ac:dyDescent="0.3">
      <c r="J852" s="50"/>
    </row>
    <row r="853" spans="10:10" ht="14.25" customHeight="1" x14ac:dyDescent="0.3">
      <c r="J853" s="50"/>
    </row>
    <row r="854" spans="10:10" ht="14.25" customHeight="1" x14ac:dyDescent="0.3">
      <c r="J854" s="50"/>
    </row>
    <row r="855" spans="10:10" ht="14.25" customHeight="1" x14ac:dyDescent="0.3">
      <c r="J855" s="50"/>
    </row>
    <row r="856" spans="10:10" ht="14.25" customHeight="1" x14ac:dyDescent="0.3">
      <c r="J856" s="50"/>
    </row>
    <row r="857" spans="10:10" ht="14.25" customHeight="1" x14ac:dyDescent="0.3">
      <c r="J857" s="50"/>
    </row>
    <row r="858" spans="10:10" ht="14.25" customHeight="1" x14ac:dyDescent="0.3">
      <c r="J858" s="50"/>
    </row>
    <row r="859" spans="10:10" ht="14.25" customHeight="1" x14ac:dyDescent="0.3">
      <c r="J859" s="50"/>
    </row>
    <row r="860" spans="10:10" ht="14.25" customHeight="1" x14ac:dyDescent="0.3">
      <c r="J860" s="50"/>
    </row>
    <row r="861" spans="10:10" ht="14.25" customHeight="1" x14ac:dyDescent="0.3">
      <c r="J861" s="50"/>
    </row>
    <row r="862" spans="10:10" ht="14.25" customHeight="1" x14ac:dyDescent="0.3">
      <c r="J862" s="50"/>
    </row>
    <row r="863" spans="10:10" ht="14.25" customHeight="1" x14ac:dyDescent="0.3">
      <c r="J863" s="50"/>
    </row>
    <row r="864" spans="10:10" ht="14.25" customHeight="1" x14ac:dyDescent="0.3">
      <c r="J864" s="50"/>
    </row>
    <row r="865" spans="10:10" ht="14.25" customHeight="1" x14ac:dyDescent="0.3">
      <c r="J865" s="50"/>
    </row>
    <row r="866" spans="10:10" ht="14.25" customHeight="1" x14ac:dyDescent="0.3">
      <c r="J866" s="50"/>
    </row>
    <row r="867" spans="10:10" ht="14.25" customHeight="1" x14ac:dyDescent="0.3">
      <c r="J867" s="50"/>
    </row>
    <row r="868" spans="10:10" ht="14.25" customHeight="1" x14ac:dyDescent="0.3">
      <c r="J868" s="50"/>
    </row>
    <row r="869" spans="10:10" ht="14.25" customHeight="1" x14ac:dyDescent="0.3">
      <c r="J869" s="50"/>
    </row>
    <row r="870" spans="10:10" ht="14.25" customHeight="1" x14ac:dyDescent="0.3">
      <c r="J870" s="50"/>
    </row>
    <row r="871" spans="10:10" ht="14.25" customHeight="1" x14ac:dyDescent="0.3">
      <c r="J871" s="50"/>
    </row>
    <row r="872" spans="10:10" ht="14.25" customHeight="1" x14ac:dyDescent="0.3">
      <c r="J872" s="50"/>
    </row>
    <row r="873" spans="10:10" ht="14.25" customHeight="1" x14ac:dyDescent="0.3">
      <c r="J873" s="50"/>
    </row>
    <row r="874" spans="10:10" ht="14.25" customHeight="1" x14ac:dyDescent="0.3">
      <c r="J874" s="50"/>
    </row>
    <row r="875" spans="10:10" ht="14.25" customHeight="1" x14ac:dyDescent="0.3">
      <c r="J875" s="50"/>
    </row>
    <row r="876" spans="10:10" ht="14.25" customHeight="1" x14ac:dyDescent="0.3">
      <c r="J876" s="50"/>
    </row>
    <row r="877" spans="10:10" ht="14.25" customHeight="1" x14ac:dyDescent="0.3">
      <c r="J877" s="50"/>
    </row>
    <row r="878" spans="10:10" ht="14.25" customHeight="1" x14ac:dyDescent="0.3">
      <c r="J878" s="50"/>
    </row>
    <row r="879" spans="10:10" ht="14.25" customHeight="1" x14ac:dyDescent="0.3">
      <c r="J879" s="50"/>
    </row>
    <row r="880" spans="10:10" ht="14.25" customHeight="1" x14ac:dyDescent="0.3">
      <c r="J880" s="50"/>
    </row>
    <row r="881" spans="10:10" ht="14.25" customHeight="1" x14ac:dyDescent="0.3">
      <c r="J881" s="50"/>
    </row>
    <row r="882" spans="10:10" ht="14.25" customHeight="1" x14ac:dyDescent="0.3">
      <c r="J882" s="50"/>
    </row>
    <row r="883" spans="10:10" ht="14.25" customHeight="1" x14ac:dyDescent="0.3">
      <c r="J883" s="50"/>
    </row>
    <row r="884" spans="10:10" ht="14.25" customHeight="1" x14ac:dyDescent="0.3">
      <c r="J884" s="50"/>
    </row>
    <row r="885" spans="10:10" ht="14.25" customHeight="1" x14ac:dyDescent="0.3">
      <c r="J885" s="50"/>
    </row>
    <row r="886" spans="10:10" ht="14.25" customHeight="1" x14ac:dyDescent="0.3">
      <c r="J886" s="50"/>
    </row>
    <row r="887" spans="10:10" ht="14.25" customHeight="1" x14ac:dyDescent="0.3">
      <c r="J887" s="50"/>
    </row>
    <row r="888" spans="10:10" ht="14.25" customHeight="1" x14ac:dyDescent="0.3">
      <c r="J888" s="50"/>
    </row>
    <row r="889" spans="10:10" ht="14.25" customHeight="1" x14ac:dyDescent="0.3">
      <c r="J889" s="50"/>
    </row>
    <row r="890" spans="10:10" ht="14.25" customHeight="1" x14ac:dyDescent="0.3">
      <c r="J890" s="50"/>
    </row>
    <row r="891" spans="10:10" ht="14.25" customHeight="1" x14ac:dyDescent="0.3">
      <c r="J891" s="50"/>
    </row>
    <row r="892" spans="10:10" ht="14.25" customHeight="1" x14ac:dyDescent="0.3">
      <c r="J892" s="50"/>
    </row>
    <row r="893" spans="10:10" ht="14.25" customHeight="1" x14ac:dyDescent="0.3">
      <c r="J893" s="50"/>
    </row>
    <row r="894" spans="10:10" ht="14.25" customHeight="1" x14ac:dyDescent="0.3">
      <c r="J894" s="50"/>
    </row>
    <row r="895" spans="10:10" ht="14.25" customHeight="1" x14ac:dyDescent="0.3">
      <c r="J895" s="50"/>
    </row>
    <row r="896" spans="10:10" ht="14.25" customHeight="1" x14ac:dyDescent="0.3">
      <c r="J896" s="50"/>
    </row>
    <row r="897" spans="10:10" ht="14.25" customHeight="1" x14ac:dyDescent="0.3">
      <c r="J897" s="50"/>
    </row>
    <row r="898" spans="10:10" ht="14.25" customHeight="1" x14ac:dyDescent="0.3">
      <c r="J898" s="50"/>
    </row>
    <row r="899" spans="10:10" ht="14.25" customHeight="1" x14ac:dyDescent="0.3">
      <c r="J899" s="50"/>
    </row>
    <row r="900" spans="10:10" ht="14.25" customHeight="1" x14ac:dyDescent="0.3">
      <c r="J900" s="50"/>
    </row>
    <row r="901" spans="10:10" ht="14.25" customHeight="1" x14ac:dyDescent="0.3">
      <c r="J901" s="50"/>
    </row>
    <row r="902" spans="10:10" ht="14.25" customHeight="1" x14ac:dyDescent="0.3">
      <c r="J902" s="50"/>
    </row>
    <row r="903" spans="10:10" ht="14.25" customHeight="1" x14ac:dyDescent="0.3">
      <c r="J903" s="50"/>
    </row>
    <row r="904" spans="10:10" ht="14.25" customHeight="1" x14ac:dyDescent="0.3">
      <c r="J904" s="50"/>
    </row>
    <row r="905" spans="10:10" ht="14.25" customHeight="1" x14ac:dyDescent="0.3">
      <c r="J905" s="50"/>
    </row>
    <row r="906" spans="10:10" ht="14.25" customHeight="1" x14ac:dyDescent="0.3">
      <c r="J906" s="50"/>
    </row>
    <row r="907" spans="10:10" ht="14.25" customHeight="1" x14ac:dyDescent="0.3">
      <c r="J907" s="50"/>
    </row>
    <row r="908" spans="10:10" ht="14.25" customHeight="1" x14ac:dyDescent="0.3">
      <c r="J908" s="50"/>
    </row>
    <row r="909" spans="10:10" ht="14.25" customHeight="1" x14ac:dyDescent="0.3">
      <c r="J909" s="50"/>
    </row>
    <row r="910" spans="10:10" ht="14.25" customHeight="1" x14ac:dyDescent="0.3">
      <c r="J910" s="50"/>
    </row>
    <row r="911" spans="10:10" ht="14.25" customHeight="1" x14ac:dyDescent="0.3">
      <c r="J911" s="50"/>
    </row>
    <row r="912" spans="10:10" ht="14.25" customHeight="1" x14ac:dyDescent="0.3">
      <c r="J912" s="50"/>
    </row>
    <row r="913" spans="10:10" ht="14.25" customHeight="1" x14ac:dyDescent="0.3">
      <c r="J913" s="50"/>
    </row>
    <row r="914" spans="10:10" ht="14.25" customHeight="1" x14ac:dyDescent="0.3">
      <c r="J914" s="50"/>
    </row>
    <row r="915" spans="10:10" ht="14.25" customHeight="1" x14ac:dyDescent="0.3">
      <c r="J915" s="50"/>
    </row>
    <row r="916" spans="10:10" ht="14.25" customHeight="1" x14ac:dyDescent="0.3">
      <c r="J916" s="50"/>
    </row>
    <row r="917" spans="10:10" ht="14.25" customHeight="1" x14ac:dyDescent="0.3">
      <c r="J917" s="50"/>
    </row>
    <row r="918" spans="10:10" ht="14.25" customHeight="1" x14ac:dyDescent="0.3">
      <c r="J918" s="50"/>
    </row>
    <row r="919" spans="10:10" ht="14.25" customHeight="1" x14ac:dyDescent="0.3">
      <c r="J919" s="50"/>
    </row>
    <row r="920" spans="10:10" ht="14.25" customHeight="1" x14ac:dyDescent="0.3">
      <c r="J920" s="50"/>
    </row>
    <row r="921" spans="10:10" ht="14.25" customHeight="1" x14ac:dyDescent="0.3">
      <c r="J921" s="50"/>
    </row>
    <row r="922" spans="10:10" ht="14.25" customHeight="1" x14ac:dyDescent="0.3">
      <c r="J922" s="50"/>
    </row>
    <row r="923" spans="10:10" ht="14.25" customHeight="1" x14ac:dyDescent="0.3">
      <c r="J923" s="50"/>
    </row>
    <row r="924" spans="10:10" ht="14.25" customHeight="1" x14ac:dyDescent="0.3">
      <c r="J924" s="50"/>
    </row>
    <row r="925" spans="10:10" ht="14.25" customHeight="1" x14ac:dyDescent="0.3">
      <c r="J925" s="50"/>
    </row>
    <row r="926" spans="10:10" ht="14.25" customHeight="1" x14ac:dyDescent="0.3">
      <c r="J926" s="50"/>
    </row>
    <row r="927" spans="10:10" ht="14.25" customHeight="1" x14ac:dyDescent="0.3">
      <c r="J927" s="50"/>
    </row>
    <row r="928" spans="10:10" ht="14.25" customHeight="1" x14ac:dyDescent="0.3">
      <c r="J928" s="50"/>
    </row>
    <row r="929" spans="10:10" ht="14.25" customHeight="1" x14ac:dyDescent="0.3">
      <c r="J929" s="50"/>
    </row>
    <row r="930" spans="10:10" ht="14.25" customHeight="1" x14ac:dyDescent="0.3">
      <c r="J930" s="50"/>
    </row>
    <row r="931" spans="10:10" ht="14.25" customHeight="1" x14ac:dyDescent="0.3">
      <c r="J931" s="50"/>
    </row>
    <row r="932" spans="10:10" ht="14.25" customHeight="1" x14ac:dyDescent="0.3">
      <c r="J932" s="50"/>
    </row>
    <row r="933" spans="10:10" ht="14.25" customHeight="1" x14ac:dyDescent="0.3">
      <c r="J933" s="50"/>
    </row>
    <row r="934" spans="10:10" ht="14.25" customHeight="1" x14ac:dyDescent="0.3">
      <c r="J934" s="50"/>
    </row>
    <row r="935" spans="10:10" ht="14.25" customHeight="1" x14ac:dyDescent="0.3">
      <c r="J935" s="50"/>
    </row>
    <row r="936" spans="10:10" ht="14.25" customHeight="1" x14ac:dyDescent="0.3">
      <c r="J936" s="50"/>
    </row>
    <row r="937" spans="10:10" ht="14.25" customHeight="1" x14ac:dyDescent="0.3">
      <c r="J937" s="50"/>
    </row>
    <row r="938" spans="10:10" ht="14.25" customHeight="1" x14ac:dyDescent="0.3">
      <c r="J938" s="50"/>
    </row>
    <row r="939" spans="10:10" ht="14.25" customHeight="1" x14ac:dyDescent="0.3">
      <c r="J939" s="50"/>
    </row>
    <row r="940" spans="10:10" ht="14.25" customHeight="1" x14ac:dyDescent="0.3">
      <c r="J940" s="50"/>
    </row>
    <row r="941" spans="10:10" ht="14.25" customHeight="1" x14ac:dyDescent="0.3">
      <c r="J941" s="50"/>
    </row>
    <row r="942" spans="10:10" ht="14.25" customHeight="1" x14ac:dyDescent="0.3">
      <c r="J942" s="50"/>
    </row>
    <row r="943" spans="10:10" ht="14.25" customHeight="1" x14ac:dyDescent="0.3">
      <c r="J943" s="50"/>
    </row>
    <row r="944" spans="10:10" ht="14.25" customHeight="1" x14ac:dyDescent="0.3">
      <c r="J944" s="50"/>
    </row>
    <row r="945" spans="10:10" ht="14.25" customHeight="1" x14ac:dyDescent="0.3">
      <c r="J945" s="50"/>
    </row>
    <row r="946" spans="10:10" ht="14.25" customHeight="1" x14ac:dyDescent="0.3">
      <c r="J946" s="50"/>
    </row>
    <row r="947" spans="10:10" ht="14.25" customHeight="1" x14ac:dyDescent="0.3">
      <c r="J947" s="50"/>
    </row>
    <row r="948" spans="10:10" ht="14.25" customHeight="1" x14ac:dyDescent="0.3">
      <c r="J948" s="50"/>
    </row>
    <row r="949" spans="10:10" ht="14.25" customHeight="1" x14ac:dyDescent="0.3">
      <c r="J949" s="50"/>
    </row>
    <row r="950" spans="10:10" ht="14.25" customHeight="1" x14ac:dyDescent="0.3">
      <c r="J950" s="50"/>
    </row>
    <row r="951" spans="10:10" ht="14.25" customHeight="1" x14ac:dyDescent="0.3">
      <c r="J951" s="50"/>
    </row>
    <row r="952" spans="10:10" ht="14.25" customHeight="1" x14ac:dyDescent="0.3">
      <c r="J952" s="50"/>
    </row>
    <row r="953" spans="10:10" ht="14.25" customHeight="1" x14ac:dyDescent="0.3">
      <c r="J953" s="50"/>
    </row>
    <row r="954" spans="10:10" ht="14.25" customHeight="1" x14ac:dyDescent="0.3">
      <c r="J954" s="50"/>
    </row>
    <row r="955" spans="10:10" ht="14.25" customHeight="1" x14ac:dyDescent="0.3">
      <c r="J955" s="50"/>
    </row>
    <row r="956" spans="10:10" ht="14.25" customHeight="1" x14ac:dyDescent="0.3">
      <c r="J956" s="50"/>
    </row>
    <row r="957" spans="10:10" ht="14.25" customHeight="1" x14ac:dyDescent="0.3">
      <c r="J957" s="50"/>
    </row>
    <row r="958" spans="10:10" ht="14.25" customHeight="1" x14ac:dyDescent="0.3">
      <c r="J958" s="50"/>
    </row>
    <row r="959" spans="10:10" ht="14.25" customHeight="1" x14ac:dyDescent="0.3">
      <c r="J959" s="50"/>
    </row>
    <row r="960" spans="10:10" ht="14.25" customHeight="1" x14ac:dyDescent="0.3">
      <c r="J960" s="50"/>
    </row>
    <row r="961" spans="10:10" ht="14.25" customHeight="1" x14ac:dyDescent="0.3">
      <c r="J961" s="50"/>
    </row>
    <row r="962" spans="10:10" ht="14.25" customHeight="1" x14ac:dyDescent="0.3">
      <c r="J962" s="50"/>
    </row>
    <row r="963" spans="10:10" ht="14.25" customHeight="1" x14ac:dyDescent="0.3">
      <c r="J963" s="50"/>
    </row>
    <row r="964" spans="10:10" ht="14.25" customHeight="1" x14ac:dyDescent="0.3">
      <c r="J964" s="50"/>
    </row>
    <row r="965" spans="10:10" ht="14.25" customHeight="1" x14ac:dyDescent="0.3">
      <c r="J965" s="50"/>
    </row>
    <row r="966" spans="10:10" ht="14.25" customHeight="1" x14ac:dyDescent="0.3">
      <c r="J966" s="50"/>
    </row>
    <row r="967" spans="10:10" ht="14.25" customHeight="1" x14ac:dyDescent="0.3">
      <c r="J967" s="50"/>
    </row>
    <row r="968" spans="10:10" ht="14.25" customHeight="1" x14ac:dyDescent="0.3">
      <c r="J968" s="50"/>
    </row>
    <row r="969" spans="10:10" ht="14.25" customHeight="1" x14ac:dyDescent="0.3">
      <c r="J969" s="50"/>
    </row>
    <row r="970" spans="10:10" ht="14.25" customHeight="1" x14ac:dyDescent="0.3">
      <c r="J970" s="50"/>
    </row>
    <row r="971" spans="10:10" ht="14.25" customHeight="1" x14ac:dyDescent="0.3">
      <c r="J971" s="50"/>
    </row>
    <row r="972" spans="10:10" ht="14.25" customHeight="1" x14ac:dyDescent="0.3">
      <c r="J972" s="50"/>
    </row>
    <row r="973" spans="10:10" ht="14.25" customHeight="1" x14ac:dyDescent="0.3">
      <c r="J973" s="50"/>
    </row>
    <row r="974" spans="10:10" ht="14.25" customHeight="1" x14ac:dyDescent="0.3">
      <c r="J974" s="50"/>
    </row>
    <row r="975" spans="10:10" ht="14.25" customHeight="1" x14ac:dyDescent="0.3">
      <c r="J975" s="50"/>
    </row>
    <row r="976" spans="10:10" ht="14.25" customHeight="1" x14ac:dyDescent="0.3">
      <c r="J976" s="50"/>
    </row>
    <row r="977" spans="10:10" ht="14.25" customHeight="1" x14ac:dyDescent="0.3">
      <c r="J977" s="50"/>
    </row>
    <row r="978" spans="10:10" ht="14.25" customHeight="1" x14ac:dyDescent="0.3">
      <c r="J978" s="50"/>
    </row>
    <row r="979" spans="10:10" ht="14.25" customHeight="1" x14ac:dyDescent="0.3">
      <c r="J979" s="50"/>
    </row>
    <row r="980" spans="10:10" ht="14.25" customHeight="1" x14ac:dyDescent="0.3">
      <c r="J980" s="50"/>
    </row>
    <row r="981" spans="10:10" ht="14.25" customHeight="1" x14ac:dyDescent="0.3">
      <c r="J981" s="50"/>
    </row>
    <row r="982" spans="10:10" ht="14.25" customHeight="1" x14ac:dyDescent="0.3">
      <c r="J982" s="50"/>
    </row>
    <row r="983" spans="10:10" ht="14.25" customHeight="1" x14ac:dyDescent="0.3">
      <c r="J983" s="50"/>
    </row>
    <row r="984" spans="10:10" ht="14.25" customHeight="1" x14ac:dyDescent="0.3">
      <c r="J984" s="50"/>
    </row>
    <row r="985" spans="10:10" ht="14.25" customHeight="1" x14ac:dyDescent="0.3">
      <c r="J985" s="50"/>
    </row>
    <row r="986" spans="10:10" ht="14.25" customHeight="1" x14ac:dyDescent="0.3">
      <c r="J986" s="50"/>
    </row>
    <row r="987" spans="10:10" ht="14.25" customHeight="1" x14ac:dyDescent="0.3">
      <c r="J987" s="50"/>
    </row>
    <row r="988" spans="10:10" ht="14.25" customHeight="1" x14ac:dyDescent="0.3">
      <c r="J988" s="50"/>
    </row>
    <row r="989" spans="10:10" ht="14.25" customHeight="1" x14ac:dyDescent="0.3">
      <c r="J989" s="50"/>
    </row>
    <row r="990" spans="10:10" ht="14.25" customHeight="1" x14ac:dyDescent="0.3">
      <c r="J990" s="50"/>
    </row>
    <row r="991" spans="10:10" ht="14.25" customHeight="1" x14ac:dyDescent="0.3">
      <c r="J991" s="50"/>
    </row>
    <row r="992" spans="10:10" ht="14.25" customHeight="1" x14ac:dyDescent="0.3">
      <c r="J992" s="50"/>
    </row>
    <row r="993" spans="10:10" ht="14.25" customHeight="1" x14ac:dyDescent="0.3">
      <c r="J993" s="50"/>
    </row>
    <row r="994" spans="10:10" ht="14.25" customHeight="1" x14ac:dyDescent="0.3">
      <c r="J994" s="50"/>
    </row>
    <row r="995" spans="10:10" ht="14.25" customHeight="1" x14ac:dyDescent="0.3">
      <c r="J995" s="50"/>
    </row>
    <row r="996" spans="10:10" ht="14.25" customHeight="1" x14ac:dyDescent="0.3">
      <c r="J996" s="50"/>
    </row>
    <row r="997" spans="10:10" ht="14.25" customHeight="1" x14ac:dyDescent="0.3">
      <c r="J997" s="50"/>
    </row>
    <row r="998" spans="10:10" ht="14.25" customHeight="1" x14ac:dyDescent="0.3">
      <c r="J998" s="50"/>
    </row>
    <row r="999" spans="10:10" ht="14.25" customHeight="1" x14ac:dyDescent="0.3">
      <c r="J999" s="50"/>
    </row>
    <row r="1000" spans="10:10" ht="14.25" customHeight="1" x14ac:dyDescent="0.3">
      <c r="J1000" s="5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5</vt:i4>
      </vt:variant>
    </vt:vector>
  </HeadingPairs>
  <TitlesOfParts>
    <vt:vector size="8" baseType="lpstr">
      <vt:lpstr>Inicio</vt:lpstr>
      <vt:lpstr>inclusión</vt:lpstr>
      <vt:lpstr>reglas</vt:lpstr>
      <vt:lpstr>ASUNTO2</vt:lpstr>
      <vt:lpstr>COPIA</vt:lpstr>
      <vt:lpstr>cUERPO1</vt:lpstr>
      <vt:lpstr>DATOS2</vt:lpstr>
      <vt:lpstr>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no-reply@fbacoseg.com</cp:lastModifiedBy>
  <dcterms:created xsi:type="dcterms:W3CDTF">2019-05-21T14:32:18Z</dcterms:created>
  <dcterms:modified xsi:type="dcterms:W3CDTF">2026-03-24T20:01:53Z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1-Internal Use</vt:lpwstr>
  </property>
  <property fmtid="{D5CDD505-2E9C-101B-9397-08002B2CF9AE}" pid="3" name="ContentTypeId">
    <vt:lpwstr>0x01010003386B2B8B1CB744ACD6B9C423DDF91D</vt:lpwstr>
  </property>
  <property fmtid="{D5CDD505-2E9C-101B-9397-08002B2CF9AE}" pid="4" name="MediaServiceImageTags">
    <vt:lpwstr/>
  </property>
</Properties>
</file>